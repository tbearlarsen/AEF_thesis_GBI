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118CA5C6-EC5F-6E49-B0AD-95E754E4F88B}" xr6:coauthVersionLast="47" xr6:coauthVersionMax="47" xr10:uidLastSave="{00000000-0000-0000-0000-000000000000}"/>
  <bookViews>
    <workbookView xWindow="0" yWindow="760" windowWidth="19420" windowHeight="10300" tabRatio="972" firstSheet="9" activeTab="1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1" l="1"/>
  <c r="C7" i="51" s="1"/>
  <c r="B22" i="55"/>
  <c r="B5" i="55"/>
  <c r="B3" i="55"/>
  <c r="N39" i="2"/>
  <c r="N40" i="2"/>
  <c r="N41" i="2"/>
  <c r="N42" i="2"/>
  <c r="N43" i="2"/>
  <c r="N44" i="2"/>
  <c r="N45" i="2"/>
  <c r="N46" i="2"/>
  <c r="N47" i="2"/>
  <c r="N48" i="2"/>
  <c r="N49" i="2"/>
  <c r="D49" i="2" s="1"/>
  <c r="N50" i="2"/>
  <c r="D50" i="2" s="1"/>
  <c r="N51" i="2"/>
  <c r="D51" i="2" s="1"/>
  <c r="N52" i="2"/>
  <c r="N53" i="2"/>
  <c r="E39" i="56"/>
  <c r="F39" i="56" s="1"/>
  <c r="B14" i="56"/>
  <c r="B43" i="55" s="1"/>
  <c r="B45" i="55" s="1"/>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W8" i="56" l="1"/>
  <c r="O8" i="56"/>
  <c r="AX8" i="56"/>
  <c r="Q8" i="56"/>
  <c r="BA8" i="56"/>
  <c r="R8" i="56"/>
  <c r="Z8" i="56"/>
  <c r="AE8" i="56"/>
  <c r="AH8" i="56"/>
  <c r="BB8" i="56"/>
  <c r="G8" i="56"/>
  <c r="AM8" i="56"/>
  <c r="I8" i="56"/>
  <c r="AO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54" i="55" l="1"/>
  <c r="D50" i="55" s="1"/>
  <c r="D52" i="55" s="1"/>
  <c r="D53" i="55" s="1"/>
  <c r="D54" i="55" s="1"/>
  <c r="E50" i="55" s="1"/>
  <c r="C46" i="55"/>
  <c r="C47" i="55" s="1"/>
  <c r="D43" i="55" s="1"/>
  <c r="D45" i="55" s="1"/>
  <c r="D46" i="55" s="1"/>
  <c r="B46" i="46"/>
  <c r="B47" i="46" s="1"/>
  <c r="C43" i="46" s="1"/>
  <c r="C45" i="46" s="1"/>
  <c r="C46" i="46" s="1"/>
  <c r="C47" i="46" s="1"/>
  <c r="D43" i="46"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s="1"/>
  <c r="F53" i="46" s="1"/>
  <c r="P9" i="2"/>
  <c r="H52" i="55"/>
  <c r="H53" i="55" s="1"/>
  <c r="G45" i="55"/>
  <c r="G46" i="55" s="1"/>
  <c r="R9" i="2"/>
  <c r="O9" i="2"/>
  <c r="Q9" i="2"/>
  <c r="H6" i="53"/>
  <c r="O16" i="53" a="1"/>
  <c r="O16" i="53" s="1"/>
  <c r="G5" i="53"/>
  <c r="N17" i="53" a="1"/>
  <c r="N17" i="53" s="1"/>
  <c r="Q17" i="53" s="1"/>
  <c r="G47" i="46"/>
  <c r="H43" i="46" s="1"/>
  <c r="E10" i="45"/>
  <c r="D10" i="45"/>
  <c r="E6" i="8"/>
  <c r="E7" i="8" s="1"/>
  <c r="F54" i="46" l="1"/>
  <c r="G50" i="46" s="1"/>
  <c r="G52" i="46"/>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H54" i="46"/>
  <c r="I50" i="46" s="1"/>
  <c r="P12" i="2"/>
  <c r="H47" i="55"/>
  <c r="I43" i="55" s="1"/>
  <c r="I54" i="55"/>
  <c r="J50" i="55" s="1"/>
  <c r="Q12" i="2"/>
  <c r="O12" i="2"/>
  <c r="R12" i="2"/>
  <c r="H9" i="53"/>
  <c r="O13" i="53" a="1"/>
  <c r="O13" i="53" s="1"/>
  <c r="G8" i="53"/>
  <c r="N14" i="53" a="1"/>
  <c r="N14" i="53" s="1"/>
  <c r="Q14" i="53" s="1"/>
  <c r="I45" i="46"/>
  <c r="I46" i="46" s="1"/>
  <c r="D13" i="45"/>
  <c r="E13" i="45"/>
  <c r="E12" i="8"/>
  <c r="I52" i="46" l="1"/>
  <c r="I53" i="46" s="1"/>
  <c r="I54" i="46"/>
  <c r="J50" i="46" s="1"/>
  <c r="P13" i="2"/>
  <c r="J52" i="55"/>
  <c r="J53" i="55" s="1"/>
  <c r="I45" i="55"/>
  <c r="I46" i="55" s="1"/>
  <c r="Q13" i="2"/>
  <c r="R13" i="2"/>
  <c r="O13" i="2"/>
  <c r="H10" i="53"/>
  <c r="O12" i="53" a="1"/>
  <c r="O12" i="53" s="1"/>
  <c r="G9" i="53"/>
  <c r="N13" i="53" a="1"/>
  <c r="N13" i="53" s="1"/>
  <c r="Q13" i="53" s="1"/>
  <c r="I47" i="46"/>
  <c r="J43" i="46" s="1"/>
  <c r="E14" i="45"/>
  <c r="D14" i="45"/>
  <c r="E13" i="8"/>
  <c r="J52" i="46" l="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K54" i="46"/>
  <c r="L50"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L52" i="46" l="1"/>
  <c r="L53" i="46" s="1"/>
  <c r="P17" i="2"/>
  <c r="Q17" i="2"/>
  <c r="L52" i="55"/>
  <c r="L53" i="55" s="1"/>
  <c r="K45" i="55"/>
  <c r="K46" i="55" s="1"/>
  <c r="O17" i="2"/>
  <c r="R17" i="2"/>
  <c r="H14" i="53"/>
  <c r="O8" i="53" a="1"/>
  <c r="O8" i="53" s="1"/>
  <c r="G13" i="53"/>
  <c r="N9" i="53" a="1"/>
  <c r="N9" i="53" s="1"/>
  <c r="Q9" i="53" s="1"/>
  <c r="E18" i="8"/>
  <c r="E19" i="8" s="1"/>
  <c r="L47" i="46"/>
  <c r="M43" i="46" s="1"/>
  <c r="D18" i="45"/>
  <c r="E18" i="45"/>
  <c r="L54" i="46" l="1"/>
  <c r="M50" i="46" s="1"/>
  <c r="M52" i="46" s="1"/>
  <c r="M53" i="46" s="1"/>
  <c r="P18" i="2"/>
  <c r="Q18" i="2"/>
  <c r="K47" i="55"/>
  <c r="L43" i="55" s="1"/>
  <c r="L54" i="55"/>
  <c r="M50" i="55" s="1"/>
  <c r="R18" i="2"/>
  <c r="O18" i="2"/>
  <c r="H15" i="53"/>
  <c r="O7" i="53" a="1"/>
  <c r="O7" i="53" s="1"/>
  <c r="G14" i="53"/>
  <c r="N8" i="53" a="1"/>
  <c r="N8" i="53" s="1"/>
  <c r="Q8" i="53" s="1"/>
  <c r="M45" i="46"/>
  <c r="M46" i="46" s="1"/>
  <c r="E19" i="45"/>
  <c r="D19" i="45"/>
  <c r="E20" i="8"/>
  <c r="M54" i="46" l="1"/>
  <c r="N50" i="46" s="1"/>
  <c r="N52" i="46" s="1"/>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O54" i="46"/>
  <c r="P50" i="46" s="1"/>
  <c r="P52" i="46" s="1"/>
  <c r="P53" i="46" s="1"/>
  <c r="P20" i="2"/>
  <c r="Q20" i="2"/>
  <c r="L47" i="55"/>
  <c r="M43" i="55" s="1"/>
  <c r="M54" i="55"/>
  <c r="N50" i="55" s="1"/>
  <c r="R20" i="2"/>
  <c r="O20" i="2"/>
  <c r="H17" i="53"/>
  <c r="O5" i="53" a="1"/>
  <c r="O5" i="53" s="1"/>
  <c r="G16" i="53"/>
  <c r="N6" i="53" a="1"/>
  <c r="N6" i="53" s="1"/>
  <c r="Q6" i="53" s="1"/>
  <c r="N45" i="46"/>
  <c r="N46" i="46" s="1"/>
  <c r="E21" i="45"/>
  <c r="D21" i="45"/>
  <c r="E23" i="8"/>
  <c r="E24" i="8" s="1"/>
  <c r="P21" i="2" l="1"/>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E22" i="45"/>
  <c r="E25" i="8"/>
  <c r="E26" i="8" s="1"/>
  <c r="Q22" i="2" l="1"/>
  <c r="P22" i="2"/>
  <c r="N45" i="55"/>
  <c r="N46" i="55" s="1"/>
  <c r="N54" i="55"/>
  <c r="O50" i="55" s="1"/>
  <c r="R22" i="2"/>
  <c r="O22" i="2"/>
  <c r="Q54" i="46"/>
  <c r="R50" i="46" s="1"/>
  <c r="G18" i="53"/>
  <c r="N3" i="53" s="1" a="1"/>
  <c r="N3" i="53" s="1"/>
  <c r="N4" i="53" a="1"/>
  <c r="N4" i="53" s="1"/>
  <c r="Q4" i="53" s="1"/>
  <c r="O45" i="46"/>
  <c r="O46" i="46" s="1"/>
  <c r="E23" i="45"/>
  <c r="D23" i="45"/>
  <c r="Q23" i="2" l="1"/>
  <c r="P23" i="2"/>
  <c r="Q3" i="53"/>
  <c r="Q21" i="53" s="1"/>
  <c r="E2" i="56" a="1"/>
  <c r="B2" i="55" a="1"/>
  <c r="O52" i="55"/>
  <c r="O53" i="55" s="1"/>
  <c r="N47" i="55"/>
  <c r="O43" i="55" s="1"/>
  <c r="O23" i="2"/>
  <c r="R23" i="2"/>
  <c r="R52" i="46"/>
  <c r="R53" i="46" s="1"/>
  <c r="O47" i="46"/>
  <c r="P43" i="46" s="1"/>
  <c r="P45" i="46" s="1"/>
  <c r="P46" i="46" s="1"/>
  <c r="D24" i="45"/>
  <c r="E24" i="45"/>
  <c r="E27" i="8"/>
  <c r="E28" i="8" s="1"/>
  <c r="P24" i="2" l="1"/>
  <c r="Q24" i="2"/>
  <c r="B2" i="55"/>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E25" i="45"/>
  <c r="E29" i="8"/>
  <c r="E30" i="8" s="1"/>
  <c r="P25" i="2" l="1"/>
  <c r="Q25" i="2"/>
  <c r="M6" i="55"/>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E26" i="45"/>
  <c r="P26" i="2" s="1"/>
  <c r="E31" i="8"/>
  <c r="Q26" i="2" l="1"/>
  <c r="B7" i="55"/>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M12" i="56"/>
  <c r="M11" i="56"/>
  <c r="Q12" i="56"/>
  <c r="Q11" i="56"/>
  <c r="J11" i="56"/>
  <c r="J12" i="56"/>
  <c r="E12" i="56"/>
  <c r="E11" i="56"/>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E13" i="56" l="1"/>
  <c r="E14" i="56" s="1"/>
  <c r="E16" i="56" s="1"/>
  <c r="E17" i="56" s="1"/>
  <c r="G13" i="56"/>
  <c r="G14" i="56" s="1"/>
  <c r="G16" i="56" s="1"/>
  <c r="G17" i="56" s="1"/>
  <c r="N13" i="56"/>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E35" i="45"/>
  <c r="E43" i="8"/>
  <c r="O35" i="2" l="1"/>
  <c r="P35" i="2"/>
  <c r="I38" i="55"/>
  <c r="J34" i="55" s="1"/>
  <c r="U45" i="55"/>
  <c r="U46" i="55" s="1"/>
  <c r="U47" i="55" s="1"/>
  <c r="V43" i="55" s="1"/>
  <c r="U52" i="55"/>
  <c r="U53" i="55" s="1"/>
  <c r="U54" i="55"/>
  <c r="V50" i="55" s="1"/>
  <c r="R35" i="2"/>
  <c r="Q35" i="2"/>
  <c r="AA52" i="46"/>
  <c r="AA53" i="46" s="1"/>
  <c r="X47" i="46"/>
  <c r="Y43" i="46" s="1"/>
  <c r="E36" i="45"/>
  <c r="P36" i="2" s="1"/>
  <c r="D36" i="45"/>
  <c r="E44" i="8"/>
  <c r="O36" i="2" l="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L36" i="55" s="1"/>
  <c r="L37"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C5" i="56" s="1"/>
  <c r="AC6" i="56" s="1"/>
  <c r="AC7" i="56" s="1"/>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W11" i="56"/>
  <c r="AW12" i="56"/>
  <c r="V12" i="56"/>
  <c r="V11" i="56"/>
  <c r="M38" i="55"/>
  <c r="N34" i="55" s="1"/>
  <c r="Y12" i="56"/>
  <c r="Y11" i="56"/>
  <c r="W12" i="56"/>
  <c r="W11" i="56"/>
  <c r="AY11" i="56"/>
  <c r="AY12" i="56"/>
  <c r="AC12" i="56"/>
  <c r="AC11" i="56"/>
  <c r="AR11" i="56"/>
  <c r="AR12" i="56"/>
  <c r="AF12" i="56"/>
  <c r="AF11" i="56"/>
  <c r="AP12" i="56"/>
  <c r="AP11" i="56"/>
  <c r="AE12" i="56"/>
  <c r="AE11" i="56"/>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E13" i="56" l="1"/>
  <c r="AE14" i="56" s="1"/>
  <c r="AE16" i="56" s="1"/>
  <c r="AE17" i="56" s="1"/>
  <c r="AR13" i="56"/>
  <c r="AR14" i="56" s="1"/>
  <c r="AR16" i="56" s="1"/>
  <c r="AR17" i="56" s="1"/>
  <c r="AA13" i="56"/>
  <c r="AA14" i="56" s="1"/>
  <c r="AA16" i="56" s="1"/>
  <c r="AA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15" i="2"/>
  <c r="N18" i="2"/>
  <c r="N32" i="2"/>
  <c r="N34" i="2"/>
  <c r="D34" i="2" s="1"/>
  <c r="F34" i="2" s="1"/>
  <c r="L34" i="2" s="1"/>
  <c r="N38" i="55"/>
  <c r="O34" i="55" s="1"/>
  <c r="Z52" i="55"/>
  <c r="Z53" i="55" s="1"/>
  <c r="Y47" i="55"/>
  <c r="Z43" i="55" s="1"/>
  <c r="Q43" i="2"/>
  <c r="P43" i="2"/>
  <c r="R43" i="2"/>
  <c r="AE54" i="46"/>
  <c r="AF50" i="46" s="1"/>
  <c r="AC47" i="46"/>
  <c r="AD43" i="46" s="1"/>
  <c r="E44" i="45"/>
  <c r="D44" i="45"/>
  <c r="N20" i="2" l="1"/>
  <c r="N16" i="2"/>
  <c r="N31" i="2"/>
  <c r="N6" i="2"/>
  <c r="N26" i="2"/>
  <c r="N25" i="2"/>
  <c r="N36" i="2"/>
  <c r="D36" i="2" s="1"/>
  <c r="F36" i="2" s="1"/>
  <c r="L36" i="2" s="1"/>
  <c r="N29" i="2"/>
  <c r="N13" i="2"/>
  <c r="BI2" i="56"/>
  <c r="N3" i="2" s="1"/>
  <c r="N23" i="2"/>
  <c r="N4" i="2"/>
  <c r="N19" i="2"/>
  <c r="N8" i="2"/>
  <c r="N37" i="2"/>
  <c r="D37" i="2" s="1"/>
  <c r="F37" i="2" s="1"/>
  <c r="L37" i="2" s="1"/>
  <c r="L32" i="56" s="1"/>
  <c r="N35" i="2"/>
  <c r="D35" i="2" s="1"/>
  <c r="F35" i="2" s="1"/>
  <c r="L35" i="2" s="1"/>
  <c r="N30" i="2"/>
  <c r="N24" i="2"/>
  <c r="N12" i="2"/>
  <c r="N9" i="2"/>
  <c r="N5" i="2"/>
  <c r="N10" i="2"/>
  <c r="N14" i="2"/>
  <c r="N7" i="2"/>
  <c r="N11" i="2"/>
  <c r="N28" i="2"/>
  <c r="N33" i="2"/>
  <c r="D33" i="2" s="1"/>
  <c r="F33" i="2" s="1"/>
  <c r="L33" i="2" s="1"/>
  <c r="N21" i="2"/>
  <c r="N38" i="2"/>
  <c r="D38" i="2" s="1"/>
  <c r="F38" i="2" s="1"/>
  <c r="L38" i="2" s="1"/>
  <c r="N22" i="2"/>
  <c r="N17" i="2"/>
  <c r="O36" i="55"/>
  <c r="O37" i="55" s="1"/>
  <c r="Z45" i="55"/>
  <c r="Z46" i="55" s="1"/>
  <c r="Z54" i="55"/>
  <c r="AA50" i="55" s="1"/>
  <c r="Q44" i="2"/>
  <c r="O44" i="2"/>
  <c r="P44" i="2"/>
  <c r="R44" i="2"/>
  <c r="AF52" i="46"/>
  <c r="AF53" i="46" s="1"/>
  <c r="AD45" i="46"/>
  <c r="AD46" i="46" s="1"/>
  <c r="D45" i="45"/>
  <c r="E45" i="45"/>
  <c r="S32" i="56" l="1"/>
  <c r="X32" i="56"/>
  <c r="F32" i="56"/>
  <c r="K32" i="56"/>
  <c r="AA32" i="56"/>
  <c r="AB32" i="56"/>
  <c r="G32" i="56"/>
  <c r="J32" i="56"/>
  <c r="M32" i="56"/>
  <c r="T32" i="56"/>
  <c r="H32" i="56"/>
  <c r="N32" i="56"/>
  <c r="AC32" i="56"/>
  <c r="Q32" i="56"/>
  <c r="V32" i="56"/>
  <c r="Z32" i="56"/>
  <c r="I32" i="56"/>
  <c r="U32" i="56"/>
  <c r="R32" i="56"/>
  <c r="O32" i="56"/>
  <c r="Y32" i="56"/>
  <c r="W32" i="56"/>
  <c r="P32" i="56"/>
  <c r="E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AM6" i="46" s="1"/>
  <c r="D4" i="46"/>
  <c r="G4" i="47" s="1"/>
  <c r="AS4" i="46"/>
  <c r="AV4"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D6" i="46"/>
  <c r="AV5" i="47" l="1"/>
  <c r="AV6" i="47" s="1"/>
  <c r="AV7" i="47" s="1"/>
  <c r="AM4" i="47"/>
  <c r="AM5" i="47" s="1"/>
  <c r="AM6" i="47" s="1"/>
  <c r="AM7" i="47" s="1"/>
  <c r="AM10" i="47" s="1"/>
  <c r="I4" i="47"/>
  <c r="AS6" i="46"/>
  <c r="AP4" i="47"/>
  <c r="AB5" i="47"/>
  <c r="AB6" i="47" s="1"/>
  <c r="AB7" i="47" s="1"/>
  <c r="J6" i="46"/>
  <c r="J7" i="46" s="1"/>
  <c r="J8" i="46" s="1"/>
  <c r="S38" i="55"/>
  <c r="T34" i="55" s="1"/>
  <c r="T36" i="55" s="1"/>
  <c r="T37" i="55" s="1"/>
  <c r="E10" i="47"/>
  <c r="E9" i="47"/>
  <c r="K6" i="46"/>
  <c r="K7" i="46" s="1"/>
  <c r="K8" i="46" s="1"/>
  <c r="S4" i="47"/>
  <c r="S5" i="47" s="1"/>
  <c r="S6" i="47" s="1"/>
  <c r="S7" i="47" s="1"/>
  <c r="AN5" i="47"/>
  <c r="AN6" i="47" s="1"/>
  <c r="AN7" i="47" s="1"/>
  <c r="AN10" i="47" s="1"/>
  <c r="T4" i="47"/>
  <c r="T5" i="47" s="1"/>
  <c r="T6" i="47" s="1"/>
  <c r="T7" i="47" s="1"/>
  <c r="T10" i="47" s="1"/>
  <c r="AU6" i="46"/>
  <c r="AU7" i="46" s="1"/>
  <c r="AU8" i="46" s="1"/>
  <c r="F5" i="47"/>
  <c r="F6" i="47" s="1"/>
  <c r="F7" i="47" s="1"/>
  <c r="F10" i="47" s="1"/>
  <c r="AK5" i="47"/>
  <c r="AK6" i="47" s="1"/>
  <c r="AK7" i="47" s="1"/>
  <c r="AK10" i="47" s="1"/>
  <c r="T6" i="46"/>
  <c r="T7" i="46" s="1"/>
  <c r="T8" i="46" s="1"/>
  <c r="AB6" i="46"/>
  <c r="AB7" i="46" s="1"/>
  <c r="AB8" i="46" s="1"/>
  <c r="G5" i="47"/>
  <c r="G6" i="47" s="1"/>
  <c r="G7" i="47" s="1"/>
  <c r="L6" i="46"/>
  <c r="L7" i="46" s="1"/>
  <c r="L8" i="46" s="1"/>
  <c r="AI5" i="47"/>
  <c r="AI6" i="47" s="1"/>
  <c r="AI7" i="47" s="1"/>
  <c r="AI10" i="47" s="1"/>
  <c r="AH5" i="47"/>
  <c r="AH6" i="47" s="1"/>
  <c r="AH7" i="47" s="1"/>
  <c r="AH10" i="47" s="1"/>
  <c r="AQ6" i="46"/>
  <c r="AQ7" i="46" s="1"/>
  <c r="AQ8" i="46" s="1"/>
  <c r="Y6" i="46"/>
  <c r="Y7" i="46" s="1"/>
  <c r="Y8" i="46" s="1"/>
  <c r="G6" i="46"/>
  <c r="G7" i="46" s="1"/>
  <c r="G8" i="46" s="1"/>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9"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AF7" i="46" s="1"/>
  <c r="AF8" i="46" s="1"/>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O10" i="47"/>
  <c r="AJ10" i="47"/>
  <c r="AJ9" i="47"/>
  <c r="AB9" i="47"/>
  <c r="AB10" i="47"/>
  <c r="AV10" i="47"/>
  <c r="AV9" i="47"/>
  <c r="G10" i="47"/>
  <c r="G9" i="47"/>
  <c r="D7" i="46"/>
  <c r="D8" i="46" s="1"/>
  <c r="AJ7" i="46"/>
  <c r="AJ8" i="46" s="1"/>
  <c r="Z7" i="46"/>
  <c r="Z8" i="46" s="1"/>
  <c r="U7" i="46"/>
  <c r="U8" i="46" s="1"/>
  <c r="AA7" i="46"/>
  <c r="AA8" i="46" s="1"/>
  <c r="AC7" i="46"/>
  <c r="AC8" i="46" s="1"/>
  <c r="O7" i="46"/>
  <c r="O8" i="46" s="1"/>
  <c r="AS7" i="46"/>
  <c r="AS8" i="46" s="1"/>
  <c r="F7" i="46"/>
  <c r="F8" i="46" s="1"/>
  <c r="AL7" i="46"/>
  <c r="AL8" i="46" s="1"/>
  <c r="Q7" i="46"/>
  <c r="Q8" i="46" s="1"/>
  <c r="E7" i="46"/>
  <c r="E8" i="46" s="1"/>
  <c r="AN7" i="46"/>
  <c r="AN8" i="46" s="1"/>
  <c r="AM7" i="46"/>
  <c r="AM8" i="46" s="1"/>
  <c r="X7" i="46"/>
  <c r="X8" i="46" s="1"/>
  <c r="P7" i="46"/>
  <c r="P8" i="46" s="1"/>
  <c r="N7" i="46"/>
  <c r="N8" i="46" s="1"/>
  <c r="AO7" i="46"/>
  <c r="AO8" i="46" s="1"/>
  <c r="R7" i="46"/>
  <c r="R8" i="46" s="1"/>
  <c r="AI9" i="47" l="1"/>
  <c r="F9" i="47"/>
  <c r="F11" i="47" s="1"/>
  <c r="AM9" i="47"/>
  <c r="AM12" i="47" s="1"/>
  <c r="V9" i="47"/>
  <c r="V12" i="47" s="1"/>
  <c r="AN9" i="47"/>
  <c r="AN11" i="47" s="1"/>
  <c r="T9" i="47"/>
  <c r="T12" i="47" s="1"/>
  <c r="S9" i="47"/>
  <c r="S11" i="47" s="1"/>
  <c r="S10" i="47"/>
  <c r="AK9" i="47"/>
  <c r="AK12" i="47" s="1"/>
  <c r="E12" i="47"/>
  <c r="E11" i="47"/>
  <c r="AF10" i="47"/>
  <c r="Z10" i="47"/>
  <c r="X10" i="47"/>
  <c r="L9" i="47"/>
  <c r="L12" i="47" s="1"/>
  <c r="AH9" i="47"/>
  <c r="AH12"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Y11" i="47"/>
  <c r="AZ12" i="47"/>
  <c r="AZ11" i="47"/>
  <c r="BA12" i="47"/>
  <c r="BA11" i="47"/>
  <c r="AK54" i="46"/>
  <c r="AL50" i="46" s="1"/>
  <c r="B34" i="46"/>
  <c r="B36" i="46" s="1"/>
  <c r="AI47" i="46"/>
  <c r="AJ43" i="46" s="1"/>
  <c r="O11" i="47"/>
  <c r="O12" i="47"/>
  <c r="P11" i="47"/>
  <c r="P12" i="47"/>
  <c r="W12" i="47"/>
  <c r="W11" i="47"/>
  <c r="N12" i="47"/>
  <c r="N11" i="47"/>
  <c r="AB11" i="47"/>
  <c r="AB12" i="47"/>
  <c r="AD11" i="47"/>
  <c r="AD12" i="47"/>
  <c r="AU12" i="47"/>
  <c r="AU11" i="47"/>
  <c r="AV11" i="47"/>
  <c r="AV12" i="47"/>
  <c r="X12" i="47"/>
  <c r="X11" i="47"/>
  <c r="AW12" i="47"/>
  <c r="AW11" i="47"/>
  <c r="AJ11" i="47"/>
  <c r="AJ12" i="47"/>
  <c r="AI12" i="47"/>
  <c r="AI11" i="47"/>
  <c r="G11" i="47"/>
  <c r="G12" i="47"/>
  <c r="M12" i="47"/>
  <c r="M11" i="47"/>
  <c r="AF11" i="47"/>
  <c r="AF12" i="47"/>
  <c r="H12" i="47"/>
  <c r="H11" i="47"/>
  <c r="AO11" i="47"/>
  <c r="AO12" i="47"/>
  <c r="T11" i="47"/>
  <c r="R11" i="47"/>
  <c r="R12" i="47"/>
  <c r="AA12" i="47"/>
  <c r="AA11" i="47"/>
  <c r="Z12" i="47"/>
  <c r="Z11" i="47"/>
  <c r="E13" i="47" l="1"/>
  <c r="E14" i="47" s="1"/>
  <c r="E16" i="47" s="1"/>
  <c r="E17" i="47" s="1"/>
  <c r="AH11" i="47"/>
  <c r="AH13" i="47" s="1"/>
  <c r="AH14" i="47" s="1"/>
  <c r="AH16" i="47" s="1"/>
  <c r="AH17" i="47" s="1"/>
  <c r="F12" i="47"/>
  <c r="F13" i="47" s="1"/>
  <c r="F14" i="47" s="1"/>
  <c r="F16" i="47" s="1"/>
  <c r="F17" i="47" s="1"/>
  <c r="S12" i="47"/>
  <c r="AS12" i="47"/>
  <c r="AS13" i="47" s="1"/>
  <c r="AS14" i="47" s="1"/>
  <c r="AS16" i="47" s="1"/>
  <c r="AS17" i="47" s="1"/>
  <c r="AN12" i="47"/>
  <c r="AN13" i="47" s="1"/>
  <c r="AN14" i="47" s="1"/>
  <c r="AN16" i="47" s="1"/>
  <c r="AN17" i="47" s="1"/>
  <c r="V11" i="47"/>
  <c r="V13" i="47" s="1"/>
  <c r="V14" i="47" s="1"/>
  <c r="V16" i="47" s="1"/>
  <c r="V17" i="47" s="1"/>
  <c r="AK11" i="47"/>
  <c r="AK13" i="47" s="1"/>
  <c r="AK14" i="47" s="1"/>
  <c r="AK16" i="47" s="1"/>
  <c r="AK17" i="47" s="1"/>
  <c r="AM11" i="47"/>
  <c r="AM13" i="47" s="1"/>
  <c r="AM14" i="47" s="1"/>
  <c r="AM16" i="47" s="1"/>
  <c r="AM17" i="47" s="1"/>
  <c r="AE12" i="47"/>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I13" i="47"/>
  <c r="AI14" i="47" s="1"/>
  <c r="AI16" i="47" s="1"/>
  <c r="AI17" i="47" s="1"/>
  <c r="X13" i="47"/>
  <c r="X14" i="47" s="1"/>
  <c r="X16" i="47" s="1"/>
  <c r="X17" i="47" s="1"/>
  <c r="Z13" i="47"/>
  <c r="Z14" i="47" s="1"/>
  <c r="Z16" i="47" s="1"/>
  <c r="Z17" i="47" s="1"/>
  <c r="H13" i="47"/>
  <c r="H14" i="47" s="1"/>
  <c r="H16" i="47" s="1"/>
  <c r="H17" i="47" s="1"/>
  <c r="N13" i="47"/>
  <c r="N14" i="47" s="1"/>
  <c r="N16" i="47" s="1"/>
  <c r="N17" i="47" s="1"/>
  <c r="S13" i="47"/>
  <c r="S14" i="47" s="1"/>
  <c r="S16" i="47" s="1"/>
  <c r="S17" i="47" s="1"/>
  <c r="P13" i="47"/>
  <c r="P14" i="47" s="1"/>
  <c r="P16" i="47" s="1"/>
  <c r="P17" i="47" s="1"/>
  <c r="AA13" i="47"/>
  <c r="AA14" i="47" s="1"/>
  <c r="AA16" i="47" s="1"/>
  <c r="AA17" i="47" s="1"/>
  <c r="T13" i="47"/>
  <c r="T14" i="47" s="1"/>
  <c r="T16" i="47" s="1"/>
  <c r="T17" i="47" s="1"/>
  <c r="AD13" i="47"/>
  <c r="AD14" i="47" s="1"/>
  <c r="AD16" i="47" s="1"/>
  <c r="AD17" i="47" s="1"/>
  <c r="AW13" i="47"/>
  <c r="AW14" i="47" s="1"/>
  <c r="AW16" i="47" s="1"/>
  <c r="AW17" i="47" s="1"/>
  <c r="G13" i="47"/>
  <c r="G14" i="47" s="1"/>
  <c r="G16" i="47" s="1"/>
  <c r="G17" i="47" s="1"/>
  <c r="W13" i="47"/>
  <c r="W14" i="47" s="1"/>
  <c r="W16" i="47" s="1"/>
  <c r="W17" i="47" s="1"/>
  <c r="AV13" i="47"/>
  <c r="AV14" i="47" s="1"/>
  <c r="AV16" i="47" s="1"/>
  <c r="AV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s="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Q54" i="46"/>
  <c r="AR50" i="46" s="1"/>
  <c r="J38" i="46"/>
  <c r="K34" i="46" s="1"/>
  <c r="K36" i="46" s="1"/>
  <c r="K37" i="46" s="1"/>
  <c r="K38" i="46" s="1"/>
  <c r="L34" i="46" s="1"/>
  <c r="L36" i="46" s="1"/>
  <c r="L37" i="46" s="1"/>
  <c r="AN47" i="46"/>
  <c r="AO43" i="46" s="1"/>
  <c r="AJ54" i="55" l="1"/>
  <c r="AK50" i="55" s="1"/>
  <c r="AK54" i="55" s="1"/>
  <c r="AL50" i="55" s="1"/>
  <c r="AA36" i="55"/>
  <c r="AA37" i="55" s="1"/>
  <c r="AK52" i="55"/>
  <c r="AK53" i="55" s="1"/>
  <c r="AJ47" i="55"/>
  <c r="AK43" i="55" s="1"/>
  <c r="AR52" i="46"/>
  <c r="AR53" i="46" s="1"/>
  <c r="L38" i="46"/>
  <c r="M34" i="46" s="1"/>
  <c r="AO45" i="46"/>
  <c r="AO46" i="46" s="1"/>
  <c r="AA38" i="55" l="1"/>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I36" i="55" s="1"/>
  <c r="AI37" i="55" s="1"/>
  <c r="AI38" i="55" s="1"/>
  <c r="AJ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S52" i="55" s="1"/>
  <c r="AS53" i="55" s="1"/>
  <c r="AK36" i="55"/>
  <c r="AK37" i="55" s="1"/>
  <c r="AR45" i="55"/>
  <c r="AR46"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T52" i="55"/>
  <c r="AT53" i="55" s="1"/>
  <c r="U36" i="46"/>
  <c r="U37" i="46" s="1"/>
  <c r="AS47" i="55" l="1"/>
  <c r="AT43" i="55" s="1"/>
  <c r="AT45" i="55" s="1"/>
  <c r="AT46" i="55" s="1"/>
  <c r="AN36" i="55"/>
  <c r="AN37" i="55" s="1"/>
  <c r="AN38" i="55" s="1"/>
  <c r="AO34" i="55" s="1"/>
  <c r="AT54" i="55"/>
  <c r="AU50" i="55" s="1"/>
  <c r="AU52" i="55" s="1"/>
  <c r="AU53" i="55" s="1"/>
  <c r="AU54" i="55" s="1"/>
  <c r="AV50" i="55" s="1"/>
  <c r="U38" i="46"/>
  <c r="V34" i="46" s="1"/>
  <c r="AV52" i="55" l="1"/>
  <c r="AV53" i="55" s="1"/>
  <c r="AO36" i="55"/>
  <c r="AO37" i="55" s="1"/>
  <c r="AO38" i="55" s="1"/>
  <c r="AP34" i="55" s="1"/>
  <c r="AT47" i="55"/>
  <c r="AU43" i="55" s="1"/>
  <c r="V36" i="46"/>
  <c r="V37" i="46" s="1"/>
  <c r="AV54" i="55" l="1"/>
  <c r="AW50" i="55" s="1"/>
  <c r="AW52" i="55" s="1"/>
  <c r="AW53" i="55" s="1"/>
  <c r="AU45" i="55"/>
  <c r="AU46" i="55" s="1"/>
  <c r="AP36" i="55"/>
  <c r="AP37" i="55" s="1"/>
  <c r="AP38" i="55" s="1"/>
  <c r="AQ34" i="55" s="1"/>
  <c r="V38" i="46"/>
  <c r="W34" i="46" s="1"/>
  <c r="W36" i="46" s="1"/>
  <c r="W37" i="46" s="1"/>
  <c r="AU47" i="55" l="1"/>
  <c r="AV43" i="55" s="1"/>
  <c r="AW54" i="55"/>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AA26" i="47"/>
  <c r="J25" i="47" l="1"/>
  <c r="X26" i="47"/>
  <c r="X27" i="47"/>
  <c r="X28" i="47" s="1"/>
  <c r="X29" i="47" s="1"/>
  <c r="X31" i="47" s="1"/>
  <c r="X33" i="47" s="1"/>
  <c r="X34" i="47" s="1"/>
  <c r="X35" i="47" s="1"/>
  <c r="U27" i="47"/>
  <c r="U25" i="47"/>
  <c r="U28" i="47" s="1"/>
  <c r="U29" i="47" s="1"/>
  <c r="U31" i="47" s="1"/>
  <c r="U33" i="47" s="1"/>
  <c r="U34" i="47" s="1"/>
  <c r="U35" i="47" s="1"/>
  <c r="E27" i="47"/>
  <c r="E25" i="47"/>
  <c r="E26" i="47"/>
  <c r="W26" i="47"/>
  <c r="I27" i="47"/>
  <c r="W27" i="47"/>
  <c r="H27" i="47"/>
  <c r="AA25" i="47"/>
  <c r="AA28" i="47" s="1"/>
  <c r="AA29" i="47" s="1"/>
  <c r="AA31" i="47" s="1"/>
  <c r="AA33" i="47" s="1"/>
  <c r="AA34" i="47" s="1"/>
  <c r="AA35" i="47" s="1"/>
  <c r="I25" i="47"/>
  <c r="F25" i="47"/>
  <c r="G27" i="47"/>
  <c r="R27" i="47"/>
  <c r="H25" i="47"/>
  <c r="L25" i="47"/>
  <c r="N25" i="47"/>
  <c r="N26" i="47"/>
  <c r="L27" i="47"/>
  <c r="AB25" i="47"/>
  <c r="F26" i="47"/>
  <c r="F28" i="47" s="1"/>
  <c r="F29" i="47" s="1"/>
  <c r="F31" i="47" s="1"/>
  <c r="F33" i="47" s="1"/>
  <c r="F34" i="47" s="1"/>
  <c r="F35" i="47" s="1"/>
  <c r="J27" i="47"/>
  <c r="J28" i="47" s="1"/>
  <c r="J29" i="47" s="1"/>
  <c r="J31" i="47" s="1"/>
  <c r="J33" i="47" s="1"/>
  <c r="J34" i="47" s="1"/>
  <c r="J35" i="47" s="1"/>
  <c r="AB26" i="47"/>
  <c r="P25" i="47"/>
  <c r="T26" i="47"/>
  <c r="Z26" i="47"/>
  <c r="Z25" i="47"/>
  <c r="AC25" i="47"/>
  <c r="K25" i="47"/>
  <c r="P26" i="47"/>
  <c r="G26" i="47"/>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Z28" i="47" l="1"/>
  <c r="Z29" i="47" s="1"/>
  <c r="Z31" i="47" s="1"/>
  <c r="Z33" i="47" s="1"/>
  <c r="Z34" i="47" s="1"/>
  <c r="Z35" i="47" s="1"/>
  <c r="L28" i="47"/>
  <c r="L29" i="47" s="1"/>
  <c r="L31" i="47" s="1"/>
  <c r="L33" i="47" s="1"/>
  <c r="L34" i="47" s="1"/>
  <c r="L35" i="47" s="1"/>
  <c r="G28" i="47"/>
  <c r="G29" i="47" s="1"/>
  <c r="G31" i="47" s="1"/>
  <c r="G33" i="47" s="1"/>
  <c r="G34" i="47" s="1"/>
  <c r="G35" i="47" s="1"/>
  <c r="AB28" i="47"/>
  <c r="AB29" i="47" s="1"/>
  <c r="AB31" i="47" s="1"/>
  <c r="AB33" i="47" s="1"/>
  <c r="AB34" i="47" s="1"/>
  <c r="AB35" i="47" s="1"/>
  <c r="H28" i="47"/>
  <c r="H29" i="47" s="1"/>
  <c r="H31" i="47" s="1"/>
  <c r="H33" i="47" s="1"/>
  <c r="H34" i="47" s="1"/>
  <c r="H35" i="47" s="1"/>
  <c r="I28" i="47"/>
  <c r="I29" i="47" s="1"/>
  <c r="I31" i="47" s="1"/>
  <c r="I33" i="47" s="1"/>
  <c r="I34" i="47" s="1"/>
  <c r="I35" i="47" s="1"/>
  <c r="W28" i="47"/>
  <c r="W29" i="47" s="1"/>
  <c r="W31" i="47" s="1"/>
  <c r="W33" i="47" s="1"/>
  <c r="W34" i="47" s="1"/>
  <c r="W35" i="47" s="1"/>
  <c r="N28" i="47"/>
  <c r="N29" i="47" s="1"/>
  <c r="N31" i="47" s="1"/>
  <c r="N33" i="47" s="1"/>
  <c r="N34" i="47" s="1"/>
  <c r="N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<sst xmlns="http://schemas.openxmlformats.org/spreadsheetml/2006/main" count="1524" uniqueCount="278">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</sst>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3" sqref="C3"/>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f>2%*(1+10%)</f>
        <v>2.2000000000000002E-2</v>
      </c>
    </row>
    <row r="3" spans="2:3" x14ac:dyDescent="0.2">
      <c r="B3" s="40" t="s">
        <v>217</v>
      </c>
      <c r="C3" s="43"/>
    </row>
    <row r="4" spans="2:3" x14ac:dyDescent="0.2">
      <c r="B4" s="45" t="s">
        <v>63</v>
      </c>
      <c r="C4" s="46">
        <v>0.03</v>
      </c>
    </row>
    <row r="5" spans="2:3" x14ac:dyDescent="0.2">
      <c r="B5" s="47" t="s">
        <v>65</v>
      </c>
      <c r="C5" s="48">
        <f>C4-C2</f>
        <v>7.9999999999999967E-3</v>
      </c>
    </row>
    <row r="6" spans="2:3" x14ac:dyDescent="0.2">
      <c r="B6" s="47" t="s">
        <v>64</v>
      </c>
      <c r="C6" s="48">
        <v>0.06</v>
      </c>
    </row>
    <row r="7" spans="2:3" x14ac:dyDescent="0.2">
      <c r="B7" s="47" t="s">
        <v>175</v>
      </c>
      <c r="C7" s="48">
        <f>C6-C2</f>
        <v>3.7999999999999992E-2</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2.2000000000000002E-2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72731.908023483353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55203.706464752351</v>
      </c>
      <c r="O3" s="60" cm="1">
        <f t="array" ref="O3">INDEX($H$3:$H$18,ROWS($H$3:$H$18)+ROW($H$3)-ROW())</f>
        <v>36965.72433477857</v>
      </c>
      <c r="Q3" s="63">
        <f>Table11[[#This Row],[GrossMonthlyInflationAdjustedP2]]*0.2</f>
        <v>11040.741292950472</v>
      </c>
    </row>
    <row r="4" spans="1:17" x14ac:dyDescent="0.2">
      <c r="A4" s="16"/>
      <c r="B4" s="14" t="s">
        <v>65</v>
      </c>
      <c r="C4" s="15">
        <f>Income!I4</f>
        <v>7.9999999999999967E-3</v>
      </c>
      <c r="G4" s="35">
        <f>(G3/(1+$C$4))-IF(TableIncomeCalculations11[[#This Row],[Inverse]]="Y",G3*$C$6,0)</f>
        <v>72154.670658217612</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55645.336116470367</v>
      </c>
      <c r="O4" s="60" cm="1">
        <f t="array" ref="O4">INDEX($H$3:$H$18,ROWS($H$3:$H$18)+ROW($H$3)-ROW())</f>
        <v>38074.696064821925</v>
      </c>
      <c r="Q4" s="63">
        <f>Table11[[#This Row],[GrossMonthlyInflationAdjustedP2]]*0.2</f>
        <v>11129.067223294074</v>
      </c>
    </row>
    <row r="5" spans="1:17" x14ac:dyDescent="0.2">
      <c r="A5" s="16"/>
      <c r="B5" s="14" t="s">
        <v>64</v>
      </c>
      <c r="C5" s="15">
        <f>Income!I5</f>
        <v>0.06</v>
      </c>
      <c r="G5" s="35">
        <f>(G4/(1+$C$4))-IF(TableIncomeCalculations11[[#This Row],[Inverse]]="Y",G4*$C$6,0)</f>
        <v>68840.137056870284</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56090.498805402131</v>
      </c>
      <c r="O5" s="60" cm="1">
        <f t="array" ref="O5">INDEX($H$3:$H$18,ROWS($H$3:$H$18)+ROW($H$3)-ROW())</f>
        <v>39216.936946766582</v>
      </c>
      <c r="Q5" s="63">
        <f>Table11[[#This Row],[GrossMonthlyInflationAdjustedP2]]*0.2</f>
        <v>11218.099761080426</v>
      </c>
    </row>
    <row r="6" spans="1:17" x14ac:dyDescent="0.2">
      <c r="A6" s="16"/>
      <c r="B6" s="14" t="s">
        <v>175</v>
      </c>
      <c r="C6" s="15">
        <f>Income!I6</f>
        <v>3.7999999999999992E-2</v>
      </c>
      <c r="G6" s="35">
        <f>(G5/(1+$C$4))-IF(TableIncomeCalculations11[[#This Row],[Inverse]]="Y",G5*$C$6,0)</f>
        <v>68293.786762768141</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58791.159364128944</v>
      </c>
      <c r="O6" s="60" cm="1">
        <f t="array" ref="O6">INDEX($H$3:$H$18,ROWS($H$3:$H$18)+ROW($H$3)-ROW())</f>
        <v>43054.194260466407</v>
      </c>
      <c r="Q6" s="63">
        <f>Table11[[#This Row],[GrossMonthlyInflationAdjustedP2]]*0.2</f>
        <v>11758.231872825789</v>
      </c>
    </row>
    <row r="7" spans="1:17" x14ac:dyDescent="0.2">
      <c r="A7" s="16"/>
      <c r="B7" s="14" t="s">
        <v>76</v>
      </c>
      <c r="C7" s="15">
        <f>Income!I7</f>
        <v>0.2</v>
      </c>
      <c r="G7" s="35">
        <f>(G6/(1+$C$4))-IF(TableIncomeCalculations11[[#This Row],[Inverse]]="Y",G6*$C$6,0)</f>
        <v>67751.772582111254</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59261.488639041978</v>
      </c>
      <c r="O7" s="60" cm="1">
        <f t="array" ref="O7">INDEX($H$3:$H$18,ROWS($H$3:$H$18)+ROW($H$3)-ROW())</f>
        <v>44345.820088280401</v>
      </c>
      <c r="Q7" s="63">
        <f>Table11[[#This Row],[GrossMonthlyInflationAdjustedP2]]*0.2</f>
        <v>11852.297727808396</v>
      </c>
    </row>
    <row r="8" spans="1:17" x14ac:dyDescent="0.2">
      <c r="A8" s="16"/>
      <c r="C8" s="17"/>
      <c r="G8" s="35">
        <f>(G7/(1+$C$4))-IF(TableIncomeCalculations11[[#This Row],[Inverse]]="Y",G7*$C$6,0)</f>
        <v>64639.492743180614</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59735.580548154314</v>
      </c>
      <c r="O8" s="60" cm="1">
        <f t="array" ref="O8">INDEX($H$3:$H$18,ROWS($H$3:$H$18)+ROW($H$3)-ROW())</f>
        <v>45676.194690928816</v>
      </c>
      <c r="Q8" s="63">
        <f>Table11[[#This Row],[GrossMonthlyInflationAdjustedP2]]*0.2</f>
        <v>11947.116109630864</v>
      </c>
    </row>
    <row r="9" spans="1:17" x14ac:dyDescent="0.2">
      <c r="A9" s="16"/>
      <c r="G9" s="35">
        <f>(G8/(1+$C$4))-IF(TableIncomeCalculations11[[#This Row],[Inverse]]="Y",G8*$C$6,0)</f>
        <v>64126.480896012516</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60213.465192539552</v>
      </c>
      <c r="O9" s="60" cm="1">
        <f t="array" ref="O9">INDEX($H$3:$H$18,ROWS($H$3:$H$18)+ROW($H$3)-ROW())</f>
        <v>47046.480531656685</v>
      </c>
      <c r="Q9" s="63">
        <f>Table11[[#This Row],[GrossMonthlyInflationAdjustedP2]]*0.2</f>
        <v>12042.69303850791</v>
      </c>
    </row>
    <row r="10" spans="1:17" x14ac:dyDescent="0.2">
      <c r="A10" s="16"/>
      <c r="G10" s="35">
        <f>(G9/(1+$C$4))-IF(TableIncomeCalculations11[[#This Row],[Inverse]]="Y",G9*$C$6,0)</f>
        <v>63617.540571440986</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63112.639455794626</v>
      </c>
      <c r="O10" s="60" cm="1">
        <f t="array" ref="O10">INDEX($H$3:$H$18,ROWS($H$3:$H$18)+ROW($H$3)-ROW())</f>
        <v>51649.834734178628</v>
      </c>
      <c r="Q10" s="63">
        <f>Table11[[#This Row],[GrossMonthlyInflationAdjustedP2]]*0.2</f>
        <v>12622.527891158927</v>
      </c>
    </row>
    <row r="11" spans="1:17" x14ac:dyDescent="0.2">
      <c r="A11" s="16"/>
      <c r="G11" s="35">
        <f>(G10/(1+$C$4))-IF(TableIncomeCalculations11[[#This Row],[Inverse]]="Y",G10*$C$6,0)</f>
        <v>63112.639455794626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63617.540571440986</v>
      </c>
      <c r="O11" s="60" cm="1">
        <f t="array" ref="O11">INDEX($H$3:$H$18,ROWS($H$3:$H$18)+ROW($H$3)-ROW())</f>
        <v>53199.329776203987</v>
      </c>
      <c r="Q11" s="63">
        <f>Table11[[#This Row],[GrossMonthlyInflationAdjustedP2]]*0.2</f>
        <v>12723.508114288197</v>
      </c>
    </row>
    <row r="12" spans="1:17" x14ac:dyDescent="0.2">
      <c r="A12" s="16"/>
      <c r="G12" s="35">
        <f>(G11/(1+$C$4))-IF(TableIncomeCalculations11[[#This Row],[Inverse]]="Y",G11*$C$6,0)</f>
        <v>60213.465192539552</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64126.480896012516</v>
      </c>
      <c r="O12" s="60" cm="1">
        <f t="array" ref="O12">INDEX($H$3:$H$18,ROWS($H$3:$H$18)+ROW($H$3)-ROW())</f>
        <v>54795.309669490111</v>
      </c>
      <c r="Q12" s="63">
        <f>Table11[[#This Row],[GrossMonthlyInflationAdjustedP2]]*0.2</f>
        <v>12825.296179202503</v>
      </c>
    </row>
    <row r="13" spans="1:17" x14ac:dyDescent="0.2">
      <c r="A13" s="16"/>
      <c r="G13" s="35">
        <f>(G12/(1+$C$4))-IF(TableIncomeCalculations11[[#This Row],[Inverse]]="Y",G12*$C$6,0)</f>
        <v>59735.580548154314</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64639.492743180614</v>
      </c>
      <c r="O13" s="60" cm="1">
        <f t="array" ref="O13">INDEX($H$3:$H$18,ROWS($H$3:$H$18)+ROW($H$3)-ROW())</f>
        <v>56439.168959574818</v>
      </c>
      <c r="Q13" s="63">
        <f>Table11[[#This Row],[GrossMonthlyInflationAdjustedP2]]*0.2</f>
        <v>12927.898548636123</v>
      </c>
    </row>
    <row r="14" spans="1:17" x14ac:dyDescent="0.2">
      <c r="A14" s="16"/>
      <c r="G14" s="35">
        <f>(G13/(1+$C$4))-IF(TableIncomeCalculations11[[#This Row],[Inverse]]="Y",G13*$C$6,0)</f>
        <v>59261.488639041978</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67751.772582111254</v>
      </c>
      <c r="O14" s="60" cm="1">
        <f t="array" ref="O14">INDEX($H$3:$H$18,ROWS($H$3:$H$18)+ROW($H$3)-ROW())</f>
        <v>61961.56899207212</v>
      </c>
      <c r="Q14" s="63">
        <f>Table11[[#This Row],[GrossMonthlyInflationAdjustedP2]]*0.2</f>
        <v>13550.354516422252</v>
      </c>
    </row>
    <row r="15" spans="1:17" x14ac:dyDescent="0.2">
      <c r="A15" s="16"/>
      <c r="G15" s="35">
        <f>(G14/(1+$C$4))-IF(TableIncomeCalculations11[[#This Row],[Inverse]]="Y",G14*$C$6,0)</f>
        <v>58791.159364128944</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68293.786762768141</v>
      </c>
      <c r="O15" s="60" cm="1">
        <f t="array" ref="O15">INDEX($H$3:$H$18,ROWS($H$3:$H$18)+ROW($H$3)-ROW())</f>
        <v>63820.416061834287</v>
      </c>
      <c r="Q15" s="63">
        <f>Table11[[#This Row],[GrossMonthlyInflationAdjustedP2]]*0.2</f>
        <v>13658.757352553628</v>
      </c>
    </row>
    <row r="16" spans="1:17" x14ac:dyDescent="0.2">
      <c r="A16" s="16"/>
      <c r="G16" s="35">
        <f>(G15/(1+$C$4))-IF(TableIncomeCalculations11[[#This Row],[Inverse]]="Y",G15*$C$6,0)</f>
        <v>56090.498805402131</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68840.137056870284</v>
      </c>
      <c r="O16" s="60" cm="1">
        <f t="array" ref="O16">INDEX($H$3:$H$18,ROWS($H$3:$H$18)+ROW($H$3)-ROW())</f>
        <v>65735.028543689317</v>
      </c>
      <c r="Q16" s="63">
        <f>Table11[[#This Row],[GrossMonthlyInflationAdjustedP2]]*0.2</f>
        <v>13768.027411374058</v>
      </c>
    </row>
    <row r="17" spans="1:17" x14ac:dyDescent="0.2">
      <c r="A17" s="16"/>
      <c r="G17" s="35">
        <f>(G16/(1+$C$4))-IF(TableIncomeCalculations11[[#This Row],[Inverse]]="Y",G16*$C$6,0)</f>
        <v>55645.336116470367</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72154.670658217612</v>
      </c>
      <c r="O17" s="60" cm="1">
        <f t="array" ref="O17">INDEX($H$3:$H$18,ROWS($H$3:$H$18)+ROW($H$3)-ROW())</f>
        <v>72167</v>
      </c>
      <c r="Q17" s="63">
        <f>Table11[[#This Row],[GrossMonthlyInflationAdjustedP2]]*0.2</f>
        <v>14430.934131643524</v>
      </c>
    </row>
    <row r="18" spans="1:17" x14ac:dyDescent="0.2">
      <c r="A18" s="16"/>
      <c r="G18" s="35">
        <f>(G17/(1+$C$4))-IF(TableIncomeCalculations11[[#This Row],[Inverse]]="Y",G17*$C$6,0)</f>
        <v>55203.706464752351</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72731.908023483353</v>
      </c>
      <c r="O18" s="60" cm="1">
        <f t="array" ref="O18">INDEX($H$3:$H$18,ROWS($H$3:$H$18)+ROW($H$3)-ROW())</f>
        <v>74332.009999999995</v>
      </c>
      <c r="Q18" s="63">
        <f>Table11[[#This Row],[GrossMonthlyInflationAdjustedP2]]*0.2</f>
        <v>14546.381604696671</v>
      </c>
    </row>
    <row r="19" spans="1:17" x14ac:dyDescent="0.2">
      <c r="A19" s="16"/>
      <c r="M19" s="62"/>
    </row>
    <row r="20" spans="1:17" x14ac:dyDescent="0.2">
      <c r="A20" s="16"/>
    </row>
    <row r="21" spans="1:17" x14ac:dyDescent="0.2">
      <c r="A21" s="16"/>
      <c r="Q21" s="63">
        <f>SUM(Q3:Q18)</f>
        <v>202041.93277607384</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2.2000000000000002E-2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282407.2037601879</v>
      </c>
      <c r="D3" s="37">
        <f>(TableIncomeCalculations[[#This Row],[NetMonthlySalaryP2]]*12)</f>
        <v>462846.24791900581</v>
      </c>
      <c r="E3" s="36">
        <f>TableIncome[[#This Row],[SalaryP1]]*$I$7</f>
        <v>56481.440752037583</v>
      </c>
      <c r="F3" s="36">
        <f>TableIncome[[#This Row],[SalaryP2]]*$I$7</f>
        <v>92569.249583801167</v>
      </c>
      <c r="G3" s="16"/>
      <c r="H3" s="14" t="s">
        <v>63</v>
      </c>
      <c r="I3" s="15" cm="1">
        <f t="array" ref="I3:I7">'Salary Variables'!$C$4:$C$8</f>
        <v>0.03</v>
      </c>
      <c r="K3" s="57">
        <f>(TableIncome[[#This Row],[SalaryP1]]-TableIncome[[#This Row],[InvestmentP1]])/12</f>
        <v>18827.146917345861</v>
      </c>
      <c r="L3" s="57">
        <f>(TableIncome[[#This Row],[SalaryP2]]-TableIncome[[#This Row],[InvestmentP2]])/12</f>
        <v>30856.416527933721</v>
      </c>
      <c r="M3" s="34">
        <f>'Net Salary P1'!BI2</f>
        <v>23533.933646682326</v>
      </c>
      <c r="N3" s="35">
        <f>'Net Salary P2'!BI2</f>
        <v>38570.520659917151</v>
      </c>
      <c r="O3" s="35">
        <f>TableIncomeCalculations[[#This Row],[GrossMonthlySalaryP1]]/(1+I2)</f>
        <v>43336.594911937376</v>
      </c>
      <c r="P3" s="31">
        <f>TableIncomeCalculations[[#This Row],[GrossMonthlySalaryP2]]/(1+I2)</f>
        <v>72731.908023483353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284697.59175430133</v>
      </c>
      <c r="D4" s="37">
        <f>(TableIncomeCalculations[[#This Row],[NetMonthlySalaryP2]]*12)</f>
        <v>465774.83671438985</v>
      </c>
      <c r="E4" s="36">
        <f>TableIncome[[#This Row],[SalaryP1]]*$I$7</f>
        <v>56939.518350860271</v>
      </c>
      <c r="F4" s="36">
        <f>TableIncome[[#This Row],[SalaryP2]]*$I$7</f>
        <v>93154.967342877979</v>
      </c>
      <c r="G4" s="16"/>
      <c r="H4" s="14" t="s">
        <v>65</v>
      </c>
      <c r="I4" s="15">
        <v>7.9999999999999967E-3</v>
      </c>
      <c r="K4" s="57">
        <f>(TableIncome[[#This Row],[SalaryP1]]-TableIncome[[#This Row],[InvestmentP1]])/12</f>
        <v>18979.839450286756</v>
      </c>
      <c r="L4" s="57">
        <f>(TableIncome[[#This Row],[SalaryP2]]-TableIncome[[#This Row],[InvestmentP2]])/12</f>
        <v>31051.655780959321</v>
      </c>
      <c r="M4" s="34">
        <f>'Net Salary P1'!BI3</f>
        <v>23724.799312858446</v>
      </c>
      <c r="N4" s="35">
        <f>'Net Salary P2'!BI3</f>
        <v>38814.569726199152</v>
      </c>
      <c r="O4" s="35">
        <f>IF(_xlfn.XLOOKUP(TableIncome[[#This Row],[Year]],Loop!C:C,Loop!D:D)&lt;75,(O3*(1+$I$4))+IF(TableIncomeCalculations[[#This Row],[SwitchP1]]="Y",O3*$I$6,0),0)</f>
        <v>43683.287671232873</v>
      </c>
      <c r="P4" s="35">
        <f>IF(_xlfn.XLOOKUP(TableIncome[[#This Row],[Year]],Loop!C:C,Loop!E:E)&lt;75,(P3*(1+$I$4))+IF(TableIncomeCalculations[[#This Row],[SwitchP2]]="Y",P3*$I$6,0),0)</f>
        <v>73313.763287671216</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297972.68056818319</v>
      </c>
      <c r="D5" s="37">
        <f>(TableIncomeCalculations[[#This Row],[NetMonthlySalaryP2]]*12)</f>
        <v>482748.93737243582</v>
      </c>
      <c r="E5" s="36">
        <f>TableIncome[[#This Row],[SalaryP1]]*$I$7</f>
        <v>59594.536113636641</v>
      </c>
      <c r="F5" s="36">
        <f>TableIncome[[#This Row],[SalaryP2]]*$I$7</f>
        <v>96549.787474487166</v>
      </c>
      <c r="G5" s="16"/>
      <c r="H5" s="14" t="s">
        <v>64</v>
      </c>
      <c r="I5" s="15">
        <v>0.06</v>
      </c>
      <c r="K5" s="57">
        <f>(TableIncome[[#This Row],[SalaryP1]]-TableIncome[[#This Row],[InvestmentP1]])/12</f>
        <v>19864.845371212214</v>
      </c>
      <c r="L5" s="57">
        <f>(TableIncome[[#This Row],[SalaryP2]]-TableIncome[[#This Row],[InvestmentP2]])/12</f>
        <v>32183.262491495723</v>
      </c>
      <c r="M5" s="34">
        <f>'Net Salary P1'!BI4</f>
        <v>24831.056714015267</v>
      </c>
      <c r="N5" s="35">
        <f>'Net Salary P2'!BI4</f>
        <v>40229.078114369651</v>
      </c>
      <c r="O5" s="35">
        <f>IF(_xlfn.XLOOKUP(TableIncome[[#This Row],[Year]],Loop!C:C,Loop!D:D)&lt;75,(O4*(1+$I$4))+IF(TableIncomeCalculations[[#This Row],[SwitchP1]]="Y",O4*$I$6,0),0)</f>
        <v>45692.718904109584</v>
      </c>
      <c r="P5" s="35">
        <f>IF(_xlfn.XLOOKUP(TableIncome[[#This Row],[Year]],Loop!C:C,Loop!E:E)&lt;75,(P4*(1+$I$4))+IF(TableIncomeCalculations[[#This Row],[SwitchP2]]="Y",P4*$I$6,0),0)</f>
        <v>76686.196398904096</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300387.59237676073</v>
      </c>
      <c r="D6" s="37">
        <f>(TableIncomeCalculations[[#This Row],[NetMonthlySalaryP2]]*12)</f>
        <v>485836.74768344732</v>
      </c>
      <c r="E6" s="36">
        <f>TableIncome[[#This Row],[SalaryP1]]*$I$7</f>
        <v>60077.518475352146</v>
      </c>
      <c r="F6" s="36">
        <f>TableIncome[[#This Row],[SalaryP2]]*$I$7</f>
        <v>97167.349536689464</v>
      </c>
      <c r="G6" s="16"/>
      <c r="H6" s="14" t="s">
        <v>175</v>
      </c>
      <c r="I6" s="15">
        <v>3.7999999999999992E-2</v>
      </c>
      <c r="K6" s="57">
        <f>(TableIncome[[#This Row],[SalaryP1]]-TableIncome[[#This Row],[InvestmentP1]])/12</f>
        <v>20025.839491784049</v>
      </c>
      <c r="L6" s="57">
        <f>(TableIncome[[#This Row],[SalaryP2]]-TableIncome[[#This Row],[InvestmentP2]])/12</f>
        <v>32389.116512229823</v>
      </c>
      <c r="M6" s="34">
        <f>'Net Salary P1'!BI5</f>
        <v>25032.299364730061</v>
      </c>
      <c r="N6" s="35">
        <f>'Net Salary P2'!BI5</f>
        <v>40486.395640287279</v>
      </c>
      <c r="O6" s="35">
        <f>IF(_xlfn.XLOOKUP(TableIncome[[#This Row],[Year]],Loop!C:C,Loop!D:D)&lt;75,(O5*(1+$I$4))+IF(TableIncomeCalculations[[#This Row],[SwitchP1]]="Y",O5*$I$6,0),0)</f>
        <v>46058.260655342463</v>
      </c>
      <c r="P6" s="35">
        <f>IF(_xlfn.XLOOKUP(TableIncome[[#This Row],[Year]],Loop!C:C,Loop!E:E)&lt;75,(P5*(1+$I$4))+IF(TableIncomeCalculations[[#This Row],[SwitchP2]]="Y",P5*$I$6,0),0)</f>
        <v>77299.685970095336</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302821.82347980677</v>
      </c>
      <c r="D7" s="37">
        <f>(TableIncomeCalculations[[#This Row],[NetMonthlySalaryP2]]*12)</f>
        <v>488949.26047694695</v>
      </c>
      <c r="E7" s="36">
        <f>TableIncome[[#This Row],[SalaryP1]]*$I$7</f>
        <v>60564.364695961354</v>
      </c>
      <c r="F7" s="36">
        <f>TableIncome[[#This Row],[SalaryP2]]*$I$7</f>
        <v>97789.852095389389</v>
      </c>
      <c r="G7" s="16"/>
      <c r="H7" s="14" t="s">
        <v>76</v>
      </c>
      <c r="I7" s="15">
        <v>0.2</v>
      </c>
      <c r="K7" s="57">
        <f>(TableIncome[[#This Row],[SalaryP1]]-TableIncome[[#This Row],[InvestmentP1]])/12</f>
        <v>20188.121565320453</v>
      </c>
      <c r="L7" s="57">
        <f>(TableIncome[[#This Row],[SalaryP2]]-TableIncome[[#This Row],[InvestmentP2]])/12</f>
        <v>32596.617365129798</v>
      </c>
      <c r="M7" s="34">
        <f>'Net Salary P1'!BI6</f>
        <v>25235.151956650563</v>
      </c>
      <c r="N7" s="35">
        <f>'Net Salary P2'!BI6</f>
        <v>40745.771706412248</v>
      </c>
      <c r="O7" s="35">
        <f>IF(_xlfn.XLOOKUP(TableIncome[[#This Row],[Year]],Loop!C:C,Loop!D:D)&lt;75,(O6*(1+$I$4))+IF(TableIncomeCalculations[[#This Row],[SwitchP1]]="Y",O6*$I$6,0),0)</f>
        <v>46426.726740585204</v>
      </c>
      <c r="P7" s="35">
        <f>IF(_xlfn.XLOOKUP(TableIncome[[#This Row],[Year]],Loop!C:C,Loop!E:E)&lt;75,(P6*(1+$I$4))+IF(TableIncomeCalculations[[#This Row],[SwitchP2]]="Y",P6*$I$6,0),0)</f>
        <v>77918.083457856104</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305275.52843167714</v>
      </c>
      <c r="D8" s="37">
        <f>(TableIncomeCalculations[[#This Row],[NetMonthlySalaryP2]]*12)</f>
        <v>492086.67337279452</v>
      </c>
      <c r="E8" s="36">
        <f>TableIncome[[#This Row],[SalaryP1]]*$I$7</f>
        <v>61055.105686335432</v>
      </c>
      <c r="F8" s="36">
        <f>TableIncome[[#This Row],[SalaryP2]]*$I$7</f>
        <v>98417.334674558908</v>
      </c>
      <c r="G8" s="16"/>
      <c r="I8" s="17"/>
      <c r="K8" s="57">
        <f>(TableIncome[[#This Row],[SalaryP1]]-TableIncome[[#This Row],[InvestmentP1]])/12</f>
        <v>20351.701895445145</v>
      </c>
      <c r="L8" s="57">
        <f>(TableIncome[[#This Row],[SalaryP2]]-TableIncome[[#This Row],[InvestmentP2]])/12</f>
        <v>32805.778224852969</v>
      </c>
      <c r="M8" s="34">
        <f>'Net Salary P1'!BI7</f>
        <v>25439.627369306429</v>
      </c>
      <c r="N8" s="35">
        <f>'Net Salary P2'!BI7</f>
        <v>41007.222781066208</v>
      </c>
      <c r="O8" s="35">
        <f>IF(_xlfn.XLOOKUP(TableIncome[[#This Row],[Year]],Loop!C:C,Loop!D:D)&lt;75,(O7*(1+$I$4))+IF(TableIncomeCalculations[[#This Row],[SwitchP1]]="Y",O7*$I$6,0),0)</f>
        <v>46798.140554509882</v>
      </c>
      <c r="P8" s="35">
        <f>IF(_xlfn.XLOOKUP(TableIncome[[#This Row],[Year]],Loop!C:C,Loop!E:E)&lt;75,(P7*(1+$I$4))+IF(TableIncomeCalculations[[#This Row],[SwitchP2]]="Y",P7*$I$6,0),0)</f>
        <v>78541.428125518956</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319497.20233271841</v>
      </c>
      <c r="D9" s="37">
        <f>(TableIncomeCalculations[[#This Row],[NetMonthlySalaryP2]]*12)</f>
        <v>510271.11851712712</v>
      </c>
      <c r="E9" s="36">
        <f>TableIncome[[#This Row],[SalaryP1]]*$I$7</f>
        <v>63899.440466543689</v>
      </c>
      <c r="F9" s="36">
        <f>TableIncome[[#This Row],[SalaryP2]]*$I$7</f>
        <v>102054.22370342544</v>
      </c>
      <c r="G9" s="16"/>
      <c r="K9" s="57">
        <f>(TableIncome[[#This Row],[SalaryP1]]-TableIncome[[#This Row],[InvestmentP1]])/12</f>
        <v>21299.813488847893</v>
      </c>
      <c r="L9" s="57">
        <f>(TableIncome[[#This Row],[SalaryP2]]-TableIncome[[#This Row],[InvestmentP2]])/12</f>
        <v>34018.074567808471</v>
      </c>
      <c r="M9" s="34">
        <f>'Net Salary P1'!BI8</f>
        <v>26624.766861059867</v>
      </c>
      <c r="N9" s="35">
        <f>'Net Salary P2'!BI8</f>
        <v>42522.593209760591</v>
      </c>
      <c r="O9" s="35">
        <f>IF(_xlfn.XLOOKUP(TableIncome[[#This Row],[Year]],Loop!C:C,Loop!D:D)&lt;75,(O8*(1+$I$4))+IF(TableIncomeCalculations[[#This Row],[SwitchP1]]="Y",O8*$I$6,0),0)</f>
        <v>48950.855020017334</v>
      </c>
      <c r="P9" s="35">
        <f>IF(_xlfn.XLOOKUP(TableIncome[[#This Row],[Year]],Loop!C:C,Loop!E:E)&lt;75,(P8*(1+$I$4))+IF(TableIncomeCalculations[[#This Row],[SwitchP2]]="Y",P8*$I$6,0),0)</f>
        <v>82154.333819292835</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322084.31031541212</v>
      </c>
      <c r="D10" s="37">
        <f>(TableIncomeCalculations[[#This Row],[NetMonthlySalaryP2]]*12)</f>
        <v>513579.10627729609</v>
      </c>
      <c r="E10" s="36">
        <f>TableIncome[[#This Row],[SalaryP1]]*$I$7</f>
        <v>64416.86206308243</v>
      </c>
      <c r="F10" s="36">
        <f>TableIncome[[#This Row],[SalaryP2]]*$I$7</f>
        <v>102715.82125545922</v>
      </c>
      <c r="G10" s="16"/>
      <c r="H10" s="28"/>
      <c r="K10" s="57">
        <f>(TableIncome[[#This Row],[SalaryP1]]-TableIncome[[#This Row],[InvestmentP1]])/12</f>
        <v>21472.287354360808</v>
      </c>
      <c r="L10" s="57">
        <f>(TableIncome[[#This Row],[SalaryP2]]-TableIncome[[#This Row],[InvestmentP2]])/12</f>
        <v>34238.607085153075</v>
      </c>
      <c r="M10" s="34">
        <f>'Net Salary P1'!BI9</f>
        <v>26840.359192951011</v>
      </c>
      <c r="N10" s="35">
        <f>'Net Salary P2'!BI9</f>
        <v>42798.258856441338</v>
      </c>
      <c r="O10" s="35">
        <f>IF(_xlfn.XLOOKUP(TableIncome[[#This Row],[Year]],Loop!C:C,Loop!D:D)&lt;75,(O9*(1+$I$4))+IF(TableIncomeCalculations[[#This Row],[SwitchP1]]="Y",O9*$I$6,0),0)</f>
        <v>49342.461860177471</v>
      </c>
      <c r="P10" s="35">
        <f>IF(_xlfn.XLOOKUP(TableIncome[[#This Row],[Year]],Loop!C:C,Loop!E:E)&lt;75,(P9*(1+$I$4))+IF(TableIncomeCalculations[[#This Row],[SwitchP2]]="Y",P9*$I$6,0),0)</f>
        <v>82811.568489847181</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324692.11516196741</v>
      </c>
      <c r="D11" s="37">
        <f>(TableIncomeCalculations[[#This Row],[NetMonthlySalaryP2]]*12)</f>
        <v>516913.55793954653</v>
      </c>
      <c r="E11" s="36">
        <f>TableIncome[[#This Row],[SalaryP1]]*$I$7</f>
        <v>64938.423032393483</v>
      </c>
      <c r="F11" s="36">
        <f>TableIncome[[#This Row],[SalaryP2]]*$I$7</f>
        <v>103382.71158790932</v>
      </c>
      <c r="G11" s="16"/>
      <c r="K11" s="57">
        <f>(TableIncome[[#This Row],[SalaryP1]]-TableIncome[[#This Row],[InvestmentP1]])/12</f>
        <v>21646.141010797826</v>
      </c>
      <c r="L11" s="57">
        <f>(TableIncome[[#This Row],[SalaryP2]]-TableIncome[[#This Row],[InvestmentP2]])/12</f>
        <v>34460.903862636434</v>
      </c>
      <c r="M11" s="34">
        <f>'Net Salary P1'!BI10</f>
        <v>27057.676263497284</v>
      </c>
      <c r="N11" s="35">
        <f>'Net Salary P2'!BI10</f>
        <v>43076.129828295547</v>
      </c>
      <c r="O11" s="35">
        <f>IF(_xlfn.XLOOKUP(TableIncome[[#This Row],[Year]],Loop!C:C,Loop!D:D)&lt;75,(O10*(1+$I$4))+IF(TableIncomeCalculations[[#This Row],[SwitchP1]]="Y",O10*$I$6,0),0)</f>
        <v>49737.201555058891</v>
      </c>
      <c r="P11" s="35">
        <f>IF(_xlfn.XLOOKUP(TableIncome[[#This Row],[Year]],Loop!C:C,Loop!E:E)&lt;75,(P10*(1+$I$4))+IF(TableIncomeCalculations[[#This Row],[SwitchP2]]="Y",P10*$I$6,0),0)</f>
        <v>83474.061037765961</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327320.78244729515</v>
      </c>
      <c r="D12" s="37">
        <f>(TableIncomeCalculations[[#This Row],[NetMonthlySalaryP2]]*12)</f>
        <v>520274.68521509494</v>
      </c>
      <c r="E12" s="36">
        <f>TableIncome[[#This Row],[SalaryP1]]*$I$7</f>
        <v>65464.156489459034</v>
      </c>
      <c r="F12" s="36">
        <f>TableIncome[[#This Row],[SalaryP2]]*$I$7</f>
        <v>104054.93704301899</v>
      </c>
      <c r="G12" s="16"/>
      <c r="K12" s="57">
        <f>(TableIncome[[#This Row],[SalaryP1]]-TableIncome[[#This Row],[InvestmentP1]])/12</f>
        <v>21821.385496486342</v>
      </c>
      <c r="L12" s="57">
        <f>(TableIncome[[#This Row],[SalaryP2]]-TableIncome[[#This Row],[InvestmentP2]])/12</f>
        <v>34684.97901433966</v>
      </c>
      <c r="M12" s="34">
        <f>'Net Salary P1'!BI11</f>
        <v>27276.731870607928</v>
      </c>
      <c r="N12" s="35">
        <f>'Net Salary P2'!BI11</f>
        <v>43356.223767924581</v>
      </c>
      <c r="O12" s="35">
        <f>IF(_xlfn.XLOOKUP(TableIncome[[#This Row],[Year]],Loop!C:C,Loop!D:D)&lt;75,(O11*(1+$I$4))+IF(TableIncomeCalculations[[#This Row],[SwitchP1]]="Y",O11*$I$6,0),0)</f>
        <v>50135.099167499364</v>
      </c>
      <c r="P12" s="35">
        <f>IF(_xlfn.XLOOKUP(TableIncome[[#This Row],[Year]],Loop!C:C,Loop!E:E)&lt;75,(P11*(1+$I$4))+IF(TableIncomeCalculations[[#This Row],[SwitchP2]]="Y",P11*$I$6,0),0)</f>
        <v>84141.853526068095</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342556.53803305473</v>
      </c>
      <c r="D13" s="37">
        <f>(TableIncomeCalculations[[#This Row],[NetMonthlySalaryP2]]*12)</f>
        <v>539755.77890417329</v>
      </c>
      <c r="E13" s="36">
        <f>TableIncome[[#This Row],[SalaryP1]]*$I$7</f>
        <v>68511.30760661095</v>
      </c>
      <c r="F13" s="36">
        <f>TableIncome[[#This Row],[SalaryP2]]*$I$7</f>
        <v>107951.15578083467</v>
      </c>
      <c r="G13" s="16"/>
      <c r="K13" s="57">
        <f>(TableIncome[[#This Row],[SalaryP1]]-TableIncome[[#This Row],[InvestmentP1]])/12</f>
        <v>22837.102535536982</v>
      </c>
      <c r="L13" s="57">
        <f>(TableIncome[[#This Row],[SalaryP2]]-TableIncome[[#This Row],[InvestmentP2]])/12</f>
        <v>35983.718593611549</v>
      </c>
      <c r="M13" s="34">
        <f>'Net Salary P1'!BI12</f>
        <v>28546.378169421227</v>
      </c>
      <c r="N13" s="35">
        <f>'Net Salary P2'!BI12</f>
        <v>44979.648242014438</v>
      </c>
      <c r="O13" s="35">
        <f>IF(_xlfn.XLOOKUP(TableIncome[[#This Row],[Year]],Loop!C:C,Loop!D:D)&lt;75,(O12*(1+$I$4))+IF(TableIncomeCalculations[[#This Row],[SwitchP1]]="Y",O12*$I$6,0),0)</f>
        <v>52441.313729204332</v>
      </c>
      <c r="P13" s="35">
        <f>IF(_xlfn.XLOOKUP(TableIncome[[#This Row],[Year]],Loop!C:C,Loop!E:E)&lt;75,(P12*(1+$I$4))+IF(TableIncomeCalculations[[#This Row],[SwitchP2]]="Y",P12*$I$6,0),0)</f>
        <v>88012.378788267219</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345328.1207013512</v>
      </c>
      <c r="D14" s="37">
        <f>(TableIncomeCalculations[[#This Row],[NetMonthlySalaryP2]]*12)</f>
        <v>543299.64394743857</v>
      </c>
      <c r="E14" s="36">
        <f>TableIncome[[#This Row],[SalaryP1]]*$I$7</f>
        <v>69065.624140270244</v>
      </c>
      <c r="F14" s="36">
        <f>TableIncome[[#This Row],[SalaryP2]]*$I$7</f>
        <v>108659.92878948772</v>
      </c>
      <c r="G14" s="16"/>
      <c r="K14" s="57">
        <f>(TableIncome[[#This Row],[SalaryP1]]-TableIncome[[#This Row],[InvestmentP1]])/12</f>
        <v>23021.874713423415</v>
      </c>
      <c r="L14" s="57">
        <f>(TableIncome[[#This Row],[SalaryP2]]-TableIncome[[#This Row],[InvestmentP2]])/12</f>
        <v>36219.976263162571</v>
      </c>
      <c r="M14" s="34">
        <f>'Net Salary P1'!BI13</f>
        <v>28777.343391779268</v>
      </c>
      <c r="N14" s="35">
        <f>'Net Salary P2'!BI13</f>
        <v>45274.970328953212</v>
      </c>
      <c r="O14" s="35">
        <f>IF(_xlfn.XLOOKUP(TableIncome[[#This Row],[Year]],Loop!C:C,Loop!D:D)&lt;75,(O13*(1+$I$4))+IF(TableIncomeCalculations[[#This Row],[SwitchP1]]="Y",O13*$I$6,0),0)</f>
        <v>52860.844239037964</v>
      </c>
      <c r="P14" s="35">
        <f>IF(_xlfn.XLOOKUP(TableIncome[[#This Row],[Year]],Loop!C:C,Loop!E:E)&lt;75,(P13*(1+$I$4))+IF(TableIncomeCalculations[[#This Row],[SwitchP2]]="Y",P13*$I$6,0),0)</f>
        <v>88716.477818573359</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348121.87603099394</v>
      </c>
      <c r="D15" s="37">
        <f>(TableIncomeCalculations[[#This Row],[NetMonthlySalaryP2]]*12)</f>
        <v>546871.85991105018</v>
      </c>
      <c r="E15" s="36">
        <f>TableIncome[[#This Row],[SalaryP1]]*$I$7</f>
        <v>69624.375206198791</v>
      </c>
      <c r="F15" s="36">
        <f>TableIncome[[#This Row],[SalaryP2]]*$I$7</f>
        <v>109374.37198221004</v>
      </c>
      <c r="G15" s="16"/>
      <c r="K15" s="57">
        <f>(TableIncome[[#This Row],[SalaryP1]]-TableIncome[[#This Row],[InvestmentP1]])/12</f>
        <v>23208.12506873293</v>
      </c>
      <c r="L15" s="57">
        <f>(TableIncome[[#This Row],[SalaryP2]]-TableIncome[[#This Row],[InvestmentP2]])/12</f>
        <v>36458.123994070011</v>
      </c>
      <c r="M15" s="34">
        <f>'Net Salary P1'!BI14</f>
        <v>29010.156335916163</v>
      </c>
      <c r="N15" s="35">
        <f>'Net Salary P2'!BI14</f>
        <v>45572.654992587515</v>
      </c>
      <c r="O15" s="35">
        <f>IF(_xlfn.XLOOKUP(TableIncome[[#This Row],[Year]],Loop!C:C,Loop!D:D)&lt;75,(O14*(1+$I$4))+IF(TableIncomeCalculations[[#This Row],[SwitchP1]]="Y",O14*$I$6,0),0)</f>
        <v>53283.730992950266</v>
      </c>
      <c r="P15" s="35">
        <f>IF(_xlfn.XLOOKUP(TableIncome[[#This Row],[Year]],Loop!C:C,Loop!E:E)&lt;75,(P14*(1+$I$4))+IF(TableIncomeCalculations[[#This Row],[SwitchP2]]="Y",P14*$I$6,0),0)</f>
        <v>89426.209641121954</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364314.48192160367</v>
      </c>
      <c r="D16" s="37">
        <f>(TableIncomeCalculations[[#This Row],[NetMonthlySalaryP2]]*12)</f>
        <v>567576.4236361424</v>
      </c>
      <c r="E16" s="36">
        <f>TableIncome[[#This Row],[SalaryP1]]*$I$7</f>
        <v>72862.896384320731</v>
      </c>
      <c r="F16" s="36">
        <f>TableIncome[[#This Row],[SalaryP2]]*$I$7</f>
        <v>113515.28472722849</v>
      </c>
      <c r="G16" s="16"/>
      <c r="K16" s="57">
        <f>(TableIncome[[#This Row],[SalaryP1]]-TableIncome[[#This Row],[InvestmentP1]])/12</f>
        <v>24287.63212810691</v>
      </c>
      <c r="L16" s="57">
        <f>(TableIncome[[#This Row],[SalaryP2]]-TableIncome[[#This Row],[InvestmentP2]])/12</f>
        <v>37838.428242409493</v>
      </c>
      <c r="M16" s="34">
        <f>'Net Salary P1'!BI15</f>
        <v>30359.540160133638</v>
      </c>
      <c r="N16" s="35">
        <f>'Net Salary P2'!BI15</f>
        <v>47298.035303011864</v>
      </c>
      <c r="O16" s="35">
        <f>IF(_xlfn.XLOOKUP(TableIncome[[#This Row],[Year]],Loop!C:C,Loop!D:D)&lt;75,(O15*(1+$I$4))+IF(TableIncomeCalculations[[#This Row],[SwitchP1]]="Y",O15*$I$6,0),0)</f>
        <v>55734.782618625977</v>
      </c>
      <c r="P16" s="35">
        <f>IF(_xlfn.XLOOKUP(TableIncome[[#This Row],[Year]],Loop!C:C,Loop!E:E)&lt;75,(P15*(1+$I$4))+IF(TableIncomeCalculations[[#This Row],[SwitchP2]]="Y",P15*$I$6,0),0)</f>
        <v>93539.815284613564</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367260.12814100849</v>
      </c>
      <c r="D17" s="37">
        <f>(TableIncomeCalculations[[#This Row],[NetMonthlySalaryP2]]*12)</f>
        <v>571342.85383726365</v>
      </c>
      <c r="E17" s="36">
        <f>TableIncome[[#This Row],[SalaryP1]]*$I$7</f>
        <v>73452.025628201707</v>
      </c>
      <c r="F17" s="36">
        <f>TableIncome[[#This Row],[SalaryP2]]*$I$7</f>
        <v>114268.57076745274</v>
      </c>
      <c r="G17" s="16"/>
      <c r="K17" s="57">
        <f>(TableIncome[[#This Row],[SalaryP1]]-TableIncome[[#This Row],[InvestmentP1]])/12</f>
        <v>24484.008542733896</v>
      </c>
      <c r="L17" s="57">
        <f>(TableIncome[[#This Row],[SalaryP2]]-TableIncome[[#This Row],[InvestmentP2]])/12</f>
        <v>38089.523589150915</v>
      </c>
      <c r="M17" s="34">
        <f>'Net Salary P1'!BI16</f>
        <v>30605.010678417373</v>
      </c>
      <c r="N17" s="35">
        <f>'Net Salary P2'!BI16</f>
        <v>47611.904486438638</v>
      </c>
      <c r="O17" s="35">
        <f>IF(_xlfn.XLOOKUP(TableIncome[[#This Row],[Year]],Loop!C:C,Loop!D:D)&lt;75,(O16*(1+$I$4))+IF(TableIncomeCalculations[[#This Row],[SwitchP1]]="Y",O16*$I$6,0),0)</f>
        <v>56180.660879574985</v>
      </c>
      <c r="P17" s="35">
        <f>IF(_xlfn.XLOOKUP(TableIncome[[#This Row],[Year]],Loop!C:C,Loop!E:E)&lt;75,(P16*(1+$I$4))+IF(TableIncomeCalculations[[#This Row],[SwitchP2]]="Y",P16*$I$6,0),0)</f>
        <v>94288.133806890473</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370229.33953016845</v>
      </c>
      <c r="D18" s="37">
        <f>(TableIncomeCalculations[[#This Row],[NetMonthlySalaryP2]]*12)</f>
        <v>575139.4154799938</v>
      </c>
      <c r="E18" s="36">
        <f>TableIncome[[#This Row],[SalaryP1]]*$I$7</f>
        <v>74045.867906033687</v>
      </c>
      <c r="F18" s="36">
        <f>TableIncome[[#This Row],[SalaryP2]]*$I$7</f>
        <v>115027.88309599877</v>
      </c>
      <c r="G18" s="16"/>
      <c r="K18" s="57">
        <f>(TableIncome[[#This Row],[SalaryP1]]-TableIncome[[#This Row],[InvestmentP1]])/12</f>
        <v>24681.955968677896</v>
      </c>
      <c r="L18" s="57">
        <f>(TableIncome[[#This Row],[SalaryP2]]-TableIncome[[#This Row],[InvestmentP2]])/12</f>
        <v>38342.627698666249</v>
      </c>
      <c r="M18" s="34">
        <f>'Net Salary P1'!BI17</f>
        <v>30852.44496084737</v>
      </c>
      <c r="N18" s="35">
        <f>'Net Salary P2'!BI17</f>
        <v>47928.284623332816</v>
      </c>
      <c r="O18" s="35">
        <f>IF(_xlfn.XLOOKUP(TableIncome[[#This Row],[Year]],Loop!C:C,Loop!D:D)&lt;75,(O17*(1+$I$4))+IF(TableIncomeCalculations[[#This Row],[SwitchP1]]="Y",O17*$I$6,0),0)</f>
        <v>56630.106166611586</v>
      </c>
      <c r="P18" s="35">
        <f>IF(_xlfn.XLOOKUP(TableIncome[[#This Row],[Year]],Loop!C:C,Loop!E:E)&lt;75,(P17*(1+$I$4))+IF(TableIncomeCalculations[[#This Row],[SwitchP2]]="Y",P17*$I$6,0),0)</f>
        <v>95042.438877345601</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373222.3046104419</v>
      </c>
      <c r="D19" s="37">
        <f>(TableIncomeCalculations[[#This Row],[NetMonthlySalaryP2]]*12)</f>
        <v>578966.34961586585</v>
      </c>
      <c r="E19" s="36">
        <f>TableIncome[[#This Row],[SalaryP1]]*$I$7</f>
        <v>74644.460922088387</v>
      </c>
      <c r="F19" s="36">
        <f>TableIncome[[#This Row],[SalaryP2]]*$I$7</f>
        <v>115793.26992317318</v>
      </c>
      <c r="G19" s="16"/>
      <c r="K19" s="57">
        <f>(TableIncome[[#This Row],[SalaryP1]]-TableIncome[[#This Row],[InvestmentP1]])/12</f>
        <v>24881.486974029463</v>
      </c>
      <c r="L19" s="57">
        <f>(TableIncome[[#This Row],[SalaryP2]]-TableIncome[[#This Row],[InvestmentP2]])/12</f>
        <v>38597.75664105772</v>
      </c>
      <c r="M19" s="34">
        <f>'Net Salary P1'!BI18</f>
        <v>31101.858717536827</v>
      </c>
      <c r="N19" s="35">
        <f>'Net Salary P2'!BI18</f>
        <v>48247.195801322152</v>
      </c>
      <c r="O19" s="35">
        <f>IF(_xlfn.XLOOKUP(TableIncome[[#This Row],[Year]],Loop!C:C,Loop!D:D)&lt;75,(O18*(1+$I$4))+IF(TableIncomeCalculations[[#This Row],[SwitchP1]]="Y",O18*$I$6,0),0)</f>
        <v>57083.14701594448</v>
      </c>
      <c r="P19" s="35">
        <f>IF(_xlfn.XLOOKUP(TableIncome[[#This Row],[Year]],Loop!C:C,Loop!E:E)&lt;75,(P18*(1+$I$4))+IF(TableIncomeCalculations[[#This Row],[SwitchP2]]="Y",P18*$I$6,0),0)</f>
        <v>95802.778388364371</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376239.21341135737</v>
      </c>
      <c r="D20" s="37">
        <f>(TableIncomeCalculations[[#This Row],[NetMonthlySalaryP2]]*12)</f>
        <v>582823.89922482474</v>
      </c>
      <c r="E20" s="36">
        <f>TableIncome[[#This Row],[SalaryP1]]*$I$7</f>
        <v>75247.842682271483</v>
      </c>
      <c r="F20" s="36">
        <f>TableIncome[[#This Row],[SalaryP2]]*$I$7</f>
        <v>116564.77984496496</v>
      </c>
      <c r="G20" s="16"/>
      <c r="K20" s="57">
        <f>(TableIncome[[#This Row],[SalaryP1]]-TableIncome[[#This Row],[InvestmentP1]])/12</f>
        <v>25082.614227423823</v>
      </c>
      <c r="L20" s="57">
        <f>(TableIncome[[#This Row],[SalaryP2]]-TableIncome[[#This Row],[InvestmentP2]])/12</f>
        <v>38854.926614988311</v>
      </c>
      <c r="M20" s="34">
        <f>'Net Salary P1'!BI19</f>
        <v>31353.267784279782</v>
      </c>
      <c r="N20" s="35">
        <f>'Net Salary P2'!BI19</f>
        <v>48568.658268735395</v>
      </c>
      <c r="O20" s="35">
        <f>IF(_xlfn.XLOOKUP(TableIncome[[#This Row],[Year]],Loop!C:C,Loop!D:D)&lt;75,(O19*(1+$I$4))+IF(TableIncomeCalculations[[#This Row],[SwitchP1]]="Y",O19*$I$6,0),0)</f>
        <v>57539.812192072037</v>
      </c>
      <c r="P20" s="35">
        <f>IF(_xlfn.XLOOKUP(TableIncome[[#This Row],[Year]],Loop!C:C,Loop!E:E)&lt;75,(P19*(1+$I$4))+IF(TableIncomeCalculations[[#This Row],[SwitchP2]]="Y",P19*$I$6,0),0)</f>
        <v>96569.200615471287</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393725.2168214639</v>
      </c>
      <c r="D21" s="37">
        <f>(TableIncomeCalculations[[#This Row],[NetMonthlySalaryP2]]*12)</f>
        <v>605182.25675835065</v>
      </c>
      <c r="E21" s="36">
        <f>TableIncome[[#This Row],[SalaryP1]]*$I$7</f>
        <v>78745.043364292782</v>
      </c>
      <c r="F21" s="36">
        <f>TableIncome[[#This Row],[SalaryP2]]*$I$7</f>
        <v>121036.45135167014</v>
      </c>
      <c r="G21" s="16"/>
      <c r="K21" s="57">
        <f>(TableIncome[[#This Row],[SalaryP1]]-TableIncome[[#This Row],[InvestmentP1]])/12</f>
        <v>26248.347788097595</v>
      </c>
      <c r="L21" s="57">
        <f>(TableIncome[[#This Row],[SalaryP2]]-TableIncome[[#This Row],[InvestmentP2]])/12</f>
        <v>40345.483783890042</v>
      </c>
      <c r="M21" s="34">
        <f>'Net Salary P1'!BI20</f>
        <v>32810.434735121991</v>
      </c>
      <c r="N21" s="35">
        <f>'Net Salary P2'!BI20</f>
        <v>50431.854729862556</v>
      </c>
      <c r="O21" s="35">
        <f>IF(_xlfn.XLOOKUP(TableIncome[[#This Row],[Year]],Loop!C:C,Loop!D:D)&lt;75,(O20*(1+$I$4))+IF(TableIncomeCalculations[[#This Row],[SwitchP1]]="Y",O20*$I$6,0),0)</f>
        <v>60186.643552907357</v>
      </c>
      <c r="P21" s="35">
        <f>IF(_xlfn.XLOOKUP(TableIncome[[#This Row],[Year]],Loop!C:C,Loop!E:E)&lt;75,(P20*(1+$I$4))+IF(TableIncomeCalculations[[#This Row],[SwitchP2]]="Y",P20*$I$6,0),0)</f>
        <v>101011.38384378297</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396906.14892006759</v>
      </c>
      <c r="D22" s="37">
        <f>(TableIncomeCalculations[[#This Row],[NetMonthlySalaryP2]]*12)</f>
        <v>609249.5336244494</v>
      </c>
      <c r="E22" s="36">
        <f>TableIncome[[#This Row],[SalaryP1]]*$I$7</f>
        <v>79381.229784013529</v>
      </c>
      <c r="F22" s="36">
        <f>TableIncome[[#This Row],[SalaryP2]]*$I$7</f>
        <v>121849.90672488988</v>
      </c>
      <c r="G22" s="16"/>
      <c r="K22" s="57">
        <f>(TableIncome[[#This Row],[SalaryP1]]-TableIncome[[#This Row],[InvestmentP1]])/12</f>
        <v>26460.409928004505</v>
      </c>
      <c r="L22" s="57">
        <f>(TableIncome[[#This Row],[SalaryP2]]-TableIncome[[#This Row],[InvestmentP2]])/12</f>
        <v>40616.635574963293</v>
      </c>
      <c r="M22" s="34">
        <f>'Net Salary P1'!BI21</f>
        <v>33075.512410005635</v>
      </c>
      <c r="N22" s="35">
        <f>'Net Salary P2'!BI21</f>
        <v>50770.794468704116</v>
      </c>
      <c r="O22" s="35">
        <f>IF(_xlfn.XLOOKUP(TableIncome[[#This Row],[Year]],Loop!C:C,Loop!D:D)&lt;75,(O21*(1+$I$4))+IF(TableIncomeCalculations[[#This Row],[SwitchP1]]="Y",O21*$I$6,0),0)</f>
        <v>60668.136701330615</v>
      </c>
      <c r="P22" s="35">
        <f>IF(_xlfn.XLOOKUP(TableIncome[[#This Row],[Year]],Loop!C:C,Loop!E:E)&lt;75,(P21*(1+$I$4))+IF(TableIncomeCalculations[[#This Row],[SwitchP2]]="Y",P21*$I$6,0),0)</f>
        <v>101819.47491453323</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400112.52847546013</v>
      </c>
      <c r="D23" s="37">
        <f>(TableIncomeCalculations[[#This Row],[NetMonthlySalaryP2]]*12)</f>
        <v>613349.34870547708</v>
      </c>
      <c r="E23" s="36">
        <f>TableIncome[[#This Row],[SalaryP1]]*$I$7</f>
        <v>80022.505695092026</v>
      </c>
      <c r="F23" s="36">
        <f>TableIncome[[#This Row],[SalaryP2]]*$I$7</f>
        <v>122669.86974109542</v>
      </c>
      <c r="G23" s="16"/>
      <c r="K23" s="57">
        <f>(TableIncome[[#This Row],[SalaryP1]]-TableIncome[[#This Row],[InvestmentP1]])/12</f>
        <v>26674.168565030675</v>
      </c>
      <c r="L23" s="57">
        <f>(TableIncome[[#This Row],[SalaryP2]]-TableIncome[[#This Row],[InvestmentP2]])/12</f>
        <v>40889.956580365142</v>
      </c>
      <c r="M23" s="34">
        <f>'Net Salary P1'!BI22</f>
        <v>33342.710706288344</v>
      </c>
      <c r="N23" s="35">
        <f>'Net Salary P2'!BI22</f>
        <v>51112.445725456426</v>
      </c>
      <c r="O23" s="35">
        <f>IF(_xlfn.XLOOKUP(TableIncome[[#This Row],[Year]],Loop!C:C,Loop!D:D)&lt;75,(O22*(1+$I$4))+IF(TableIncomeCalculations[[#This Row],[SwitchP1]]="Y",O22*$I$6,0),0)</f>
        <v>61153.481794941261</v>
      </c>
      <c r="P23" s="35">
        <f>IF(_xlfn.XLOOKUP(TableIncome[[#This Row],[Year]],Loop!C:C,Loop!E:E)&lt;75,(P22*(1+$I$4))+IF(TableIncomeCalculations[[#This Row],[SwitchP2]]="Y",P22*$I$6,0),0)</f>
        <v>102634.0307138495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403344.55906729586</v>
      </c>
      <c r="D24" s="37">
        <f>(TableIncomeCalculations[[#This Row],[NetMonthlySalaryP2]]*12)</f>
        <v>617481.9623071528</v>
      </c>
      <c r="E24" s="36">
        <f>TableIncome[[#This Row],[SalaryP1]]*$I$7</f>
        <v>80668.911813459184</v>
      </c>
      <c r="F24" s="36">
        <f>TableIncome[[#This Row],[SalaryP2]]*$I$7</f>
        <v>123496.39246143057</v>
      </c>
      <c r="G24" s="16"/>
      <c r="K24" s="57">
        <f>(TableIncome[[#This Row],[SalaryP1]]-TableIncome[[#This Row],[InvestmentP1]])/12</f>
        <v>26889.637271153057</v>
      </c>
      <c r="L24" s="57">
        <f>(TableIncome[[#This Row],[SalaryP2]]-TableIncome[[#This Row],[InvestmentP2]])/12</f>
        <v>41165.464153810186</v>
      </c>
      <c r="M24" s="34">
        <f>'Net Salary P1'!BI23</f>
        <v>33612.046588941324</v>
      </c>
      <c r="N24" s="35">
        <f>'Net Salary P2'!BI23</f>
        <v>51456.830192262736</v>
      </c>
      <c r="O24" s="35">
        <f>IF(_xlfn.XLOOKUP(TableIncome[[#This Row],[Year]],Loop!C:C,Loop!D:D)&lt;75,(O23*(1+$I$4))+IF(TableIncomeCalculations[[#This Row],[SwitchP1]]="Y",O23*$I$6,0),0)</f>
        <v>61642.709649300792</v>
      </c>
      <c r="P24" s="35">
        <f>IF(_xlfn.XLOOKUP(TableIncome[[#This Row],[Year]],Loop!C:C,Loop!E:E)&lt;75,(P23*(1+$I$4))+IF(TableIncomeCalculations[[#This Row],[SwitchP2]]="Y",P23*$I$6,0),0)</f>
        <v>103455.10295956029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421304.13125956256</v>
      </c>
      <c r="D25" s="37">
        <f>(TableIncomeCalculations[[#This Row],[NetMonthlySalaryP2]]*12)</f>
        <v>641434.59074246592</v>
      </c>
      <c r="E25" s="36">
        <f>TableIncome[[#This Row],[SalaryP1]]*$I$7</f>
        <v>84260.826251912513</v>
      </c>
      <c r="F25" s="36">
        <f>TableIncome[[#This Row],[SalaryP2]]*$I$7</f>
        <v>128286.91814849319</v>
      </c>
      <c r="G25" s="16"/>
      <c r="K25" s="57">
        <f>(TableIncome[[#This Row],[SalaryP1]]-TableIncome[[#This Row],[InvestmentP1]])/12</f>
        <v>28086.942083970836</v>
      </c>
      <c r="L25" s="57">
        <f>(TableIncome[[#This Row],[SalaryP2]]-TableIncome[[#This Row],[InvestmentP2]])/12</f>
        <v>42762.306049497733</v>
      </c>
      <c r="M25" s="34">
        <f>'Net Salary P1'!BI24</f>
        <v>35108.677604963545</v>
      </c>
      <c r="N25" s="35">
        <f>'Net Salary P2'!BI24</f>
        <v>53452.88256187216</v>
      </c>
      <c r="O25" s="35">
        <f>IF(_xlfn.XLOOKUP(TableIncome[[#This Row],[Year]],Loop!C:C,Loop!D:D)&lt;75,(O24*(1+$I$4))+IF(TableIncomeCalculations[[#This Row],[SwitchP1]]="Y",O24*$I$6,0),0)</f>
        <v>64478.27429316863</v>
      </c>
      <c r="P25" s="35">
        <f>IF(_xlfn.XLOOKUP(TableIncome[[#This Row],[Year]],Loop!C:C,Loop!E:E)&lt;75,(P24*(1+$I$4))+IF(TableIncomeCalculations[[#This Row],[SwitchP2]]="Y",P24*$I$6,0),0)</f>
        <v>108214.03769570007</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423900.38312167104</v>
      </c>
      <c r="D26" s="37">
        <f>(TableIncomeCalculations[[#This Row],[NetMonthlySalaryP2]]*12)</f>
        <v>645791.8862804377</v>
      </c>
      <c r="E26" s="36">
        <f>TableIncome[[#This Row],[SalaryP1]]*$I$7</f>
        <v>84780.076624334208</v>
      </c>
      <c r="F26" s="36">
        <f>TableIncome[[#This Row],[SalaryP2]]*$I$7</f>
        <v>129158.37725608755</v>
      </c>
      <c r="G26" s="16"/>
      <c r="K26" s="57">
        <f>(TableIncome[[#This Row],[SalaryP1]]-TableIncome[[#This Row],[InvestmentP1]])/12</f>
        <v>28260.025541444735</v>
      </c>
      <c r="L26" s="57">
        <f>(TableIncome[[#This Row],[SalaryP2]]-TableIncome[[#This Row],[InvestmentP2]])/12</f>
        <v>43052.792418695848</v>
      </c>
      <c r="M26" s="34">
        <f>'Net Salary P1'!BI25</f>
        <v>35325.031926805917</v>
      </c>
      <c r="N26" s="35">
        <f>'Net Salary P2'!BI25</f>
        <v>53815.990523369808</v>
      </c>
      <c r="O26" s="35">
        <f>IF(_xlfn.XLOOKUP(TableIncome[[#This Row],[Year]],Loop!C:C,Loop!D:D)&lt;75,(O25*(1+$I$4))+IF(TableIncomeCalculations[[#This Row],[SwitchP1]]="Y",O25*$I$6,0),0)</f>
        <v>64994.100487513977</v>
      </c>
      <c r="P26" s="35">
        <f>IF(_xlfn.XLOOKUP(TableIncome[[#This Row],[Year]],Loop!C:C,Loop!E:E)&lt;75,(P25*(1+$I$4))+IF(TableIncomeCalculations[[#This Row],[SwitchP2]]="Y",P25*$I$6,0),0)</f>
        <v>109079.74999726567</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426517.40499867639</v>
      </c>
      <c r="D27" s="37">
        <f>(TableIncomeCalculations[[#This Row],[NetMonthlySalaryP2]]*12)</f>
        <v>650184.04018271295</v>
      </c>
      <c r="E27" s="36">
        <f>TableIncome[[#This Row],[SalaryP1]]*$I$7</f>
        <v>85303.480999735286</v>
      </c>
      <c r="F27" s="36">
        <f>TableIncome[[#This Row],[SalaryP2]]*$I$7</f>
        <v>130036.8080365426</v>
      </c>
      <c r="G27" s="16"/>
      <c r="K27" s="57">
        <f>(TableIncome[[#This Row],[SalaryP1]]-TableIncome[[#This Row],[InvestmentP1]])/12</f>
        <v>28434.493666578423</v>
      </c>
      <c r="L27" s="57">
        <f>(TableIncome[[#This Row],[SalaryP2]]-TableIncome[[#This Row],[InvestmentP2]])/12</f>
        <v>43345.602678847528</v>
      </c>
      <c r="M27" s="34">
        <f>'Net Salary P1'!BI26</f>
        <v>35543.117083223035</v>
      </c>
      <c r="N27" s="35">
        <f>'Net Salary P2'!BI26</f>
        <v>54182.00334855941</v>
      </c>
      <c r="O27" s="35">
        <f>IF(_xlfn.XLOOKUP(TableIncome[[#This Row],[Year]],Loop!C:C,Loop!D:D)&lt;75,(O26*(1+$I$4))+IF(TableIncomeCalculations[[#This Row],[SwitchP1]]="Y",O26*$I$6,0),0)</f>
        <v>65514.053291414086</v>
      </c>
      <c r="P27" s="35">
        <f>IF(_xlfn.XLOOKUP(TableIncome[[#This Row],[Year]],Loop!C:C,Loop!E:E)&lt;75,(P26*(1+$I$4))+IF(TableIncomeCalculations[[#This Row],[SwitchP2]]="Y",P26*$I$6,0),0)</f>
        <v>109952.38799724379</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429155.36305069784</v>
      </c>
      <c r="D28" s="37">
        <f>(TableIncomeCalculations[[#This Row],[NetMonthlySalaryP2]]*12)</f>
        <v>654611.33131620684</v>
      </c>
      <c r="E28" s="36">
        <f>TableIncome[[#This Row],[SalaryP1]]*$I$7</f>
        <v>85831.07261013957</v>
      </c>
      <c r="F28" s="36">
        <f>TableIncome[[#This Row],[SalaryP2]]*$I$7</f>
        <v>130922.26626324137</v>
      </c>
      <c r="G28" s="16"/>
      <c r="K28" s="57">
        <f>(TableIncome[[#This Row],[SalaryP1]]-TableIncome[[#This Row],[InvestmentP1]])/12</f>
        <v>28610.357536713189</v>
      </c>
      <c r="L28" s="57">
        <f>(TableIncome[[#This Row],[SalaryP2]]-TableIncome[[#This Row],[InvestmentP2]])/12</f>
        <v>43640.755421080459</v>
      </c>
      <c r="M28" s="34">
        <f>'Net Salary P1'!BI27</f>
        <v>35762.946920891489</v>
      </c>
      <c r="N28" s="35">
        <f>'Net Salary P2'!BI27</f>
        <v>54550.944276350572</v>
      </c>
      <c r="O28" s="35">
        <f>IF(_xlfn.XLOOKUP(TableIncome[[#This Row],[Year]],Loop!C:C,Loop!D:D)&lt;75,(O27*(1+$I$4))+IF(TableIncomeCalculations[[#This Row],[SwitchP1]]="Y",O27*$I$6,0),0)</f>
        <v>66038.165717745404</v>
      </c>
      <c r="P28" s="35">
        <f>IF(_xlfn.XLOOKUP(TableIncome[[#This Row],[Year]],Loop!C:C,Loop!E:E)&lt;75,(P27*(1+$I$4))+IF(TableIncomeCalculations[[#This Row],[SwitchP2]]="Y",P27*$I$6,0),0)</f>
        <v>110832.00710122174</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431814.42476713541</v>
      </c>
      <c r="D29" s="37">
        <f>(TableIncomeCalculations[[#This Row],[NetMonthlySalaryP2]]*12)</f>
        <v>659074.04077876848</v>
      </c>
      <c r="E29" s="36">
        <f>TableIncome[[#This Row],[SalaryP1]]*$I$7</f>
        <v>86362.884953427085</v>
      </c>
      <c r="F29" s="36">
        <f>TableIncome[[#This Row],[SalaryP2]]*$I$7</f>
        <v>131814.80815575371</v>
      </c>
      <c r="G29" s="16"/>
      <c r="K29" s="57">
        <f>(TableIncome[[#This Row],[SalaryP1]]-TableIncome[[#This Row],[InvestmentP1]])/12</f>
        <v>28787.628317809027</v>
      </c>
      <c r="L29" s="57">
        <f>(TableIncome[[#This Row],[SalaryP2]]-TableIncome[[#This Row],[InvestmentP2]])/12</f>
        <v>43938.269385251238</v>
      </c>
      <c r="M29" s="34">
        <f>'Net Salary P1'!BI28</f>
        <v>35984.535397261287</v>
      </c>
      <c r="N29" s="35">
        <f>'Net Salary P2'!BI28</f>
        <v>54922.836731564043</v>
      </c>
      <c r="O29" s="35">
        <f>IF(_xlfn.XLOOKUP(TableIncome[[#This Row],[Year]],Loop!C:C,Loop!D:D)&lt;75,(O28*(1+$I$4))+IF(TableIncomeCalculations[[#This Row],[SwitchP1]]="Y",O28*$I$6,0),0)</f>
        <v>66566.47104348737</v>
      </c>
      <c r="P29" s="35">
        <f>IF(_xlfn.XLOOKUP(TableIncome[[#This Row],[Year]],Loop!C:C,Loop!E:E)&lt;75,(P28*(1+$I$4))+IF(TableIncomeCalculations[[#This Row],[SwitchP2]]="Y",P28*$I$6,0),0)</f>
        <v>111718.66315803152</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434494.75897730456</v>
      </c>
      <c r="D30" s="37">
        <f>(TableIncomeCalculations[[#This Row],[NetMonthlySalaryP2]]*12)</f>
        <v>663572.45191703073</v>
      </c>
      <c r="E30" s="36">
        <f>TableIncome[[#This Row],[SalaryP1]]*$I$7</f>
        <v>86898.951795460918</v>
      </c>
      <c r="F30" s="36">
        <f>TableIncome[[#This Row],[SalaryP2]]*$I$7</f>
        <v>132714.49038340614</v>
      </c>
      <c r="G30" s="16"/>
      <c r="K30" s="57">
        <f>(TableIncome[[#This Row],[SalaryP1]]-TableIncome[[#This Row],[InvestmentP1]])/12</f>
        <v>28966.317265153641</v>
      </c>
      <c r="L30" s="57">
        <f>(TableIncome[[#This Row],[SalaryP2]]-TableIncome[[#This Row],[InvestmentP2]])/12</f>
        <v>44238.16346113538</v>
      </c>
      <c r="M30" s="34">
        <f>'Net Salary P1'!BI29</f>
        <v>36207.896581442044</v>
      </c>
      <c r="N30" s="35">
        <f>'Net Salary P2'!BI29</f>
        <v>55297.704326419225</v>
      </c>
      <c r="O30" s="35">
        <f>IF(_xlfn.XLOOKUP(TableIncome[[#This Row],[Year]],Loop!C:C,Loop!D:D)&lt;75,(O29*(1+$I$4))+IF(TableIncomeCalculations[[#This Row],[SwitchP1]]="Y",O29*$I$6,0),0)</f>
        <v>67099.002811835264</v>
      </c>
      <c r="P30" s="35">
        <f>IF(_xlfn.XLOOKUP(TableIncome[[#This Row],[Year]],Loop!C:C,Loop!E:E)&lt;75,(P29*(1+$I$4))+IF(TableIncomeCalculations[[#This Row],[SwitchP2]]="Y",P29*$I$6,0),0)</f>
        <v>112612.41246329577</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437196.53586115502</v>
      </c>
      <c r="D31" s="37">
        <f>(TableIncomeCalculations[[#This Row],[NetMonthlySalaryP2]]*12)</f>
        <v>668106.85034439887</v>
      </c>
      <c r="E31" s="36">
        <f>TableIncome[[#This Row],[SalaryP1]]*$I$7</f>
        <v>87439.307172231012</v>
      </c>
      <c r="F31" s="36">
        <f>TableIncome[[#This Row],[SalaryP2]]*$I$7</f>
        <v>133621.37006887977</v>
      </c>
      <c r="G31" s="16"/>
      <c r="K31" s="57">
        <f>(TableIncome[[#This Row],[SalaryP1]]-TableIncome[[#This Row],[InvestmentP1]])/12</f>
        <v>29146.435724077</v>
      </c>
      <c r="L31" s="57">
        <f>(TableIncome[[#This Row],[SalaryP2]]-TableIncome[[#This Row],[InvestmentP2]])/12</f>
        <v>44540.45668962659</v>
      </c>
      <c r="M31" s="34">
        <f>'Net Salary P1'!BI30</f>
        <v>36433.044655096252</v>
      </c>
      <c r="N31" s="35">
        <f>'Net Salary P2'!BI30</f>
        <v>55675.570862033237</v>
      </c>
      <c r="O31" s="35">
        <f>IF(_xlfn.XLOOKUP(TableIncome[[#This Row],[Year]],Loop!C:C,Loop!D:D)&lt;75,(O30*(1+$I$4))+IF(TableIncomeCalculations[[#This Row],[SwitchP1]]="Y",O30*$I$6,0),0)</f>
        <v>67635.79483432995</v>
      </c>
      <c r="P31" s="35">
        <f>IF(_xlfn.XLOOKUP(TableIncome[[#This Row],[Year]],Loop!C:C,Loop!E:E)&lt;75,(P30*(1+$I$4))+IF(TableIncomeCalculations[[#This Row],[SwitchP2]]="Y",P30*$I$6,0),0)</f>
        <v>113513.31176300213</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439919.92696007621</v>
      </c>
      <c r="D32" s="37">
        <f>(TableIncomeCalculations[[#This Row],[NetMonthlySalaryP2]]*12)</f>
        <v>672677.52395918604</v>
      </c>
      <c r="E32" s="36">
        <f>TableIncome[[#This Row],[SalaryP1]]*$I$7</f>
        <v>87983.985392015253</v>
      </c>
      <c r="F32" s="36">
        <f>TableIncome[[#This Row],[SalaryP2]]*$I$7</f>
        <v>134535.50479183721</v>
      </c>
      <c r="G32" s="16"/>
      <c r="K32" s="57">
        <f>(TableIncome[[#This Row],[SalaryP1]]-TableIncome[[#This Row],[InvestmentP1]])/12</f>
        <v>29327.995130671745</v>
      </c>
      <c r="L32" s="57">
        <f>(TableIncome[[#This Row],[SalaryP2]]-TableIncome[[#This Row],[InvestmentP2]])/12</f>
        <v>44845.168263945736</v>
      </c>
      <c r="M32" s="34">
        <f>'Net Salary P1'!BI31</f>
        <v>36659.993913339684</v>
      </c>
      <c r="N32" s="35">
        <f>'Net Salary P2'!BI31</f>
        <v>56056.460329932168</v>
      </c>
      <c r="O32" s="35">
        <f>IF(_xlfn.XLOOKUP(TableIncome[[#This Row],[Year]],Loop!C:C,Loop!D:D)&lt;75,(O31*(1+$I$4))+IF(TableIncomeCalculations[[#This Row],[SwitchP1]]="Y",O31*$I$6,0),0)</f>
        <v>68176.881193004592</v>
      </c>
      <c r="P32" s="35">
        <f>IF(_xlfn.XLOOKUP(TableIncome[[#This Row],[Year]],Loop!C:C,Loop!E:E)&lt;75,(P31*(1+$I$4))+IF(TableIncomeCalculations[[#This Row],[SwitchP2]]="Y",P31*$I$6,0),0)</f>
        <v>114421.41825710615</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442665.10518778884</v>
      </c>
      <c r="D33" s="37">
        <f>(TableIncomeCalculations[[#This Row],[NetMonthlySalaryP2]]*12)</f>
        <v>677284.76296289149</v>
      </c>
      <c r="E33" s="36">
        <f>TableIncome[[#This Row],[SalaryP1]]*$I$7</f>
        <v>88533.021037557774</v>
      </c>
      <c r="F33" s="36">
        <f>TableIncome[[#This Row],[SalaryP2]]*$I$7</f>
        <v>135456.95259257831</v>
      </c>
      <c r="G33" s="16"/>
      <c r="K33" s="57">
        <f>(TableIncome[[#This Row],[SalaryP1]]-TableIncome[[#This Row],[InvestmentP1]])/12</f>
        <v>29511.007012519258</v>
      </c>
      <c r="L33" s="57">
        <f>(TableIncome[[#This Row],[SalaryP2]]-TableIncome[[#This Row],[InvestmentP2]])/12</f>
        <v>45152.317530859436</v>
      </c>
      <c r="M33" s="34">
        <f>'Net Salary P1'!BI32</f>
        <v>36888.758765649072</v>
      </c>
      <c r="N33" s="35">
        <f>'Net Salary P2'!BI32</f>
        <v>56440.396913574288</v>
      </c>
      <c r="O33" s="35">
        <f>IF(_xlfn.XLOOKUP(TableIncome[[#This Row],[Year]],Loop!C:C,Loop!D:D)&lt;75,(O32*(1+$I$4))+IF(TableIncomeCalculations[[#This Row],[SwitchP1]]="Y",O32*$I$6,0),0)</f>
        <v>68722.296242548633</v>
      </c>
      <c r="P33" s="35">
        <f>IF(_xlfn.XLOOKUP(TableIncome[[#This Row],[Year]],Loop!C:C,Loop!E:E)&lt;75,(P32*(1+$I$4))+IF(TableIncomeCalculations[[#This Row],[SwitchP2]]="Y",P32*$I$6,0),0)</f>
        <v>115336.78960316301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445432.24484132323</v>
      </c>
      <c r="D34" s="37">
        <f>(TableIncomeCalculations[[#This Row],[NetMonthlySalaryP2]]*12)</f>
        <v>681928.85987862665</v>
      </c>
      <c r="E34" s="36">
        <f>TableIncome[[#This Row],[SalaryP1]]*$I$7</f>
        <v>89086.448968264653</v>
      </c>
      <c r="F34" s="36">
        <f>TableIncome[[#This Row],[SalaryP2]]*$I$7</f>
        <v>136385.77197572534</v>
      </c>
      <c r="G34" s="16"/>
      <c r="K34" s="57">
        <f>(TableIncome[[#This Row],[SalaryP1]]-TableIncome[[#This Row],[InvestmentP1]])/12</f>
        <v>29695.482989421551</v>
      </c>
      <c r="L34" s="57">
        <f>(TableIncome[[#This Row],[SalaryP2]]-TableIncome[[#This Row],[InvestmentP2]])/12</f>
        <v>45461.923991908443</v>
      </c>
      <c r="M34" s="34">
        <f>'Net Salary P1'!BI33</f>
        <v>37119.353736776939</v>
      </c>
      <c r="N34" s="35">
        <f>'Net Salary P2'!BI33</f>
        <v>56827.404989885552</v>
      </c>
      <c r="O34" s="35">
        <f>IF(_xlfn.XLOOKUP(TableIncome[[#This Row],[Year]],Loop!C:C,Loop!D:D)&lt;75,(O33*(1+$I$4))+IF(TableIncomeCalculations[[#This Row],[SwitchP1]]="Y",O33*$I$6,0),0)</f>
        <v>69272.074612489028</v>
      </c>
      <c r="P34" s="35">
        <f>IF(_xlfn.XLOOKUP(TableIncome[[#This Row],[Year]],Loop!C:C,Loop!E:E)&lt;75,(P33*(1+$I$4))+IF(TableIncomeCalculations[[#This Row],[SwitchP2]]="Y",P33*$I$6,0),0)</f>
        <v>116259.48391998831</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448221.52161208575</v>
      </c>
      <c r="D35" s="37">
        <f>(TableIncomeCalculations[[#This Row],[NetMonthlySalaryP2]]*12)</f>
        <v>686610.10956968775</v>
      </c>
      <c r="E35" s="36">
        <f>TableIncome[[#This Row],[SalaryP1]]*$I$7</f>
        <v>89644.304322417156</v>
      </c>
      <c r="F35" s="36">
        <f>TableIncome[[#This Row],[SalaryP2]]*$I$7</f>
        <v>137322.02191393755</v>
      </c>
      <c r="G35" s="16"/>
      <c r="K35" s="57">
        <f>(TableIncome[[#This Row],[SalaryP1]]-TableIncome[[#This Row],[InvestmentP1]])/12</f>
        <v>29881.434774139052</v>
      </c>
      <c r="L35" s="57">
        <f>(TableIncome[[#This Row],[SalaryP2]]-TableIncome[[#This Row],[InvestmentP2]])/12</f>
        <v>45774.007304645849</v>
      </c>
      <c r="M35" s="34">
        <f>'Net Salary P1'!BI34</f>
        <v>37351.793467673815</v>
      </c>
      <c r="N35" s="35">
        <f>'Net Salary P2'!BI34</f>
        <v>57217.50913080731</v>
      </c>
      <c r="O35" s="35">
        <f>IF(_xlfn.XLOOKUP(TableIncome[[#This Row],[Year]],Loop!C:C,Loop!D:D)&lt;75,(O34*(1+$I$4))+IF(TableIncomeCalculations[[#This Row],[SwitchP1]]="Y",O34*$I$6,0),0)</f>
        <v>69826.251209388938</v>
      </c>
      <c r="P35" s="35">
        <f>IF(_xlfn.XLOOKUP(TableIncome[[#This Row],[Year]],Loop!C:C,Loop!E:E)&lt;75,(P34*(1+$I$4))+IF(TableIncomeCalculations[[#This Row],[SwitchP2]]="Y",P34*$I$6,0),0)</f>
        <v>117189.55979134822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451033.11259701452</v>
      </c>
      <c r="D36" s="37">
        <f>(TableIncomeCalculations[[#This Row],[NetMonthlySalaryP2]]*12)</f>
        <v>691328.8092582773</v>
      </c>
      <c r="E36" s="36">
        <f>TableIncome[[#This Row],[SalaryP1]]*$I$7</f>
        <v>90206.62251940291</v>
      </c>
      <c r="F36" s="36">
        <f>TableIncome[[#This Row],[SalaryP2]]*$I$7</f>
        <v>138265.76185165546</v>
      </c>
      <c r="G36" s="16"/>
      <c r="K36" s="57">
        <f>(TableIncome[[#This Row],[SalaryP1]]-TableIncome[[#This Row],[InvestmentP1]])/12</f>
        <v>30068.874173134303</v>
      </c>
      <c r="L36" s="57">
        <f>(TableIncome[[#This Row],[SalaryP2]]-TableIncome[[#This Row],[InvestmentP2]])/12</f>
        <v>46088.587283885157</v>
      </c>
      <c r="M36" s="34">
        <f>'Net Salary P1'!BI35</f>
        <v>37586.092716417879</v>
      </c>
      <c r="N36" s="35">
        <f>'Net Salary P2'!BI35</f>
        <v>57610.734104856441</v>
      </c>
      <c r="O36" s="35">
        <f>IF(_xlfn.XLOOKUP(TableIncome[[#This Row],[Year]],Loop!C:C,Loop!D:D)&lt;75,(O35*(1+$I$4))+IF(TableIncomeCalculations[[#This Row],[SwitchP1]]="Y",O35*$I$6,0),0)</f>
        <v>70384.861219064056</v>
      </c>
      <c r="P36" s="35">
        <f>IF(_xlfn.XLOOKUP(TableIncome[[#This Row],[Year]],Loop!C:C,Loop!E:E)&lt;75,(P35*(1+$I$4))+IF(TableIncomeCalculations[[#This Row],[SwitchP2]]="Y",P35*$I$6,0),0)</f>
        <v>118127.076269679</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453867.19630982261</v>
      </c>
      <c r="D37" s="37">
        <f>(TableIncomeCalculations[[#This Row],[NetMonthlySalaryP2]]*12)</f>
        <v>696085.25854437542</v>
      </c>
      <c r="E37" s="36">
        <f>TableIncome[[#This Row],[SalaryP1]]*$I$7</f>
        <v>90773.439261964522</v>
      </c>
      <c r="F37" s="36">
        <f>TableIncome[[#This Row],[SalaryP2]]*$I$7</f>
        <v>139217.05170887508</v>
      </c>
      <c r="G37" s="16"/>
      <c r="K37" s="57">
        <f>(TableIncome[[#This Row],[SalaryP1]]-TableIncome[[#This Row],[InvestmentP1]])/12</f>
        <v>30257.813087321509</v>
      </c>
      <c r="L37" s="57">
        <f>(TableIncome[[#This Row],[SalaryP2]]-TableIncome[[#This Row],[InvestmentP2]])/12</f>
        <v>46405.683902958357</v>
      </c>
      <c r="M37" s="34">
        <f>'Net Salary P1'!BI36</f>
        <v>37822.266359151887</v>
      </c>
      <c r="N37" s="35">
        <f>'Net Salary P2'!BI36</f>
        <v>58007.104878697952</v>
      </c>
      <c r="O37" s="35">
        <f>IF(_xlfn.XLOOKUP(TableIncome[[#This Row],[Year]],Loop!C:C,Loop!D:D)&lt;75,(O36*(1+$I$4))+IF(TableIncomeCalculations[[#This Row],[SwitchP1]]="Y",O36*$I$6,0),0)</f>
        <v>70947.940108816576</v>
      </c>
      <c r="P37" s="35">
        <f>IF(_xlfn.XLOOKUP(TableIncome[[#This Row],[Year]],Loop!C:C,Loop!E:E)&lt;75,(P36*(1+$I$4))+IF(TableIncomeCalculations[[#This Row],[SwitchP2]]="Y",P36*$I$6,0),0)</f>
        <v>119072.09287983643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470293.54550925852</v>
      </c>
      <c r="D38" s="37">
        <f>(TableIncomeCalculations[[#This Row],[NetMonthlySalaryP2]]*12)</f>
        <v>0</v>
      </c>
      <c r="E38" s="36">
        <f>TableIncome[[#This Row],[SalaryP1]]*$I$7</f>
        <v>94058.709101851709</v>
      </c>
      <c r="F38" s="36">
        <f>TableIncome[[#This Row],[SalaryP2]]*$I$7</f>
        <v>0</v>
      </c>
      <c r="G38" s="16"/>
      <c r="K38" s="57">
        <f>(TableIncome[[#This Row],[SalaryP1]]-TableIncome[[#This Row],[InvestmentP1]])/12</f>
        <v>31352.90303395057</v>
      </c>
      <c r="L38" s="57">
        <f>(TableIncome[[#This Row],[SalaryP2]]-TableIncome[[#This Row],[InvestmentP2]])/12</f>
        <v>0</v>
      </c>
      <c r="M38" s="34">
        <f>'Net Salary P1'!BI37</f>
        <v>39191.128792438212</v>
      </c>
      <c r="N38" s="35">
        <f>'Net Salary P2'!BI37</f>
        <v>0</v>
      </c>
      <c r="O38" s="35">
        <f>IF(_xlfn.XLOOKUP(TableIncome[[#This Row],[Year]],Loop!C:C,Loop!D:D)&lt;75,(O37*(1+$I$4))+IF(TableIncomeCalculations[[#This Row],[SwitchP1]]="Y",O37*$I$6,0),0)</f>
        <v>74211.545353822148</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473281.71268536465</v>
      </c>
      <c r="D39" s="37">
        <f>(TableIncomeCalculations[[#This Row],[NetMonthlySalaryP2]]*12)</f>
        <v>0</v>
      </c>
      <c r="E39" s="36">
        <f>TableIncome[[#This Row],[SalaryP1]]*$I$7</f>
        <v>94656.342537072938</v>
      </c>
      <c r="F39" s="36">
        <f>TableIncome[[#This Row],[SalaryP2]]*$I$7</f>
        <v>0</v>
      </c>
      <c r="G39" s="16"/>
      <c r="K39" s="57">
        <f>(TableIncome[[#This Row],[SalaryP1]]-TableIncome[[#This Row],[InvestmentP1]])/12</f>
        <v>31552.114179024309</v>
      </c>
      <c r="L39" s="57">
        <f>(TableIncome[[#This Row],[SalaryP2]]-TableIncome[[#This Row],[InvestmentP2]])/12</f>
        <v>0</v>
      </c>
      <c r="M39" s="34">
        <f>'Net Salary P1'!BI38</f>
        <v>39440.142723780387</v>
      </c>
      <c r="N39" s="35">
        <f>'Net Salary P2'!BI38</f>
        <v>0</v>
      </c>
      <c r="O39" s="35">
        <f>IF(_xlfn.XLOOKUP(TableIncome[[#This Row],[Year]],Loop!C:C,Loop!D:D)&lt;75,(O38*(1+$I$4))+IF(TableIncomeCalculations[[#This Row],[SwitchP1]]="Y",O38*$I$6,0),0)</f>
        <v>74805.237716652729</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476293.78519887954</v>
      </c>
      <c r="D40" s="37">
        <f>(TableIncomeCalculations[[#This Row],[NetMonthlySalaryP2]]*12)</f>
        <v>0</v>
      </c>
      <c r="E40" s="36">
        <f>TableIncome[[#This Row],[SalaryP1]]*$I$7</f>
        <v>95258.757039775912</v>
      </c>
      <c r="F40" s="36">
        <f>TableIncome[[#This Row],[SalaryP2]]*$I$7</f>
        <v>0</v>
      </c>
      <c r="G40" s="16"/>
      <c r="K40" s="57">
        <f>(TableIncome[[#This Row],[SalaryP1]]-TableIncome[[#This Row],[InvestmentP1]])/12</f>
        <v>31752.919013258637</v>
      </c>
      <c r="L40" s="57">
        <f>(TableIncome[[#This Row],[SalaryP2]]-TableIncome[[#This Row],[InvestmentP2]])/12</f>
        <v>0</v>
      </c>
      <c r="M40" s="34">
        <f>'Net Salary P1'!BI39</f>
        <v>39691.148766573293</v>
      </c>
      <c r="N40" s="35">
        <f>'Net Salary P2'!BI39</f>
        <v>0</v>
      </c>
      <c r="O40" s="35">
        <f>IF(_xlfn.XLOOKUP(TableIncome[[#This Row],[Year]],Loop!C:C,Loop!D:D)&lt;75,(O39*(1+$I$4))+IF(TableIncomeCalculations[[#This Row],[SwitchP1]]="Y",O39*$I$6,0),0)</f>
        <v>75403.679618385955</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479329.9542925026</v>
      </c>
      <c r="D41" s="37">
        <f>(TableIncomeCalculations[[#This Row],[NetMonthlySalaryP2]]*12)</f>
        <v>0</v>
      </c>
      <c r="E41" s="36">
        <f>TableIncome[[#This Row],[SalaryP1]]*$I$7</f>
        <v>95865.990858500532</v>
      </c>
      <c r="F41" s="36">
        <f>TableIncome[[#This Row],[SalaryP2]]*$I$7</f>
        <v>0</v>
      </c>
      <c r="G41" s="16"/>
      <c r="K41" s="57">
        <f>(TableIncome[[#This Row],[SalaryP1]]-TableIncome[[#This Row],[InvestmentP1]])/12</f>
        <v>31955.330286166838</v>
      </c>
      <c r="L41" s="57">
        <f>(TableIncome[[#This Row],[SalaryP2]]-TableIncome[[#This Row],[InvestmentP2]])/12</f>
        <v>0</v>
      </c>
      <c r="M41" s="34">
        <f>'Net Salary P1'!BI40</f>
        <v>39944.16285770855</v>
      </c>
      <c r="N41" s="35">
        <f>'Net Salary P2'!BI40</f>
        <v>0</v>
      </c>
      <c r="O41" s="35">
        <f>IF(_xlfn.XLOOKUP(TableIncome[[#This Row],[Year]],Loop!C:C,Loop!D:D)&lt;75,(O40*(1+$I$4))+IF(TableIncomeCalculations[[#This Row],[SwitchP1]]="Y",O40*$I$6,0),0)</f>
        <v>76006.909055333046</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482390.41273887467</v>
      </c>
      <c r="D42" s="37">
        <f>(TableIncomeCalculations[[#This Row],[NetMonthlySalaryP2]]*12)</f>
        <v>0</v>
      </c>
      <c r="E42" s="36">
        <f>TableIncome[[#This Row],[SalaryP1]]*$I$7</f>
        <v>96478.082547774946</v>
      </c>
      <c r="F42" s="36">
        <f>TableIncome[[#This Row],[SalaryP2]]*$I$7</f>
        <v>0</v>
      </c>
      <c r="G42" s="16"/>
      <c r="K42" s="57">
        <f>(TableIncome[[#This Row],[SalaryP1]]-TableIncome[[#This Row],[InvestmentP1]])/12</f>
        <v>32159.360849258312</v>
      </c>
      <c r="L42" s="57">
        <f>(TableIncome[[#This Row],[SalaryP2]]-TableIncome[[#This Row],[InvestmentP2]])/12</f>
        <v>0</v>
      </c>
      <c r="M42" s="34">
        <f>'Net Salary P1'!BI41</f>
        <v>40199.201061572887</v>
      </c>
      <c r="N42" s="35">
        <f>'Net Salary P2'!BI41</f>
        <v>0</v>
      </c>
      <c r="O42" s="35">
        <f>IF(_xlfn.XLOOKUP(TableIncome[[#This Row],[Year]],Loop!C:C,Loop!D:D)&lt;75,(O41*(1+$I$4))+IF(TableIncomeCalculations[[#This Row],[SwitchP1]]="Y",O41*$I$6,0),0)</f>
        <v>76614.964327775713</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485475.3548528176</v>
      </c>
      <c r="D43" s="37">
        <f>(TableIncomeCalculations[[#This Row],[NetMonthlySalaryP2]]*12)</f>
        <v>0</v>
      </c>
      <c r="E43" s="36">
        <f>TableIncome[[#This Row],[SalaryP1]]*$I$7</f>
        <v>97095.070970563524</v>
      </c>
      <c r="F43" s="36">
        <f>TableIncome[[#This Row],[SalaryP2]]*$I$7</f>
        <v>0</v>
      </c>
      <c r="G43" s="16"/>
      <c r="K43" s="57">
        <f>(TableIncome[[#This Row],[SalaryP1]]-TableIncome[[#This Row],[InvestmentP1]])/12</f>
        <v>32365.023656854508</v>
      </c>
      <c r="L43" s="57">
        <f>(TableIncome[[#This Row],[SalaryP2]]-TableIncome[[#This Row],[InvestmentP2]])/12</f>
        <v>0</v>
      </c>
      <c r="M43" s="34">
        <f>'Net Salary P1'!BI42</f>
        <v>40456.279571068131</v>
      </c>
      <c r="N43" s="35">
        <f>'Net Salary P2'!BI42</f>
        <v>0</v>
      </c>
      <c r="O43" s="35">
        <f>IF(_xlfn.XLOOKUP(TableIncome[[#This Row],[Year]],Loop!C:C,Loop!D:D)&lt;75,(O42*(1+$I$4))+IF(TableIncomeCalculations[[#This Row],[SwitchP1]]="Y",O42*$I$6,0),0)</f>
        <v>77227.884042397913</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488584.97650367208</v>
      </c>
      <c r="D44" s="37">
        <f>(TableIncomeCalculations[[#This Row],[NetMonthlySalaryP2]]*12)</f>
        <v>0</v>
      </c>
      <c r="E44" s="36">
        <f>TableIncome[[#This Row],[SalaryP1]]*$I$7</f>
        <v>97716.995300734416</v>
      </c>
      <c r="F44" s="36">
        <f>TableIncome[[#This Row],[SalaryP2]]*$I$7</f>
        <v>0</v>
      </c>
      <c r="G44" s="16"/>
      <c r="K44" s="57">
        <f>(TableIncome[[#This Row],[SalaryP1]]-TableIncome[[#This Row],[InvestmentP1]])/12</f>
        <v>32572.331766911473</v>
      </c>
      <c r="L44" s="57">
        <f>(TableIncome[[#This Row],[SalaryP2]]-TableIncome[[#This Row],[InvestmentP2]])/12</f>
        <v>0</v>
      </c>
      <c r="M44" s="34">
        <f>'Net Salary P1'!BI43</f>
        <v>40715.414708639342</v>
      </c>
      <c r="N44" s="35">
        <f>'Net Salary P2'!BI43</f>
        <v>0</v>
      </c>
      <c r="O44" s="35">
        <f>IF(_xlfn.XLOOKUP(TableIncome[[#This Row],[Year]],Loop!C:C,Loop!D:D)&lt;75,(O43*(1+$I$4))+IF(TableIncomeCalculations[[#This Row],[SwitchP1]]="Y",O43*$I$6,0),0)</f>
        <v>77845.707114737103</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491719.47512773355</v>
      </c>
      <c r="D45" s="37">
        <f>(TableIncomeCalculations[[#This Row],[NetMonthlySalaryP2]]*12)</f>
        <v>0</v>
      </c>
      <c r="E45" s="36">
        <f>TableIncome[[#This Row],[SalaryP1]]*$I$7</f>
        <v>98343.895025546721</v>
      </c>
      <c r="F45" s="36">
        <f>TableIncome[[#This Row],[SalaryP2]]*$I$7</f>
        <v>0</v>
      </c>
      <c r="G45" s="16"/>
      <c r="K45" s="57">
        <f>(TableIncome[[#This Row],[SalaryP1]]-TableIncome[[#This Row],[InvestmentP1]])/12</f>
        <v>32781.298341848902</v>
      </c>
      <c r="L45" s="57">
        <f>(TableIncome[[#This Row],[SalaryP2]]-TableIncome[[#This Row],[InvestmentP2]])/12</f>
        <v>0</v>
      </c>
      <c r="M45" s="34">
        <f>'Net Salary P1'!BI44</f>
        <v>40976.622927311131</v>
      </c>
      <c r="N45" s="35">
        <f>'Net Salary P2'!BI44</f>
        <v>0</v>
      </c>
      <c r="O45" s="35">
        <f>IF(_xlfn.XLOOKUP(TableIncome[[#This Row],[Year]],Loop!C:C,Loop!D:D)&lt;75,(O44*(1+$I$4))+IF(TableIncomeCalculations[[#This Row],[SwitchP1]]="Y",O44*$I$6,0),0)</f>
        <v>78468.472771654997</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494879.04974078748</v>
      </c>
      <c r="D46" s="37">
        <f>(TableIncomeCalculations[[#This Row],[NetMonthlySalaryP2]]*12)</f>
        <v>0</v>
      </c>
      <c r="E46" s="36">
        <f>TableIncome[[#This Row],[SalaryP1]]*$I$7</f>
        <v>98975.809948157505</v>
      </c>
      <c r="F46" s="36">
        <f>TableIncome[[#This Row],[SalaryP2]]*$I$7</f>
        <v>0</v>
      </c>
      <c r="G46" s="16"/>
      <c r="K46" s="57">
        <f>(TableIncome[[#This Row],[SalaryP1]]-TableIncome[[#This Row],[InvestmentP1]])/12</f>
        <v>32991.936649385832</v>
      </c>
      <c r="L46" s="57">
        <f>(TableIncome[[#This Row],[SalaryP2]]-TableIncome[[#This Row],[InvestmentP2]])/12</f>
        <v>0</v>
      </c>
      <c r="M46" s="34">
        <f>'Net Salary P1'!BI45</f>
        <v>41239.920811732292</v>
      </c>
      <c r="N46" s="35">
        <f>'Net Salary P2'!BI45</f>
        <v>0</v>
      </c>
      <c r="O46" s="35">
        <f>IF(_xlfn.XLOOKUP(TableIncome[[#This Row],[Year]],Loop!C:C,Loop!D:D)&lt;75,(O45*(1+$I$4))+IF(TableIncomeCalculations[[#This Row],[SwitchP1]]="Y",O45*$I$6,0),0)</f>
        <v>79096.220553828243</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498063.9009507458</v>
      </c>
      <c r="D47" s="37">
        <f>(TableIncomeCalculations[[#This Row],[NetMonthlySalaryP2]]*12)</f>
        <v>0</v>
      </c>
      <c r="E47" s="36">
        <f>TableIncome[[#This Row],[SalaryP1]]*$I$7</f>
        <v>99612.780190149162</v>
      </c>
      <c r="F47" s="36">
        <f>TableIncome[[#This Row],[SalaryP2]]*$I$7</f>
        <v>0</v>
      </c>
      <c r="G47" s="16"/>
      <c r="K47" s="57">
        <f>(TableIncome[[#This Row],[SalaryP1]]-TableIncome[[#This Row],[InvestmentP1]])/12</f>
        <v>33204.260063383052</v>
      </c>
      <c r="L47" s="57">
        <f>(TableIncome[[#This Row],[SalaryP2]]-TableIncome[[#This Row],[InvestmentP2]])/12</f>
        <v>0</v>
      </c>
      <c r="M47" s="34">
        <f>'Net Salary P1'!BI46</f>
        <v>41505.325079228816</v>
      </c>
      <c r="N47" s="35">
        <f>'Net Salary P2'!BI46</f>
        <v>0</v>
      </c>
      <c r="O47" s="35">
        <f>IF(_xlfn.XLOOKUP(TableIncome[[#This Row],[Year]],Loop!C:C,Loop!D:D)&lt;75,(O46*(1+$I$4))+IF(TableIncomeCalculations[[#This Row],[SwitchP1]]="Y",O46*$I$6,0),0)</f>
        <v>79728.990318258875</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501274.23097038374</v>
      </c>
      <c r="D48" s="37">
        <f>(TableIncomeCalculations[[#This Row],[NetMonthlySalaryP2]]*12)</f>
        <v>0</v>
      </c>
      <c r="E48" s="36">
        <f>TableIncome[[#This Row],[SalaryP1]]*$I$7</f>
        <v>100254.84619407676</v>
      </c>
      <c r="F48" s="36">
        <f>TableIncome[[#This Row],[SalaryP2]]*$I$7</f>
        <v>0</v>
      </c>
      <c r="G48" s="16"/>
      <c r="K48" s="57">
        <f>(TableIncome[[#This Row],[SalaryP1]]-TableIncome[[#This Row],[InvestmentP1]])/12</f>
        <v>33418.282064692248</v>
      </c>
      <c r="L48" s="57">
        <f>(TableIncome[[#This Row],[SalaryP2]]-TableIncome[[#This Row],[InvestmentP2]])/12</f>
        <v>0</v>
      </c>
      <c r="M48" s="34">
        <f>'Net Salary P1'!BI47</f>
        <v>41772.852580865314</v>
      </c>
      <c r="N48" s="35">
        <f>'Net Salary P2'!BI47</f>
        <v>0</v>
      </c>
      <c r="O48" s="35">
        <f>IF(_xlfn.XLOOKUP(TableIncome[[#This Row],[Year]],Loop!C:C,Loop!D:D)&lt;75,(O47*(1+$I$4))+IF(TableIncomeCalculations[[#This Row],[SwitchP1]]="Y",O47*$I$6,0),0)</f>
        <v>80366.822240804948</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504510.24363017885</v>
      </c>
      <c r="D49" s="37">
        <f>(TableIncomeCalculations[[#This Row],[NetMonthlySalaryP2]]*12)</f>
        <v>0</v>
      </c>
      <c r="E49" s="36">
        <f>TableIncome[[#This Row],[SalaryP1]]*$I$7</f>
        <v>100902.04872603578</v>
      </c>
      <c r="F49" s="36">
        <f>TableIncome[[#This Row],[SalaryP2]]*$I$7</f>
        <v>0</v>
      </c>
      <c r="K49" s="57">
        <f>(TableIncome[[#This Row],[SalaryP1]]-TableIncome[[#This Row],[InvestmentP1]])/12</f>
        <v>33634.016242011923</v>
      </c>
      <c r="L49" s="57">
        <f>(TableIncome[[#This Row],[SalaryP2]]-TableIncome[[#This Row],[InvestmentP2]])/12</f>
        <v>0</v>
      </c>
      <c r="M49" s="34">
        <f>'Net Salary P1'!BI48</f>
        <v>42042.520302514902</v>
      </c>
      <c r="N49" s="34">
        <f>'Net Salary P2'!BI48</f>
        <v>0</v>
      </c>
      <c r="O49" s="35">
        <f>IF(_xlfn.XLOOKUP(TableIncome[[#This Row],[Year]],Loop!C:C,Loop!D:D)&lt;75,(O48*(1+$I$4))+IF(TableIncomeCalculations[[#This Row],[SwitchP1]]="Y",O48*$I$6,0),0)</f>
        <v>81009.756818731388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507772.14439125231</v>
      </c>
      <c r="D50" s="37">
        <f>(TableIncomeCalculations[[#This Row],[NetMonthlySalaryP2]]*12)</f>
        <v>0</v>
      </c>
      <c r="E50" s="36">
        <f>TableIncome[[#This Row],[SalaryP1]]*$I$7</f>
        <v>101554.42887825047</v>
      </c>
      <c r="F50" s="36">
        <f>TableIncome[[#This Row],[SalaryP2]]*$I$7</f>
        <v>0</v>
      </c>
      <c r="K50" s="57">
        <f>(TableIncome[[#This Row],[SalaryP1]]-TableIncome[[#This Row],[InvestmentP1]])/12</f>
        <v>33851.476292750151</v>
      </c>
      <c r="L50" s="57">
        <f>(TableIncome[[#This Row],[SalaryP2]]-TableIncome[[#This Row],[InvestmentP2]])/12</f>
        <v>0</v>
      </c>
      <c r="M50" s="34">
        <f>'Net Salary P1'!BI49</f>
        <v>42314.34536593769</v>
      </c>
      <c r="N50" s="34">
        <f>'Net Salary P2'!BI49</f>
        <v>0</v>
      </c>
      <c r="O50" s="35">
        <f>IF(_xlfn.XLOOKUP(TableIncome[[#This Row],[Year]],Loop!C:C,Loop!D:D)&lt;75,(O49*(1+$I$4))+IF(TableIncomeCalculations[[#This Row],[SwitchP1]]="Y",O49*$I$6,0),0)</f>
        <v>81657.834873281245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511060.14035841427</v>
      </c>
      <c r="D51" s="37">
        <f>(TableIncomeCalculations[[#This Row],[NetMonthlySalaryP2]]*12)</f>
        <v>0</v>
      </c>
      <c r="E51" s="36">
        <f>TableIncome[[#This Row],[SalaryP1]]*$I$7</f>
        <v>102212.02807168286</v>
      </c>
      <c r="F51" s="36">
        <f>TableIncome[[#This Row],[SalaryP2]]*$I$7</f>
        <v>0</v>
      </c>
      <c r="K51" s="57">
        <f>(TableIncome[[#This Row],[SalaryP1]]-TableIncome[[#This Row],[InvestmentP1]])/12</f>
        <v>34070.676023894288</v>
      </c>
      <c r="L51" s="57">
        <f>(TableIncome[[#This Row],[SalaryP2]]-TableIncome[[#This Row],[InvestmentP2]])/12</f>
        <v>0</v>
      </c>
      <c r="M51" s="34">
        <f>'Net Salary P1'!BI50</f>
        <v>42588.345029867858</v>
      </c>
      <c r="N51" s="34">
        <f>'Net Salary P2'!BI50</f>
        <v>0</v>
      </c>
      <c r="O51" s="35">
        <f>IF(_xlfn.XLOOKUP(TableIncome[[#This Row],[Year]],Loop!C:C,Loop!D:D)&lt;75,(O50*(1+$I$4))+IF(TableIncomeCalculations[[#This Row],[SwitchP1]]="Y",O50*$I$6,0),0)</f>
        <v>82311.0975522675</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514374.44029331359</v>
      </c>
      <c r="D52" s="37">
        <f>(TableIncomeCalculations[[#This Row],[NetMonthlySalaryP2]]*12)</f>
        <v>0</v>
      </c>
      <c r="E52" s="36">
        <f>TableIncome[[#This Row],[SalaryP1]]*$I$7</f>
        <v>102874.88805866272</v>
      </c>
      <c r="F52" s="36">
        <f>TableIncome[[#This Row],[SalaryP2]]*$I$7</f>
        <v>0</v>
      </c>
      <c r="K52" s="57">
        <f>(TableIncome[[#This Row],[SalaryP1]]-TableIncome[[#This Row],[InvestmentP1]])/12</f>
        <v>34291.629352887576</v>
      </c>
      <c r="L52" s="57">
        <f>(TableIncome[[#This Row],[SalaryP2]]-TableIncome[[#This Row],[InvestmentP2]])/12</f>
        <v>0</v>
      </c>
      <c r="M52" s="34">
        <f>'Net Salary P1'!BI51</f>
        <v>42864.536691109468</v>
      </c>
      <c r="N52" s="34">
        <f>'Net Salary P2'!BI51</f>
        <v>0</v>
      </c>
      <c r="O52" s="35">
        <f>IF(_xlfn.XLOOKUP(TableIncome[[#This Row],[Year]],Loop!C:C,Loop!D:D)&lt;75,(O51*(1+$I$4))+IF(TableIncomeCalculations[[#This Row],[SwitchP1]]="Y",O51*$I$6,0),0)</f>
        <v>82969.586332685634</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43336.594911937376</v>
      </c>
      <c r="C2" s="28">
        <v>43683.287671232873</v>
      </c>
      <c r="D2" s="28">
        <v>45692.718904109584</v>
      </c>
      <c r="E2" s="28">
        <v>46058.260655342463</v>
      </c>
      <c r="F2" s="28">
        <v>46426.726740585204</v>
      </c>
      <c r="G2" s="28">
        <v>46798.140554509882</v>
      </c>
      <c r="H2" s="28">
        <v>48950.855020017334</v>
      </c>
      <c r="I2" s="28">
        <v>49342.461860177471</v>
      </c>
      <c r="J2" s="28">
        <v>49737.201555058891</v>
      </c>
      <c r="K2" s="28">
        <v>50135.099167499364</v>
      </c>
      <c r="L2" s="28">
        <v>52441.313729204332</v>
      </c>
      <c r="M2" s="28">
        <v>52860.844239037964</v>
      </c>
      <c r="N2" s="28">
        <v>53283.730992950266</v>
      </c>
      <c r="O2" s="28">
        <v>55734.782618625977</v>
      </c>
      <c r="P2" s="28">
        <v>56180.660879574985</v>
      </c>
      <c r="Q2" s="28">
        <v>56630.106166611586</v>
      </c>
      <c r="R2" s="28">
        <v>57083.14701594448</v>
      </c>
      <c r="S2" s="28">
        <v>57539.812192072037</v>
      </c>
      <c r="T2" s="28">
        <v>60186.643552907357</v>
      </c>
      <c r="U2" s="28">
        <v>60668.136701330615</v>
      </c>
      <c r="V2" s="28">
        <v>61153.481794941261</v>
      </c>
      <c r="W2" s="28">
        <v>61642.709649300792</v>
      </c>
      <c r="X2" s="28">
        <v>64478.27429316863</v>
      </c>
      <c r="Y2" s="28">
        <v>64994.100487513977</v>
      </c>
      <c r="Z2" s="28">
        <v>65514.053291414086</v>
      </c>
      <c r="AA2" s="28">
        <v>66038.165717745404</v>
      </c>
      <c r="AB2" s="28">
        <v>66566.47104348737</v>
      </c>
      <c r="AC2" s="28">
        <v>67099.002811835264</v>
      </c>
      <c r="AD2" s="28">
        <v>67635.79483432995</v>
      </c>
      <c r="AE2" s="28">
        <v>68176.881193004592</v>
      </c>
      <c r="AF2" s="28">
        <v>68722.296242548633</v>
      </c>
      <c r="AG2" s="28">
        <v>69272.074612489028</v>
      </c>
      <c r="AH2" s="28">
        <v>69826.251209388938</v>
      </c>
      <c r="AI2" s="28">
        <v>70384.861219064056</v>
      </c>
      <c r="AJ2" s="28">
        <v>70947.940108816576</v>
      </c>
      <c r="AK2" s="28">
        <v>74211.545353822148</v>
      </c>
      <c r="AL2" s="28">
        <v>74805.237716652729</v>
      </c>
      <c r="AM2" s="28">
        <v>75403.679618385955</v>
      </c>
      <c r="AN2" s="28">
        <v>76006.909055333046</v>
      </c>
      <c r="AO2" s="28">
        <v>76614.964327775713</v>
      </c>
      <c r="AP2" s="28">
        <v>77227.884042397913</v>
      </c>
      <c r="AQ2" s="28">
        <v>77845.707114737103</v>
      </c>
      <c r="AR2" s="28">
        <v>78468.472771654997</v>
      </c>
      <c r="AS2" s="28">
        <v>79096.220553828243</v>
      </c>
      <c r="AT2" s="28">
        <v>79728.990318258875</v>
      </c>
      <c r="AU2" s="2">
        <v>80366.822240804948</v>
      </c>
      <c r="AV2" s="2">
        <v>81009.756818731388</v>
      </c>
      <c r="AW2" s="2">
        <v>81657.834873281245</v>
      </c>
      <c r="AX2" s="2">
        <v>82311.0975522675</v>
      </c>
      <c r="AY2" s="2">
        <v>82969.586332685634</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2166.8297455968691</v>
      </c>
      <c r="C4" s="28">
        <f t="shared" ref="C4:AT4" si="0">C3*C2</f>
        <v>2184.1643835616437</v>
      </c>
      <c r="D4" s="28">
        <f t="shared" si="0"/>
        <v>2284.6359452054794</v>
      </c>
      <c r="E4" s="28">
        <f t="shared" si="0"/>
        <v>2302.9130327671232</v>
      </c>
      <c r="F4" s="28">
        <f t="shared" si="0"/>
        <v>2321.3363370292604</v>
      </c>
      <c r="G4" s="28">
        <f t="shared" si="0"/>
        <v>2339.9070277254941</v>
      </c>
      <c r="H4" s="28">
        <f t="shared" si="0"/>
        <v>2447.5427510008667</v>
      </c>
      <c r="I4" s="28">
        <f t="shared" si="0"/>
        <v>2467.1230930088736</v>
      </c>
      <c r="J4" s="28">
        <f t="shared" si="0"/>
        <v>2486.8600777529446</v>
      </c>
      <c r="K4" s="28">
        <f t="shared" si="0"/>
        <v>2506.7549583749683</v>
      </c>
      <c r="L4" s="28">
        <f t="shared" si="0"/>
        <v>2622.065686460217</v>
      </c>
      <c r="M4" s="28">
        <f t="shared" si="0"/>
        <v>2643.0422119518985</v>
      </c>
      <c r="N4" s="28">
        <f t="shared" si="0"/>
        <v>2664.1865496475134</v>
      </c>
      <c r="O4" s="28">
        <f t="shared" si="0"/>
        <v>2786.7391309312989</v>
      </c>
      <c r="P4" s="28">
        <f t="shared" si="0"/>
        <v>2809.0330439787494</v>
      </c>
      <c r="Q4" s="28">
        <f t="shared" si="0"/>
        <v>2831.5053083305793</v>
      </c>
      <c r="R4" s="28">
        <f t="shared" si="0"/>
        <v>2854.1573507972244</v>
      </c>
      <c r="S4" s="28">
        <f t="shared" si="0"/>
        <v>2876.990609603602</v>
      </c>
      <c r="T4" s="28">
        <f t="shared" si="0"/>
        <v>3009.3321776453681</v>
      </c>
      <c r="U4" s="28">
        <f t="shared" si="0"/>
        <v>3033.4068350665311</v>
      </c>
      <c r="V4" s="28">
        <f t="shared" si="0"/>
        <v>3057.6740897470631</v>
      </c>
      <c r="W4" s="28">
        <f t="shared" si="0"/>
        <v>3082.1354824650398</v>
      </c>
      <c r="X4" s="28">
        <f t="shared" si="0"/>
        <v>3223.9137146584317</v>
      </c>
      <c r="Y4" s="28">
        <f t="shared" si="0"/>
        <v>3249.7050243756989</v>
      </c>
      <c r="Z4" s="28">
        <f t="shared" si="0"/>
        <v>3275.7026645707047</v>
      </c>
      <c r="AA4" s="28">
        <f t="shared" si="0"/>
        <v>3301.9082858872703</v>
      </c>
      <c r="AB4" s="28">
        <f t="shared" si="0"/>
        <v>3328.3235521743686</v>
      </c>
      <c r="AC4" s="28">
        <f t="shared" si="0"/>
        <v>3354.9501405917636</v>
      </c>
      <c r="AD4" s="28">
        <f t="shared" si="0"/>
        <v>3381.7897417164977</v>
      </c>
      <c r="AE4" s="28">
        <f t="shared" si="0"/>
        <v>3408.8440596502296</v>
      </c>
      <c r="AF4" s="28">
        <f t="shared" si="0"/>
        <v>3436.1148121274318</v>
      </c>
      <c r="AG4" s="28">
        <f t="shared" si="0"/>
        <v>3463.6037306244516</v>
      </c>
      <c r="AH4" s="28">
        <f t="shared" si="0"/>
        <v>3491.3125604694469</v>
      </c>
      <c r="AI4" s="28">
        <f t="shared" si="0"/>
        <v>3519.243060953203</v>
      </c>
      <c r="AJ4" s="28">
        <f t="shared" si="0"/>
        <v>3547.3970054408292</v>
      </c>
      <c r="AK4" s="28">
        <f t="shared" si="0"/>
        <v>3710.5772676911074</v>
      </c>
      <c r="AL4" s="28">
        <f t="shared" si="0"/>
        <v>3740.2618858326368</v>
      </c>
      <c r="AM4" s="28">
        <f t="shared" si="0"/>
        <v>3770.1839809192979</v>
      </c>
      <c r="AN4" s="28">
        <f t="shared" si="0"/>
        <v>3800.3454527666527</v>
      </c>
      <c r="AO4" s="28">
        <f t="shared" si="0"/>
        <v>3830.7482163887857</v>
      </c>
      <c r="AP4" s="28">
        <f t="shared" si="0"/>
        <v>3861.3942021198959</v>
      </c>
      <c r="AQ4" s="28">
        <f t="shared" si="0"/>
        <v>3892.2853557368553</v>
      </c>
      <c r="AR4" s="28">
        <f t="shared" si="0"/>
        <v>3923.4236385827498</v>
      </c>
      <c r="AS4" s="28">
        <f t="shared" si="0"/>
        <v>3954.8110276914122</v>
      </c>
      <c r="AT4" s="28">
        <f t="shared" si="0"/>
        <v>3986.4495159129438</v>
      </c>
      <c r="AU4" s="28">
        <f t="shared" ref="AU4:AY4" si="1">AU3*AU2</f>
        <v>4018.3411120402475</v>
      </c>
      <c r="AV4" s="28">
        <f t="shared" si="1"/>
        <v>4050.4878409365697</v>
      </c>
      <c r="AW4" s="28">
        <f t="shared" si="1"/>
        <v>4082.8917436640622</v>
      </c>
      <c r="AX4" s="28">
        <f t="shared" si="1"/>
        <v>4115.5548776133755</v>
      </c>
      <c r="AY4" s="28">
        <f t="shared" si="1"/>
        <v>4148.4793166342815</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4333.6594911937382</v>
      </c>
      <c r="C6" s="28">
        <f t="shared" ref="C6:AT6" si="2">C4*2</f>
        <v>4368.3287671232874</v>
      </c>
      <c r="D6" s="28">
        <f t="shared" si="2"/>
        <v>4569.2718904109588</v>
      </c>
      <c r="E6" s="28">
        <f t="shared" si="2"/>
        <v>4605.8260655342465</v>
      </c>
      <c r="F6" s="28">
        <f t="shared" si="2"/>
        <v>4642.6726740585209</v>
      </c>
      <c r="G6" s="28">
        <f t="shared" si="2"/>
        <v>4679.8140554509882</v>
      </c>
      <c r="H6" s="28">
        <f t="shared" si="2"/>
        <v>4895.0855020017334</v>
      </c>
      <c r="I6" s="28">
        <f t="shared" si="2"/>
        <v>4934.2461860177473</v>
      </c>
      <c r="J6" s="28">
        <f t="shared" si="2"/>
        <v>4973.7201555058891</v>
      </c>
      <c r="K6" s="28">
        <f t="shared" si="2"/>
        <v>5013.5099167499366</v>
      </c>
      <c r="L6" s="28">
        <f t="shared" si="2"/>
        <v>5244.1313729204339</v>
      </c>
      <c r="M6" s="28">
        <f t="shared" si="2"/>
        <v>5286.084423903797</v>
      </c>
      <c r="N6" s="28">
        <f t="shared" si="2"/>
        <v>5328.3730992950268</v>
      </c>
      <c r="O6" s="28">
        <f t="shared" si="2"/>
        <v>5573.4782618625977</v>
      </c>
      <c r="P6" s="28">
        <f t="shared" si="2"/>
        <v>5618.0660879574989</v>
      </c>
      <c r="Q6" s="28">
        <f t="shared" si="2"/>
        <v>5663.0106166611586</v>
      </c>
      <c r="R6" s="28">
        <f t="shared" si="2"/>
        <v>5708.3147015944487</v>
      </c>
      <c r="S6" s="28">
        <f t="shared" si="2"/>
        <v>5753.981219207204</v>
      </c>
      <c r="T6" s="28">
        <f t="shared" si="2"/>
        <v>6018.6643552907362</v>
      </c>
      <c r="U6" s="28">
        <f t="shared" si="2"/>
        <v>6066.8136701330623</v>
      </c>
      <c r="V6" s="28">
        <f t="shared" si="2"/>
        <v>6115.3481794941263</v>
      </c>
      <c r="W6" s="28">
        <f t="shared" si="2"/>
        <v>6164.2709649300796</v>
      </c>
      <c r="X6" s="28">
        <f t="shared" si="2"/>
        <v>6447.8274293168633</v>
      </c>
      <c r="Y6" s="28">
        <f t="shared" si="2"/>
        <v>6499.4100487513979</v>
      </c>
      <c r="Z6" s="28">
        <f t="shared" si="2"/>
        <v>6551.4053291414093</v>
      </c>
      <c r="AA6" s="28">
        <f t="shared" si="2"/>
        <v>6603.8165717745405</v>
      </c>
      <c r="AB6" s="28">
        <f t="shared" si="2"/>
        <v>6656.6471043487372</v>
      </c>
      <c r="AC6" s="28">
        <f t="shared" si="2"/>
        <v>6709.9002811835271</v>
      </c>
      <c r="AD6" s="28">
        <f t="shared" si="2"/>
        <v>6763.5794834329954</v>
      </c>
      <c r="AE6" s="28">
        <f t="shared" si="2"/>
        <v>6817.6881193004592</v>
      </c>
      <c r="AF6" s="28">
        <f t="shared" si="2"/>
        <v>6872.2296242548637</v>
      </c>
      <c r="AG6" s="28">
        <f t="shared" si="2"/>
        <v>6927.2074612489032</v>
      </c>
      <c r="AH6" s="28">
        <f t="shared" si="2"/>
        <v>6982.6251209388938</v>
      </c>
      <c r="AI6" s="28">
        <f t="shared" si="2"/>
        <v>7038.486121906406</v>
      </c>
      <c r="AJ6" s="28">
        <f t="shared" si="2"/>
        <v>7094.7940108816583</v>
      </c>
      <c r="AK6" s="28">
        <f t="shared" si="2"/>
        <v>7421.1545353822148</v>
      </c>
      <c r="AL6" s="28">
        <f t="shared" si="2"/>
        <v>7480.5237716652737</v>
      </c>
      <c r="AM6" s="28">
        <f t="shared" si="2"/>
        <v>7540.3679618385959</v>
      </c>
      <c r="AN6" s="28">
        <f t="shared" si="2"/>
        <v>7600.6909055333053</v>
      </c>
      <c r="AO6" s="28">
        <f t="shared" si="2"/>
        <v>7661.4964327775715</v>
      </c>
      <c r="AP6" s="28">
        <f t="shared" si="2"/>
        <v>7722.7884042397918</v>
      </c>
      <c r="AQ6" s="28">
        <f t="shared" si="2"/>
        <v>7784.5707114737106</v>
      </c>
      <c r="AR6" s="28">
        <f t="shared" si="2"/>
        <v>7846.8472771654997</v>
      </c>
      <c r="AS6" s="28">
        <f t="shared" si="2"/>
        <v>7909.6220553828243</v>
      </c>
      <c r="AT6" s="28">
        <f t="shared" si="2"/>
        <v>7972.8990318258875</v>
      </c>
      <c r="AU6" s="28">
        <f t="shared" ref="AU6:AY6" si="3">AU4*2</f>
        <v>8036.682224080495</v>
      </c>
      <c r="AV6" s="28">
        <f t="shared" si="3"/>
        <v>8100.9756818731394</v>
      </c>
      <c r="AW6" s="28">
        <f t="shared" si="3"/>
        <v>8165.7834873281245</v>
      </c>
      <c r="AX6" s="28">
        <f t="shared" si="3"/>
        <v>8231.1097552267511</v>
      </c>
      <c r="AY6" s="28">
        <f t="shared" si="3"/>
        <v>8296.9586332685631</v>
      </c>
    </row>
    <row r="7" spans="1:51" x14ac:dyDescent="0.2">
      <c r="A7" s="2" t="s">
        <v>180</v>
      </c>
      <c r="B7" s="29">
        <f>SUM(B6,B4)</f>
        <v>6500.4892367906068</v>
      </c>
      <c r="C7" s="29">
        <f t="shared" ref="C7:AT7" si="4">SUM(C6,C4)</f>
        <v>6552.4931506849316</v>
      </c>
      <c r="D7" s="29">
        <f t="shared" si="4"/>
        <v>6853.9078356164382</v>
      </c>
      <c r="E7" s="29">
        <f t="shared" si="4"/>
        <v>6908.7390983013702</v>
      </c>
      <c r="F7" s="29">
        <f t="shared" si="4"/>
        <v>6964.0090110877809</v>
      </c>
      <c r="G7" s="29">
        <f t="shared" si="4"/>
        <v>7019.7210831764824</v>
      </c>
      <c r="H7" s="29">
        <f t="shared" si="4"/>
        <v>7342.6282530026001</v>
      </c>
      <c r="I7" s="29">
        <f t="shared" si="4"/>
        <v>7401.3692790266214</v>
      </c>
      <c r="J7" s="29">
        <f t="shared" si="4"/>
        <v>7460.5802332588337</v>
      </c>
      <c r="K7" s="29">
        <f t="shared" si="4"/>
        <v>7520.2648751249053</v>
      </c>
      <c r="L7" s="29">
        <f t="shared" si="4"/>
        <v>7866.1970593806509</v>
      </c>
      <c r="M7" s="29">
        <f t="shared" si="4"/>
        <v>7929.126635855695</v>
      </c>
      <c r="N7" s="29">
        <f t="shared" si="4"/>
        <v>7992.5596489425407</v>
      </c>
      <c r="O7" s="29">
        <f t="shared" si="4"/>
        <v>8360.2173927938966</v>
      </c>
      <c r="P7" s="29">
        <f t="shared" si="4"/>
        <v>8427.0991319362474</v>
      </c>
      <c r="Q7" s="29">
        <f t="shared" si="4"/>
        <v>8494.5159249917378</v>
      </c>
      <c r="R7" s="29">
        <f t="shared" si="4"/>
        <v>8562.4720523916731</v>
      </c>
      <c r="S7" s="29">
        <f t="shared" si="4"/>
        <v>8630.9718288108052</v>
      </c>
      <c r="T7" s="29">
        <f t="shared" si="4"/>
        <v>9027.9965329361039</v>
      </c>
      <c r="U7" s="29">
        <f t="shared" si="4"/>
        <v>9100.2205051995934</v>
      </c>
      <c r="V7" s="29">
        <f t="shared" si="4"/>
        <v>9173.0222692411899</v>
      </c>
      <c r="W7" s="29">
        <f t="shared" si="4"/>
        <v>9246.4064473951184</v>
      </c>
      <c r="X7" s="29">
        <f t="shared" si="4"/>
        <v>9671.7411439752941</v>
      </c>
      <c r="Y7" s="29">
        <f t="shared" si="4"/>
        <v>9749.1150731270973</v>
      </c>
      <c r="Z7" s="29">
        <f t="shared" si="4"/>
        <v>9827.107993712114</v>
      </c>
      <c r="AA7" s="29">
        <f t="shared" si="4"/>
        <v>9905.7248576618113</v>
      </c>
      <c r="AB7" s="29">
        <f t="shared" si="4"/>
        <v>9984.9706565231063</v>
      </c>
      <c r="AC7" s="29">
        <f t="shared" si="4"/>
        <v>10064.850421775291</v>
      </c>
      <c r="AD7" s="29">
        <f t="shared" si="4"/>
        <v>10145.369225149494</v>
      </c>
      <c r="AE7" s="29">
        <f t="shared" si="4"/>
        <v>10226.532178950689</v>
      </c>
      <c r="AF7" s="29">
        <f t="shared" si="4"/>
        <v>10308.344436382296</v>
      </c>
      <c r="AG7" s="29">
        <f t="shared" si="4"/>
        <v>10390.811191873356</v>
      </c>
      <c r="AH7" s="29">
        <f t="shared" si="4"/>
        <v>10473.937681408341</v>
      </c>
      <c r="AI7" s="29">
        <f t="shared" si="4"/>
        <v>10557.72918285961</v>
      </c>
      <c r="AJ7" s="29">
        <f t="shared" si="4"/>
        <v>10642.191016322487</v>
      </c>
      <c r="AK7" s="29">
        <f t="shared" si="4"/>
        <v>11131.731803073322</v>
      </c>
      <c r="AL7" s="29">
        <f t="shared" si="4"/>
        <v>11220.785657497911</v>
      </c>
      <c r="AM7" s="29">
        <f t="shared" si="4"/>
        <v>11310.551942757895</v>
      </c>
      <c r="AN7" s="29">
        <f t="shared" si="4"/>
        <v>11401.036358299958</v>
      </c>
      <c r="AO7" s="29">
        <f t="shared" si="4"/>
        <v>11492.244649166358</v>
      </c>
      <c r="AP7" s="29">
        <f t="shared" si="4"/>
        <v>11584.182606359687</v>
      </c>
      <c r="AQ7" s="29">
        <f t="shared" si="4"/>
        <v>11676.856067210567</v>
      </c>
      <c r="AR7" s="29">
        <f t="shared" si="4"/>
        <v>11770.27091574825</v>
      </c>
      <c r="AS7" s="29">
        <f t="shared" si="4"/>
        <v>11864.433083074236</v>
      </c>
      <c r="AT7" s="29">
        <f t="shared" si="4"/>
        <v>11959.348547738831</v>
      </c>
      <c r="AU7" s="29">
        <f t="shared" ref="AU7:AY7" si="5">SUM(AU6,AU4)</f>
        <v>12055.023336120743</v>
      </c>
      <c r="AV7" s="29">
        <f t="shared" si="5"/>
        <v>12151.463522809709</v>
      </c>
      <c r="AW7" s="29">
        <f t="shared" si="5"/>
        <v>12248.675230992187</v>
      </c>
      <c r="AX7" s="29">
        <f t="shared" si="5"/>
        <v>12346.664632840126</v>
      </c>
      <c r="AY7" s="29">
        <f t="shared" si="5"/>
        <v>12445.437949902844</v>
      </c>
    </row>
    <row r="8" spans="1:51" x14ac:dyDescent="0.2">
      <c r="A8" s="2" t="s">
        <v>181</v>
      </c>
      <c r="B8" s="28">
        <f>B7*12</f>
        <v>78005.870841487282</v>
      </c>
      <c r="C8" s="28">
        <f t="shared" ref="C8:AT8" si="6">C7*12</f>
        <v>78629.917808219179</v>
      </c>
      <c r="D8" s="28">
        <f t="shared" si="6"/>
        <v>82246.894027397255</v>
      </c>
      <c r="E8" s="28">
        <f t="shared" si="6"/>
        <v>82904.869179616449</v>
      </c>
      <c r="F8" s="28">
        <f t="shared" si="6"/>
        <v>83568.108133053378</v>
      </c>
      <c r="G8" s="28">
        <f t="shared" si="6"/>
        <v>84236.652998117788</v>
      </c>
      <c r="H8" s="28">
        <f t="shared" si="6"/>
        <v>88111.539036031201</v>
      </c>
      <c r="I8" s="28">
        <f t="shared" si="6"/>
        <v>88816.431348319456</v>
      </c>
      <c r="J8" s="28">
        <f t="shared" si="6"/>
        <v>89526.962799105997</v>
      </c>
      <c r="K8" s="28">
        <f t="shared" si="6"/>
        <v>90243.178501498856</v>
      </c>
      <c r="L8" s="28">
        <f t="shared" si="6"/>
        <v>94394.364712567811</v>
      </c>
      <c r="M8" s="28">
        <f t="shared" si="6"/>
        <v>95149.519630268333</v>
      </c>
      <c r="N8" s="28">
        <f t="shared" si="6"/>
        <v>95910.715787310488</v>
      </c>
      <c r="O8" s="28">
        <f t="shared" si="6"/>
        <v>100322.60871352676</v>
      </c>
      <c r="P8" s="28">
        <f t="shared" si="6"/>
        <v>101125.18958323497</v>
      </c>
      <c r="Q8" s="28">
        <f t="shared" si="6"/>
        <v>101934.19109990085</v>
      </c>
      <c r="R8" s="28">
        <f t="shared" si="6"/>
        <v>102749.66462870008</v>
      </c>
      <c r="S8" s="28">
        <f t="shared" si="6"/>
        <v>103571.66194572966</v>
      </c>
      <c r="T8" s="28">
        <f t="shared" si="6"/>
        <v>108335.95839523325</v>
      </c>
      <c r="U8" s="28">
        <f t="shared" si="6"/>
        <v>109202.64606239513</v>
      </c>
      <c r="V8" s="28">
        <f t="shared" si="6"/>
        <v>110076.26723089427</v>
      </c>
      <c r="W8" s="28">
        <f t="shared" si="6"/>
        <v>110956.87736874142</v>
      </c>
      <c r="X8" s="28">
        <f t="shared" si="6"/>
        <v>116060.89372770353</v>
      </c>
      <c r="Y8" s="28">
        <f t="shared" si="6"/>
        <v>116989.38087752517</v>
      </c>
      <c r="Z8" s="28">
        <f t="shared" si="6"/>
        <v>117925.29592454537</v>
      </c>
      <c r="AA8" s="28">
        <f t="shared" si="6"/>
        <v>118868.69829194174</v>
      </c>
      <c r="AB8" s="28">
        <f t="shared" si="6"/>
        <v>119819.64787827728</v>
      </c>
      <c r="AC8" s="28">
        <f t="shared" si="6"/>
        <v>120778.20506130348</v>
      </c>
      <c r="AD8" s="28">
        <f t="shared" si="6"/>
        <v>121744.43070179393</v>
      </c>
      <c r="AE8" s="28">
        <f t="shared" si="6"/>
        <v>122718.38614740827</v>
      </c>
      <c r="AF8" s="28">
        <f t="shared" si="6"/>
        <v>123700.13323658756</v>
      </c>
      <c r="AG8" s="28">
        <f t="shared" si="6"/>
        <v>124689.73430248027</v>
      </c>
      <c r="AH8" s="28">
        <f t="shared" si="6"/>
        <v>125687.25217690009</v>
      </c>
      <c r="AI8" s="28">
        <f t="shared" si="6"/>
        <v>126692.75019431532</v>
      </c>
      <c r="AJ8" s="28">
        <f t="shared" si="6"/>
        <v>127706.29219586984</v>
      </c>
      <c r="AK8" s="28">
        <f t="shared" si="6"/>
        <v>133580.78163687987</v>
      </c>
      <c r="AL8" s="28">
        <f t="shared" si="6"/>
        <v>134649.42788997493</v>
      </c>
      <c r="AM8" s="28">
        <f t="shared" si="6"/>
        <v>135726.62331309472</v>
      </c>
      <c r="AN8" s="28">
        <f t="shared" si="6"/>
        <v>136812.4362995995</v>
      </c>
      <c r="AO8" s="28">
        <f t="shared" si="6"/>
        <v>137906.93578999629</v>
      </c>
      <c r="AP8" s="28">
        <f t="shared" si="6"/>
        <v>139010.19127631624</v>
      </c>
      <c r="AQ8" s="28">
        <f t="shared" si="6"/>
        <v>140122.2728065268</v>
      </c>
      <c r="AR8" s="28">
        <f t="shared" si="6"/>
        <v>141243.25098897901</v>
      </c>
      <c r="AS8" s="28">
        <f t="shared" si="6"/>
        <v>142373.19699689082</v>
      </c>
      <c r="AT8" s="28">
        <f t="shared" si="6"/>
        <v>143512.18257286598</v>
      </c>
      <c r="AU8" s="28">
        <f t="shared" ref="AU8:AY8" si="7">AU7*12</f>
        <v>144660.28003344891</v>
      </c>
      <c r="AV8" s="28">
        <f t="shared" si="7"/>
        <v>145817.5622737165</v>
      </c>
      <c r="AW8" s="28">
        <f t="shared" si="7"/>
        <v>146984.10277190624</v>
      </c>
      <c r="AX8" s="28">
        <f t="shared" si="7"/>
        <v>148159.97559408151</v>
      </c>
      <c r="AY8" s="28">
        <f t="shared" si="7"/>
        <v>149345.25539883412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10928906.285492018</v>
      </c>
    </row>
    <row r="17" spans="1:4" x14ac:dyDescent="0.2">
      <c r="A17" s="2" t="s">
        <v>184</v>
      </c>
      <c r="B17" s="28">
        <f>B16/25</f>
        <v>437156.25141968072</v>
      </c>
      <c r="C17" s="2" t="s">
        <v>182</v>
      </c>
    </row>
    <row r="18" spans="1:4" x14ac:dyDescent="0.2">
      <c r="A18" s="2" t="s">
        <v>183</v>
      </c>
      <c r="B18" s="30">
        <f>B17/12</f>
        <v>36429.687618306729</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2.2000000000000002E-2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78005.870841487282</v>
      </c>
      <c r="C34" s="26">
        <f t="shared" ref="C34:AT34" si="8">B38+C8</f>
        <v>158617.91782778865</v>
      </c>
      <c r="D34" s="26">
        <f t="shared" si="8"/>
        <v>244895.29314719001</v>
      </c>
      <c r="E34" s="26">
        <f t="shared" si="8"/>
        <v>334022.95172567654</v>
      </c>
      <c r="F34" s="26">
        <f t="shared" si="8"/>
        <v>426078.58306207939</v>
      </c>
      <c r="G34" s="26">
        <f t="shared" si="8"/>
        <v>521141.89285580459</v>
      </c>
      <c r="H34" s="26">
        <f t="shared" si="8"/>
        <v>622495.6473893018</v>
      </c>
      <c r="I34" s="26">
        <f t="shared" si="8"/>
        <v>727129.69313778332</v>
      </c>
      <c r="J34" s="26">
        <f t="shared" si="8"/>
        <v>835133.02143952041</v>
      </c>
      <c r="K34" s="26">
        <f t="shared" si="8"/>
        <v>946596.93001579749</v>
      </c>
      <c r="L34" s="26">
        <f t="shared" si="8"/>
        <v>1065044.3227200666</v>
      </c>
      <c r="M34" s="26">
        <f t="shared" si="8"/>
        <v>1187256.618590652</v>
      </c>
      <c r="N34" s="26">
        <f t="shared" si="8"/>
        <v>1313335.525056351</v>
      </c>
      <c r="O34" s="26">
        <f t="shared" si="8"/>
        <v>1447029.9894615596</v>
      </c>
      <c r="P34" s="26">
        <f t="shared" si="8"/>
        <v>1584924.2110770128</v>
      </c>
      <c r="Q34" s="26">
        <f t="shared" si="8"/>
        <v>1727131.3263803804</v>
      </c>
      <c r="R34" s="26">
        <f t="shared" si="8"/>
        <v>1873767.398012406</v>
      </c>
      <c r="S34" s="26">
        <f t="shared" si="8"/>
        <v>2024951.489541631</v>
      </c>
      <c r="T34" s="26">
        <f t="shared" si="8"/>
        <v>2184741.465286117</v>
      </c>
      <c r="U34" s="26">
        <f t="shared" si="8"/>
        <v>2349458.3919814322</v>
      </c>
      <c r="V34" s="26">
        <f t="shared" si="8"/>
        <v>2519234.3969525746</v>
      </c>
      <c r="W34" s="26">
        <f t="shared" si="8"/>
        <v>2694205.0203478807</v>
      </c>
      <c r="X34" s="26">
        <f t="shared" si="8"/>
        <v>2878725.6636426239</v>
      </c>
      <c r="Y34" s="26">
        <f t="shared" si="8"/>
        <v>3068863.4636333082</v>
      </c>
      <c r="Z34" s="26">
        <f t="shared" si="8"/>
        <v>3264768.5801687757</v>
      </c>
      <c r="AA34" s="26">
        <f t="shared" si="8"/>
        <v>3466595.0480828057</v>
      </c>
      <c r="AB34" s="26">
        <f t="shared" si="8"/>
        <v>3674500.8761328668</v>
      </c>
      <c r="AC34" s="26">
        <f t="shared" si="8"/>
        <v>3888648.1484567067</v>
      </c>
      <c r="AD34" s="26">
        <f t="shared" si="8"/>
        <v>4109203.1286107856</v>
      </c>
      <c r="AE34" s="26">
        <f t="shared" si="8"/>
        <v>4336336.3662561933</v>
      </c>
      <c r="AF34" s="26">
        <f t="shared" si="8"/>
        <v>4570222.8065593513</v>
      </c>
      <c r="AG34" s="26">
        <f t="shared" si="8"/>
        <v>4811041.9023765055</v>
      </c>
      <c r="AH34" s="26">
        <f t="shared" si="8"/>
        <v>5058977.7292927932</v>
      </c>
      <c r="AI34" s="26">
        <f t="shared" si="8"/>
        <v>5314219.1035884377</v>
      </c>
      <c r="AJ34" s="26">
        <f t="shared" si="8"/>
        <v>5576959.7032064898</v>
      </c>
      <c r="AK34" s="26">
        <f t="shared" si="8"/>
        <v>5852251.0309018465</v>
      </c>
      <c r="AL34" s="26">
        <f t="shared" si="8"/>
        <v>6135606.1574870376</v>
      </c>
      <c r="AM34" s="26">
        <f t="shared" si="8"/>
        <v>6427238.5332618775</v>
      </c>
      <c r="AN34" s="26">
        <f t="shared" si="8"/>
        <v>6727367.1006916612</v>
      </c>
      <c r="AO34" s="26">
        <f t="shared" si="8"/>
        <v>7036216.4345102329</v>
      </c>
      <c r="AP34" s="26">
        <f t="shared" si="8"/>
        <v>7354016.8853874542</v>
      </c>
      <c r="AQ34" s="26">
        <f t="shared" si="8"/>
        <v>7681004.7272516768</v>
      </c>
      <c r="AR34" s="26">
        <f t="shared" si="8"/>
        <v>8017422.3083601212</v>
      </c>
      <c r="AS34" s="26">
        <f t="shared" si="8"/>
        <v>8363518.2062124433</v>
      </c>
      <c r="AT34" s="26">
        <f t="shared" si="8"/>
        <v>8719547.3864051681</v>
      </c>
      <c r="AU34" s="26">
        <f t="shared" ref="AU34" si="9">AT38+AU8</f>
        <v>9085771.3655271716</v>
      </c>
      <c r="AV34" s="26">
        <f t="shared" ref="AV34" si="10">AU38+AV8</f>
        <v>9462458.3781989329</v>
      </c>
      <c r="AW34" s="26">
        <f t="shared" ref="AW34" si="11">AV38+AW8</f>
        <v>9849883.5483608749</v>
      </c>
      <c r="AX34" s="26">
        <f t="shared" ref="AX34" si="12">AW38+AX8</f>
        <v>10248329.064918805</v>
      </c>
      <c r="AY34" s="26">
        <f t="shared" ref="AY34" si="13">AX38+AY8</f>
        <v>10658084.361857226</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2340.1761252446186</v>
      </c>
      <c r="C36" s="26">
        <f>C35*C34</f>
        <v>4758.5375348336593</v>
      </c>
      <c r="D36" s="26">
        <f>D35*D34</f>
        <v>7346.8587944156998</v>
      </c>
      <c r="E36" s="26">
        <f t="shared" ref="E36:AT36" si="15">E35*E34</f>
        <v>10020.688551770296</v>
      </c>
      <c r="F36" s="26">
        <f t="shared" si="15"/>
        <v>12782.357491862382</v>
      </c>
      <c r="G36" s="26">
        <f t="shared" si="15"/>
        <v>15634.256785674137</v>
      </c>
      <c r="H36" s="26">
        <f t="shared" si="15"/>
        <v>18674.869421679054</v>
      </c>
      <c r="I36" s="26">
        <f t="shared" si="15"/>
        <v>21813.890794133498</v>
      </c>
      <c r="J36" s="26">
        <f t="shared" si="15"/>
        <v>25053.990643185611</v>
      </c>
      <c r="K36" s="26">
        <f t="shared" si="15"/>
        <v>28397.907900473925</v>
      </c>
      <c r="L36" s="26">
        <f t="shared" si="15"/>
        <v>31951.329681601997</v>
      </c>
      <c r="M36" s="26">
        <f t="shared" si="15"/>
        <v>35617.698557719559</v>
      </c>
      <c r="N36" s="26">
        <f t="shared" si="15"/>
        <v>39400.065751690527</v>
      </c>
      <c r="O36" s="26">
        <f t="shared" si="15"/>
        <v>43410.899683846787</v>
      </c>
      <c r="P36" s="26">
        <f t="shared" si="15"/>
        <v>47547.726332310383</v>
      </c>
      <c r="Q36" s="26">
        <f t="shared" si="15"/>
        <v>51813.939791411409</v>
      </c>
      <c r="R36" s="26">
        <f t="shared" si="15"/>
        <v>56213.021940372179</v>
      </c>
      <c r="S36" s="26">
        <f t="shared" si="15"/>
        <v>60748.544686248926</v>
      </c>
      <c r="T36" s="26">
        <f t="shared" si="15"/>
        <v>65542.243958583509</v>
      </c>
      <c r="U36" s="26">
        <f t="shared" si="15"/>
        <v>70483.751759442966</v>
      </c>
      <c r="V36" s="26">
        <f t="shared" si="15"/>
        <v>75577.031908577235</v>
      </c>
      <c r="W36" s="26">
        <f t="shared" si="15"/>
        <v>80826.150610436423</v>
      </c>
      <c r="X36" s="26">
        <f t="shared" si="15"/>
        <v>86361.769909278708</v>
      </c>
      <c r="Y36" s="26">
        <f t="shared" si="15"/>
        <v>92065.903908999244</v>
      </c>
      <c r="Z36" s="26">
        <f t="shared" si="15"/>
        <v>97943.057405063271</v>
      </c>
      <c r="AA36" s="26">
        <f t="shared" si="15"/>
        <v>103997.85144248417</v>
      </c>
      <c r="AB36" s="26">
        <f t="shared" si="15"/>
        <v>110235.02628398601</v>
      </c>
      <c r="AC36" s="26">
        <f t="shared" si="15"/>
        <v>116659.4444537012</v>
      </c>
      <c r="AD36" s="26">
        <f t="shared" si="15"/>
        <v>123276.09385832357</v>
      </c>
      <c r="AE36" s="26">
        <f t="shared" si="15"/>
        <v>130090.09098768579</v>
      </c>
      <c r="AF36" s="26">
        <f t="shared" si="15"/>
        <v>137106.68419678052</v>
      </c>
      <c r="AG36" s="26">
        <f t="shared" si="15"/>
        <v>144331.25707129517</v>
      </c>
      <c r="AH36" s="26">
        <f t="shared" si="15"/>
        <v>151769.33187878379</v>
      </c>
      <c r="AI36" s="26">
        <f t="shared" si="15"/>
        <v>159426.57310765312</v>
      </c>
      <c r="AJ36" s="26">
        <f t="shared" si="15"/>
        <v>167308.79109619468</v>
      </c>
      <c r="AK36" s="26">
        <f t="shared" si="15"/>
        <v>175567.5309270554</v>
      </c>
      <c r="AL36" s="26">
        <f t="shared" si="15"/>
        <v>184068.18472461111</v>
      </c>
      <c r="AM36" s="26">
        <f t="shared" si="15"/>
        <v>192817.15599785632</v>
      </c>
      <c r="AN36" s="26">
        <f t="shared" si="15"/>
        <v>201821.01302074984</v>
      </c>
      <c r="AO36" s="26">
        <f t="shared" si="15"/>
        <v>211086.49303530698</v>
      </c>
      <c r="AP36" s="26">
        <f t="shared" si="15"/>
        <v>220620.50656162362</v>
      </c>
      <c r="AQ36" s="26">
        <f t="shared" si="15"/>
        <v>230430.14181755029</v>
      </c>
      <c r="AR36" s="26">
        <f t="shared" si="15"/>
        <v>240522.66925080362</v>
      </c>
      <c r="AS36" s="26">
        <f t="shared" si="15"/>
        <v>250905.54618637328</v>
      </c>
      <c r="AT36" s="26">
        <f t="shared" si="15"/>
        <v>261586.42159215503</v>
      </c>
      <c r="AU36" s="26">
        <f t="shared" ref="AU36:AY36" si="16">AU35*AU34</f>
        <v>272573.14096581517</v>
      </c>
      <c r="AV36" s="26">
        <f t="shared" si="16"/>
        <v>283873.75134596799</v>
      </c>
      <c r="AW36" s="26">
        <f t="shared" si="16"/>
        <v>295496.50645082624</v>
      </c>
      <c r="AX36" s="26">
        <f t="shared" si="16"/>
        <v>307449.87194756413</v>
      </c>
      <c r="AY36" s="26">
        <f t="shared" si="16"/>
        <v>319742.53085571679</v>
      </c>
    </row>
    <row r="37" spans="1:51" x14ac:dyDescent="0.2">
      <c r="A37" s="2" t="s">
        <v>215</v>
      </c>
      <c r="B37" s="26">
        <f>B36*$B$27</f>
        <v>358.04694716242665</v>
      </c>
      <c r="C37" s="26">
        <f>C36*$B$27</f>
        <v>728.05624282954989</v>
      </c>
      <c r="D37" s="26">
        <f t="shared" ref="D37:AT37" si="17">D36*$B$27</f>
        <v>1124.069395545602</v>
      </c>
      <c r="E37" s="26">
        <f t="shared" si="17"/>
        <v>1533.1653484208553</v>
      </c>
      <c r="F37" s="26">
        <f t="shared" si="17"/>
        <v>1955.7006962549444</v>
      </c>
      <c r="G37" s="26">
        <f t="shared" si="17"/>
        <v>2392.0412882081428</v>
      </c>
      <c r="H37" s="26">
        <f t="shared" si="17"/>
        <v>2857.2550215168953</v>
      </c>
      <c r="I37" s="26">
        <f t="shared" si="17"/>
        <v>3337.5252915024253</v>
      </c>
      <c r="J37" s="26">
        <f t="shared" si="17"/>
        <v>3833.2605684073983</v>
      </c>
      <c r="K37" s="26">
        <f t="shared" si="17"/>
        <v>4344.8799087725101</v>
      </c>
      <c r="L37" s="26">
        <f t="shared" si="17"/>
        <v>4888.5534412851057</v>
      </c>
      <c r="M37" s="26">
        <f t="shared" si="17"/>
        <v>5449.5078793310922</v>
      </c>
      <c r="N37" s="26">
        <f t="shared" si="17"/>
        <v>6028.2100600086505</v>
      </c>
      <c r="O37" s="26">
        <f t="shared" si="17"/>
        <v>6641.8676516285586</v>
      </c>
      <c r="P37" s="26">
        <f t="shared" si="17"/>
        <v>7274.8021288434884</v>
      </c>
      <c r="Q37" s="26">
        <f t="shared" si="17"/>
        <v>7927.532788085945</v>
      </c>
      <c r="R37" s="26">
        <f t="shared" si="17"/>
        <v>8600.5923568769431</v>
      </c>
      <c r="S37" s="26">
        <f t="shared" si="17"/>
        <v>9294.5273369960851</v>
      </c>
      <c r="T37" s="26">
        <f t="shared" si="17"/>
        <v>10027.963325663277</v>
      </c>
      <c r="U37" s="26">
        <f t="shared" si="17"/>
        <v>10784.014019194774</v>
      </c>
      <c r="V37" s="26">
        <f t="shared" si="17"/>
        <v>11563.285882012317</v>
      </c>
      <c r="W37" s="26">
        <f t="shared" si="17"/>
        <v>12366.401043396772</v>
      </c>
      <c r="X37" s="26">
        <f t="shared" si="17"/>
        <v>13213.350796119643</v>
      </c>
      <c r="Y37" s="26">
        <f t="shared" si="17"/>
        <v>14086.083298076885</v>
      </c>
      <c r="Z37" s="26">
        <f t="shared" si="17"/>
        <v>14985.287782974679</v>
      </c>
      <c r="AA37" s="26">
        <f t="shared" si="17"/>
        <v>15911.671270700077</v>
      </c>
      <c r="AB37" s="26">
        <f t="shared" si="17"/>
        <v>16865.95902144986</v>
      </c>
      <c r="AC37" s="26">
        <f t="shared" si="17"/>
        <v>17848.895001416284</v>
      </c>
      <c r="AD37" s="26">
        <f t="shared" si="17"/>
        <v>18861.242360323507</v>
      </c>
      <c r="AE37" s="26">
        <f t="shared" si="17"/>
        <v>19903.783921115926</v>
      </c>
      <c r="AF37" s="26">
        <f t="shared" si="17"/>
        <v>20977.32268210742</v>
      </c>
      <c r="AG37" s="26">
        <f t="shared" si="17"/>
        <v>22082.68233190816</v>
      </c>
      <c r="AH37" s="26">
        <f t="shared" si="17"/>
        <v>23220.707777453921</v>
      </c>
      <c r="AI37" s="26">
        <f t="shared" si="17"/>
        <v>24392.265685470928</v>
      </c>
      <c r="AJ37" s="26">
        <f t="shared" si="17"/>
        <v>25598.245037717785</v>
      </c>
      <c r="AK37" s="26">
        <f t="shared" si="17"/>
        <v>26861.832231839475</v>
      </c>
      <c r="AL37" s="26">
        <f t="shared" si="17"/>
        <v>28162.432262865499</v>
      </c>
      <c r="AM37" s="26">
        <f t="shared" si="17"/>
        <v>29501.024867672015</v>
      </c>
      <c r="AN37" s="26">
        <f t="shared" si="17"/>
        <v>30878.614992174727</v>
      </c>
      <c r="AO37" s="26">
        <f t="shared" si="17"/>
        <v>32296.233434401965</v>
      </c>
      <c r="AP37" s="26">
        <f t="shared" si="17"/>
        <v>33754.937503928413</v>
      </c>
      <c r="AQ37" s="26">
        <f t="shared" si="17"/>
        <v>35255.811698085192</v>
      </c>
      <c r="AR37" s="26">
        <f t="shared" si="17"/>
        <v>36799.968395372955</v>
      </c>
      <c r="AS37" s="26">
        <f t="shared" si="17"/>
        <v>38388.548566515114</v>
      </c>
      <c r="AT37" s="26">
        <f t="shared" si="17"/>
        <v>40022.722503599718</v>
      </c>
      <c r="AU37" s="26">
        <f t="shared" ref="AU37:AY37" si="18">AU36*$B$27</f>
        <v>41703.690567769721</v>
      </c>
      <c r="AV37" s="26">
        <f t="shared" si="18"/>
        <v>43432.683955933098</v>
      </c>
      <c r="AW37" s="26">
        <f t="shared" si="18"/>
        <v>45210.965486976413</v>
      </c>
      <c r="AX37" s="26">
        <f t="shared" si="18"/>
        <v>47039.830407977308</v>
      </c>
      <c r="AY37" s="26">
        <f t="shared" si="18"/>
        <v>48920.60722092467</v>
      </c>
    </row>
    <row r="38" spans="1:51" s="18" customFormat="1" x14ac:dyDescent="0.2">
      <c r="A38" s="18" t="s">
        <v>248</v>
      </c>
      <c r="B38" s="27">
        <f>B34+(B36-B37)</f>
        <v>79988.000019569474</v>
      </c>
      <c r="C38" s="27">
        <f>C34+(C36-C37)</f>
        <v>162648.39911979277</v>
      </c>
      <c r="D38" s="27">
        <f t="shared" ref="D38:AS38" si="19">D34+(D36-D37)</f>
        <v>251118.08254606012</v>
      </c>
      <c r="E38" s="27">
        <f t="shared" si="19"/>
        <v>342510.47492902598</v>
      </c>
      <c r="F38" s="27">
        <f t="shared" si="19"/>
        <v>436905.2398576868</v>
      </c>
      <c r="G38" s="27">
        <f t="shared" si="19"/>
        <v>534384.10835327057</v>
      </c>
      <c r="H38" s="27">
        <f t="shared" si="19"/>
        <v>638313.26178946393</v>
      </c>
      <c r="I38" s="27">
        <f t="shared" si="19"/>
        <v>745606.05864041438</v>
      </c>
      <c r="J38" s="27">
        <f t="shared" si="19"/>
        <v>856353.75151429861</v>
      </c>
      <c r="K38" s="27">
        <f t="shared" si="19"/>
        <v>970649.95800749888</v>
      </c>
      <c r="L38" s="27">
        <f t="shared" si="19"/>
        <v>1092107.0989603836</v>
      </c>
      <c r="M38" s="27">
        <f t="shared" si="19"/>
        <v>1217424.8092690406</v>
      </c>
      <c r="N38" s="27">
        <f t="shared" si="19"/>
        <v>1346707.3807480328</v>
      </c>
      <c r="O38" s="27">
        <f t="shared" si="19"/>
        <v>1483799.0214937779</v>
      </c>
      <c r="P38" s="27">
        <f t="shared" si="19"/>
        <v>1625197.1352804797</v>
      </c>
      <c r="Q38" s="27">
        <f t="shared" si="19"/>
        <v>1771017.7333837058</v>
      </c>
      <c r="R38" s="27">
        <f t="shared" si="19"/>
        <v>1921379.8275959012</v>
      </c>
      <c r="S38" s="27">
        <f t="shared" si="19"/>
        <v>2076405.5068908839</v>
      </c>
      <c r="T38" s="27">
        <f t="shared" si="19"/>
        <v>2240255.7459190371</v>
      </c>
      <c r="U38" s="27">
        <f t="shared" si="19"/>
        <v>2409158.1297216802</v>
      </c>
      <c r="V38" s="27">
        <f t="shared" si="19"/>
        <v>2583248.1429791395</v>
      </c>
      <c r="W38" s="27">
        <f t="shared" si="19"/>
        <v>2762664.7699149204</v>
      </c>
      <c r="X38" s="27">
        <f t="shared" si="19"/>
        <v>2951874.0827557831</v>
      </c>
      <c r="Y38" s="27">
        <f t="shared" si="19"/>
        <v>3146843.2842442305</v>
      </c>
      <c r="Z38" s="27">
        <f t="shared" si="19"/>
        <v>3347726.3497908642</v>
      </c>
      <c r="AA38" s="27">
        <f t="shared" si="19"/>
        <v>3554681.2282545897</v>
      </c>
      <c r="AB38" s="27">
        <f t="shared" si="19"/>
        <v>3767869.9433954032</v>
      </c>
      <c r="AC38" s="27">
        <f t="shared" si="19"/>
        <v>3987458.6979089915</v>
      </c>
      <c r="AD38" s="27">
        <f t="shared" si="19"/>
        <v>4213617.9801087854</v>
      </c>
      <c r="AE38" s="27">
        <f t="shared" si="19"/>
        <v>4446522.6733227633</v>
      </c>
      <c r="AF38" s="27">
        <f t="shared" si="19"/>
        <v>4686352.1680740248</v>
      </c>
      <c r="AG38" s="27">
        <f t="shared" si="19"/>
        <v>4933290.4771158928</v>
      </c>
      <c r="AH38" s="27">
        <f t="shared" si="19"/>
        <v>5187526.3533941228</v>
      </c>
      <c r="AI38" s="27">
        <f t="shared" si="19"/>
        <v>5449253.4110106202</v>
      </c>
      <c r="AJ38" s="27">
        <f t="shared" si="19"/>
        <v>5718670.2492649667</v>
      </c>
      <c r="AK38" s="27">
        <f t="shared" si="19"/>
        <v>6000956.7295970628</v>
      </c>
      <c r="AL38" s="27">
        <f t="shared" si="19"/>
        <v>6291511.909948783</v>
      </c>
      <c r="AM38" s="27">
        <f t="shared" si="19"/>
        <v>6590554.6643920615</v>
      </c>
      <c r="AN38" s="27">
        <f t="shared" si="19"/>
        <v>6898309.4987202361</v>
      </c>
      <c r="AO38" s="27">
        <f t="shared" si="19"/>
        <v>7215006.6941111377</v>
      </c>
      <c r="AP38" s="27">
        <f t="shared" si="19"/>
        <v>7540882.4544451497</v>
      </c>
      <c r="AQ38" s="27">
        <f t="shared" si="19"/>
        <v>7876179.0573711423</v>
      </c>
      <c r="AR38" s="27">
        <f t="shared" si="19"/>
        <v>8221145.0092155524</v>
      </c>
      <c r="AS38" s="27">
        <f t="shared" si="19"/>
        <v>8576035.2038323022</v>
      </c>
      <c r="AT38" s="27">
        <f>AT34+(AT36-AT37)</f>
        <v>8941111.0854937229</v>
      </c>
      <c r="AU38" s="27">
        <f t="shared" ref="AU38:AY38" si="20">AU34+(AU36-AU37)</f>
        <v>9316640.8159252163</v>
      </c>
      <c r="AV38" s="27">
        <f t="shared" si="20"/>
        <v>9702899.4455889687</v>
      </c>
      <c r="AW38" s="27">
        <f t="shared" si="20"/>
        <v>10100169.089324724</v>
      </c>
      <c r="AX38" s="27">
        <f t="shared" si="20"/>
        <v>10508739.106458392</v>
      </c>
      <c r="AY38" s="27">
        <f t="shared" si="20"/>
        <v>10928906.285492018</v>
      </c>
    </row>
    <row r="40" spans="1:51" x14ac:dyDescent="0.2">
      <c r="A40" s="2" t="s">
        <v>250</v>
      </c>
      <c r="B40" s="26">
        <f>AT38</f>
        <v>8941111.0854937229</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55203.706464752351</v>
      </c>
      <c r="C2" s="28">
        <v>55645.336116470367</v>
      </c>
      <c r="D2" s="28">
        <v>56090.498805402131</v>
      </c>
      <c r="E2" s="28">
        <v>58791.159364128944</v>
      </c>
      <c r="F2" s="28">
        <v>59261.488639041978</v>
      </c>
      <c r="G2" s="28">
        <v>59735.580548154314</v>
      </c>
      <c r="H2" s="28">
        <v>60213.465192539552</v>
      </c>
      <c r="I2" s="28">
        <v>63112.639455794626</v>
      </c>
      <c r="J2" s="28">
        <v>63617.540571440986</v>
      </c>
      <c r="K2" s="28">
        <v>64126.480896012516</v>
      </c>
      <c r="L2" s="28">
        <v>64639.492743180614</v>
      </c>
      <c r="M2" s="28">
        <v>67751.772582111254</v>
      </c>
      <c r="N2" s="28">
        <v>68293.786762768141</v>
      </c>
      <c r="O2" s="28">
        <v>68840.137056870284</v>
      </c>
      <c r="P2" s="28">
        <v>72154.670658217612</v>
      </c>
      <c r="Q2" s="28" cm="1">
        <f t="array" ref="Q2:AY2">TRANSPOSE(Income!P3:P37)</f>
        <v>72731.908023483353</v>
      </c>
      <c r="R2" s="28">
        <v>73313.763287671216</v>
      </c>
      <c r="S2" s="28">
        <v>76686.196398904096</v>
      </c>
      <c r="T2" s="28">
        <v>77299.685970095336</v>
      </c>
      <c r="U2" s="28">
        <v>77918.083457856104</v>
      </c>
      <c r="V2" s="28">
        <v>78541.428125518956</v>
      </c>
      <c r="W2" s="28">
        <v>82154.333819292835</v>
      </c>
      <c r="X2" s="28">
        <v>82811.568489847181</v>
      </c>
      <c r="Y2" s="28">
        <v>83474.061037765961</v>
      </c>
      <c r="Z2" s="28">
        <v>84141.853526068095</v>
      </c>
      <c r="AA2" s="28">
        <v>88012.378788267219</v>
      </c>
      <c r="AB2" s="28">
        <v>88716.477818573359</v>
      </c>
      <c r="AC2" s="28">
        <v>89426.209641121954</v>
      </c>
      <c r="AD2" s="28">
        <v>93539.815284613564</v>
      </c>
      <c r="AE2" s="28">
        <v>94288.133806890473</v>
      </c>
      <c r="AF2" s="28">
        <v>95042.438877345601</v>
      </c>
      <c r="AG2" s="28">
        <v>95802.778388364371</v>
      </c>
      <c r="AH2" s="28">
        <v>96569.200615471287</v>
      </c>
      <c r="AI2" s="28">
        <v>101011.38384378297</v>
      </c>
      <c r="AJ2" s="28">
        <v>101819.47491453323</v>
      </c>
      <c r="AK2" s="28">
        <v>102634.0307138495</v>
      </c>
      <c r="AL2" s="28">
        <v>103455.10295956029</v>
      </c>
      <c r="AM2" s="28">
        <v>108214.03769570007</v>
      </c>
      <c r="AN2" s="28">
        <v>109079.74999726567</v>
      </c>
      <c r="AO2" s="28">
        <v>109952.38799724379</v>
      </c>
      <c r="AP2" s="28">
        <v>110832.00710122174</v>
      </c>
      <c r="AQ2" s="28">
        <v>111718.66315803152</v>
      </c>
      <c r="AR2" s="28">
        <v>112612.41246329577</v>
      </c>
      <c r="AS2" s="28">
        <v>113513.31176300213</v>
      </c>
      <c r="AT2" s="28">
        <v>114421.41825710615</v>
      </c>
      <c r="AU2" s="2">
        <v>115336.78960316301</v>
      </c>
      <c r="AV2" s="2">
        <v>116259.48391998831</v>
      </c>
      <c r="AW2" s="2">
        <v>117189.55979134822</v>
      </c>
      <c r="AX2" s="2">
        <v>118127.076269679</v>
      </c>
      <c r="AY2" s="2">
        <v>119072.09287983643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2760.1853232376179</v>
      </c>
      <c r="C4" s="28">
        <f t="shared" ref="C4:AY4" si="0">C3*C2</f>
        <v>2782.2668058235186</v>
      </c>
      <c r="D4" s="28">
        <f t="shared" si="0"/>
        <v>2804.5249402701065</v>
      </c>
      <c r="E4" s="28">
        <f t="shared" si="0"/>
        <v>2939.5579682064472</v>
      </c>
      <c r="F4" s="28">
        <f t="shared" si="0"/>
        <v>2963.0744319520991</v>
      </c>
      <c r="G4" s="28">
        <f t="shared" si="0"/>
        <v>2986.7790274077161</v>
      </c>
      <c r="H4" s="28">
        <f t="shared" si="0"/>
        <v>3010.6732596269776</v>
      </c>
      <c r="I4" s="28">
        <f t="shared" si="0"/>
        <v>3155.6319727897317</v>
      </c>
      <c r="J4" s="28">
        <f t="shared" si="0"/>
        <v>3180.8770285720493</v>
      </c>
      <c r="K4" s="28">
        <f t="shared" si="0"/>
        <v>3206.3240448006259</v>
      </c>
      <c r="L4" s="28">
        <f t="shared" si="0"/>
        <v>3231.9746371590309</v>
      </c>
      <c r="M4" s="28">
        <f t="shared" si="0"/>
        <v>3387.5886291055631</v>
      </c>
      <c r="N4" s="28">
        <f t="shared" si="0"/>
        <v>3414.689338138407</v>
      </c>
      <c r="O4" s="28">
        <f t="shared" si="0"/>
        <v>3442.0068528435145</v>
      </c>
      <c r="P4" s="28">
        <f t="shared" si="0"/>
        <v>3607.733532910881</v>
      </c>
      <c r="Q4" s="28">
        <f t="shared" si="0"/>
        <v>3636.5954011741678</v>
      </c>
      <c r="R4" s="28">
        <f t="shared" si="0"/>
        <v>3665.6881643835609</v>
      </c>
      <c r="S4" s="28">
        <f t="shared" si="0"/>
        <v>3834.3098199452052</v>
      </c>
      <c r="T4" s="28">
        <f t="shared" si="0"/>
        <v>3864.9842985047671</v>
      </c>
      <c r="U4" s="28">
        <f t="shared" si="0"/>
        <v>3895.9041728928055</v>
      </c>
      <c r="V4" s="28">
        <f t="shared" si="0"/>
        <v>3927.071406275948</v>
      </c>
      <c r="W4" s="28">
        <f t="shared" si="0"/>
        <v>4107.7166909646421</v>
      </c>
      <c r="X4" s="28">
        <f t="shared" si="0"/>
        <v>4140.5784244923589</v>
      </c>
      <c r="Y4" s="28">
        <f t="shared" si="0"/>
        <v>4173.7030518882984</v>
      </c>
      <c r="Z4" s="28">
        <f t="shared" si="0"/>
        <v>4207.0926763034049</v>
      </c>
      <c r="AA4" s="28">
        <f t="shared" si="0"/>
        <v>4400.6189394133607</v>
      </c>
      <c r="AB4" s="28">
        <f t="shared" si="0"/>
        <v>4435.8238909286683</v>
      </c>
      <c r="AC4" s="28">
        <f t="shared" si="0"/>
        <v>4471.3104820560975</v>
      </c>
      <c r="AD4" s="28">
        <f t="shared" si="0"/>
        <v>4676.990764230678</v>
      </c>
      <c r="AE4" s="28">
        <f t="shared" si="0"/>
        <v>4714.4066903445237</v>
      </c>
      <c r="AF4" s="28">
        <f t="shared" si="0"/>
        <v>4752.1219438672806</v>
      </c>
      <c r="AG4" s="28">
        <f t="shared" si="0"/>
        <v>4790.1389194182184</v>
      </c>
      <c r="AH4" s="28">
        <f t="shared" si="0"/>
        <v>4828.4600307735645</v>
      </c>
      <c r="AI4" s="28">
        <f t="shared" si="0"/>
        <v>5050.5691921891485</v>
      </c>
      <c r="AJ4" s="28">
        <f t="shared" si="0"/>
        <v>5090.9737457266619</v>
      </c>
      <c r="AK4" s="28">
        <f t="shared" si="0"/>
        <v>5131.7015356924749</v>
      </c>
      <c r="AL4" s="28">
        <f t="shared" si="0"/>
        <v>5172.755147978015</v>
      </c>
      <c r="AM4" s="28">
        <f t="shared" si="0"/>
        <v>5410.701884785004</v>
      </c>
      <c r="AN4" s="28">
        <f t="shared" si="0"/>
        <v>5453.987499863284</v>
      </c>
      <c r="AO4" s="28">
        <f t="shared" si="0"/>
        <v>5497.6193998621893</v>
      </c>
      <c r="AP4" s="28">
        <f t="shared" si="0"/>
        <v>5541.6003550610876</v>
      </c>
      <c r="AQ4" s="28">
        <f t="shared" si="0"/>
        <v>5585.9331579015761</v>
      </c>
      <c r="AR4" s="28">
        <f t="shared" si="0"/>
        <v>5630.6206231647884</v>
      </c>
      <c r="AS4" s="28">
        <f t="shared" si="0"/>
        <v>5675.6655881501065</v>
      </c>
      <c r="AT4" s="28">
        <f t="shared" si="0"/>
        <v>5721.0709128553081</v>
      </c>
      <c r="AU4" s="28">
        <f t="shared" si="0"/>
        <v>5766.8394801581508</v>
      </c>
      <c r="AV4" s="28">
        <f t="shared" si="0"/>
        <v>5812.9741959994162</v>
      </c>
      <c r="AW4" s="28">
        <f t="shared" si="0"/>
        <v>5859.477989567411</v>
      </c>
      <c r="AX4" s="28">
        <f t="shared" si="0"/>
        <v>5906.3538134839509</v>
      </c>
      <c r="AY4" s="28">
        <f t="shared" si="0"/>
        <v>5953.6046439918218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5520.3706464752358</v>
      </c>
      <c r="C6" s="28">
        <f t="shared" ref="C6:AY6" si="1">C4*2</f>
        <v>5564.5336116470371</v>
      </c>
      <c r="D6" s="28">
        <f t="shared" si="1"/>
        <v>5609.0498805402131</v>
      </c>
      <c r="E6" s="28">
        <f t="shared" si="1"/>
        <v>5879.1159364128944</v>
      </c>
      <c r="F6" s="28">
        <f t="shared" si="1"/>
        <v>5926.1488639041982</v>
      </c>
      <c r="G6" s="28">
        <f t="shared" si="1"/>
        <v>5973.5580548154321</v>
      </c>
      <c r="H6" s="28">
        <f t="shared" si="1"/>
        <v>6021.3465192539552</v>
      </c>
      <c r="I6" s="28">
        <f t="shared" si="1"/>
        <v>6311.2639455794633</v>
      </c>
      <c r="J6" s="28">
        <f t="shared" si="1"/>
        <v>6361.7540571440986</v>
      </c>
      <c r="K6" s="28">
        <f t="shared" si="1"/>
        <v>6412.6480896012517</v>
      </c>
      <c r="L6" s="28">
        <f t="shared" si="1"/>
        <v>6463.9492743180617</v>
      </c>
      <c r="M6" s="28">
        <f t="shared" si="1"/>
        <v>6775.1772582111262</v>
      </c>
      <c r="N6" s="28">
        <f t="shared" si="1"/>
        <v>6829.3786762768141</v>
      </c>
      <c r="O6" s="28">
        <f t="shared" si="1"/>
        <v>6884.013705687029</v>
      </c>
      <c r="P6" s="28">
        <f t="shared" si="1"/>
        <v>7215.4670658217619</v>
      </c>
      <c r="Q6" s="28">
        <f t="shared" si="1"/>
        <v>7273.1908023483356</v>
      </c>
      <c r="R6" s="28">
        <f t="shared" si="1"/>
        <v>7331.3763287671218</v>
      </c>
      <c r="S6" s="28">
        <f t="shared" si="1"/>
        <v>7668.6196398904103</v>
      </c>
      <c r="T6" s="28">
        <f t="shared" si="1"/>
        <v>7729.9685970095343</v>
      </c>
      <c r="U6" s="28">
        <f t="shared" si="1"/>
        <v>7791.808345785611</v>
      </c>
      <c r="V6" s="28">
        <f t="shared" si="1"/>
        <v>7854.142812551896</v>
      </c>
      <c r="W6" s="28">
        <f t="shared" si="1"/>
        <v>8215.4333819292842</v>
      </c>
      <c r="X6" s="28">
        <f t="shared" si="1"/>
        <v>8281.1568489847177</v>
      </c>
      <c r="Y6" s="28">
        <f t="shared" si="1"/>
        <v>8347.4061037765969</v>
      </c>
      <c r="Z6" s="28">
        <f t="shared" si="1"/>
        <v>8414.1853526068098</v>
      </c>
      <c r="AA6" s="28">
        <f t="shared" si="1"/>
        <v>8801.2378788267215</v>
      </c>
      <c r="AB6" s="28">
        <f t="shared" si="1"/>
        <v>8871.6477818573367</v>
      </c>
      <c r="AC6" s="28">
        <f t="shared" si="1"/>
        <v>8942.620964112195</v>
      </c>
      <c r="AD6" s="28">
        <f t="shared" si="1"/>
        <v>9353.981528461356</v>
      </c>
      <c r="AE6" s="28">
        <f t="shared" si="1"/>
        <v>9428.8133806890473</v>
      </c>
      <c r="AF6" s="28">
        <f t="shared" si="1"/>
        <v>9504.2438877345612</v>
      </c>
      <c r="AG6" s="28">
        <f t="shared" si="1"/>
        <v>9580.2778388364368</v>
      </c>
      <c r="AH6" s="28">
        <f t="shared" si="1"/>
        <v>9656.9200615471291</v>
      </c>
      <c r="AI6" s="28">
        <f t="shared" si="1"/>
        <v>10101.138384378297</v>
      </c>
      <c r="AJ6" s="28">
        <f t="shared" si="1"/>
        <v>10181.947491453324</v>
      </c>
      <c r="AK6" s="28">
        <f t="shared" si="1"/>
        <v>10263.40307138495</v>
      </c>
      <c r="AL6" s="28">
        <f t="shared" si="1"/>
        <v>10345.51029595603</v>
      </c>
      <c r="AM6" s="28">
        <f t="shared" si="1"/>
        <v>10821.403769570008</v>
      </c>
      <c r="AN6" s="28">
        <f t="shared" si="1"/>
        <v>10907.974999726568</v>
      </c>
      <c r="AO6" s="28">
        <f t="shared" si="1"/>
        <v>10995.238799724379</v>
      </c>
      <c r="AP6" s="28">
        <f t="shared" si="1"/>
        <v>11083.200710122175</v>
      </c>
      <c r="AQ6" s="28">
        <f t="shared" si="1"/>
        <v>11171.866315803152</v>
      </c>
      <c r="AR6" s="28">
        <f t="shared" si="1"/>
        <v>11261.241246329577</v>
      </c>
      <c r="AS6" s="28">
        <f t="shared" si="1"/>
        <v>11351.331176300213</v>
      </c>
      <c r="AT6" s="28">
        <f t="shared" si="1"/>
        <v>11442.141825710616</v>
      </c>
      <c r="AU6" s="28">
        <f t="shared" si="1"/>
        <v>11533.678960316302</v>
      </c>
      <c r="AV6" s="28">
        <f t="shared" si="1"/>
        <v>11625.948391998832</v>
      </c>
      <c r="AW6" s="28">
        <f t="shared" si="1"/>
        <v>11718.955979134822</v>
      </c>
      <c r="AX6" s="28">
        <f t="shared" si="1"/>
        <v>11812.707626967902</v>
      </c>
      <c r="AY6" s="28">
        <f t="shared" si="1"/>
        <v>11907.209287983644</v>
      </c>
    </row>
    <row r="7" spans="1:51" x14ac:dyDescent="0.2">
      <c r="A7" s="2" t="s">
        <v>180</v>
      </c>
      <c r="B7" s="29">
        <f>SUM(B6,B4)</f>
        <v>8280.5559697128538</v>
      </c>
      <c r="C7" s="29">
        <f t="shared" ref="C7:AY7" si="2">SUM(C6,C4)</f>
        <v>8346.8004174705566</v>
      </c>
      <c r="D7" s="29">
        <f t="shared" si="2"/>
        <v>8413.5748208103196</v>
      </c>
      <c r="E7" s="29">
        <f t="shared" si="2"/>
        <v>8818.6739046193416</v>
      </c>
      <c r="F7" s="29">
        <f t="shared" si="2"/>
        <v>8889.2232958562963</v>
      </c>
      <c r="G7" s="29">
        <f t="shared" si="2"/>
        <v>8960.3370822231482</v>
      </c>
      <c r="H7" s="29">
        <f t="shared" si="2"/>
        <v>9032.0197788809328</v>
      </c>
      <c r="I7" s="29">
        <f t="shared" si="2"/>
        <v>9466.895918369195</v>
      </c>
      <c r="J7" s="29">
        <f t="shared" si="2"/>
        <v>9542.6310857161479</v>
      </c>
      <c r="K7" s="29">
        <f t="shared" si="2"/>
        <v>9618.9721344018781</v>
      </c>
      <c r="L7" s="29">
        <f t="shared" si="2"/>
        <v>9695.9239114770935</v>
      </c>
      <c r="M7" s="29">
        <f t="shared" si="2"/>
        <v>10162.765887316689</v>
      </c>
      <c r="N7" s="29">
        <f t="shared" si="2"/>
        <v>10244.068014415221</v>
      </c>
      <c r="O7" s="29">
        <f t="shared" si="2"/>
        <v>10326.020558530543</v>
      </c>
      <c r="P7" s="29">
        <f t="shared" si="2"/>
        <v>10823.200598732643</v>
      </c>
      <c r="Q7" s="29">
        <f t="shared" si="2"/>
        <v>10909.786203522504</v>
      </c>
      <c r="R7" s="29">
        <f t="shared" si="2"/>
        <v>10997.064493150683</v>
      </c>
      <c r="S7" s="29">
        <f t="shared" si="2"/>
        <v>11502.929459835615</v>
      </c>
      <c r="T7" s="29">
        <f t="shared" si="2"/>
        <v>11594.952895514301</v>
      </c>
      <c r="U7" s="29">
        <f t="shared" si="2"/>
        <v>11687.712518678416</v>
      </c>
      <c r="V7" s="29">
        <f t="shared" si="2"/>
        <v>11781.214218827845</v>
      </c>
      <c r="W7" s="29">
        <f t="shared" si="2"/>
        <v>12323.150072893926</v>
      </c>
      <c r="X7" s="29">
        <f t="shared" si="2"/>
        <v>12421.735273477076</v>
      </c>
      <c r="Y7" s="29">
        <f t="shared" si="2"/>
        <v>12521.109155664895</v>
      </c>
      <c r="Z7" s="29">
        <f t="shared" si="2"/>
        <v>12621.278028910216</v>
      </c>
      <c r="AA7" s="29">
        <f t="shared" si="2"/>
        <v>13201.856818240081</v>
      </c>
      <c r="AB7" s="29">
        <f t="shared" si="2"/>
        <v>13307.471672786005</v>
      </c>
      <c r="AC7" s="29">
        <f t="shared" si="2"/>
        <v>13413.931446168292</v>
      </c>
      <c r="AD7" s="29">
        <f t="shared" si="2"/>
        <v>14030.972292692033</v>
      </c>
      <c r="AE7" s="29">
        <f t="shared" si="2"/>
        <v>14143.220071033571</v>
      </c>
      <c r="AF7" s="29">
        <f t="shared" si="2"/>
        <v>14256.365831601841</v>
      </c>
      <c r="AG7" s="29">
        <f t="shared" si="2"/>
        <v>14370.416758254654</v>
      </c>
      <c r="AH7" s="29">
        <f t="shared" si="2"/>
        <v>14485.380092320695</v>
      </c>
      <c r="AI7" s="29">
        <f t="shared" si="2"/>
        <v>15151.707576567445</v>
      </c>
      <c r="AJ7" s="29">
        <f t="shared" si="2"/>
        <v>15272.921237179986</v>
      </c>
      <c r="AK7" s="29">
        <f t="shared" si="2"/>
        <v>15395.104607077425</v>
      </c>
      <c r="AL7" s="29">
        <f t="shared" si="2"/>
        <v>15518.265443934044</v>
      </c>
      <c r="AM7" s="29">
        <f t="shared" si="2"/>
        <v>16232.105654355011</v>
      </c>
      <c r="AN7" s="29">
        <f t="shared" si="2"/>
        <v>16361.962499589852</v>
      </c>
      <c r="AO7" s="29">
        <f t="shared" si="2"/>
        <v>16492.858199586568</v>
      </c>
      <c r="AP7" s="29">
        <f t="shared" si="2"/>
        <v>16624.801065183263</v>
      </c>
      <c r="AQ7" s="29">
        <f t="shared" si="2"/>
        <v>16757.799473704727</v>
      </c>
      <c r="AR7" s="29">
        <f t="shared" si="2"/>
        <v>16891.861869494365</v>
      </c>
      <c r="AS7" s="29">
        <f t="shared" si="2"/>
        <v>17026.996764450319</v>
      </c>
      <c r="AT7" s="29">
        <f t="shared" si="2"/>
        <v>17163.212738565926</v>
      </c>
      <c r="AU7" s="29">
        <f t="shared" si="2"/>
        <v>17300.51844047445</v>
      </c>
      <c r="AV7" s="29">
        <f t="shared" si="2"/>
        <v>17438.922587998248</v>
      </c>
      <c r="AW7" s="29">
        <f t="shared" si="2"/>
        <v>17578.433968702233</v>
      </c>
      <c r="AX7" s="29">
        <f t="shared" si="2"/>
        <v>17719.061440451853</v>
      </c>
      <c r="AY7" s="29">
        <f t="shared" si="2"/>
        <v>17860.813931975466</v>
      </c>
    </row>
    <row r="8" spans="1:51" x14ac:dyDescent="0.2">
      <c r="A8" s="2" t="s">
        <v>181</v>
      </c>
      <c r="B8" s="28">
        <f>B7*12</f>
        <v>99366.671636554238</v>
      </c>
      <c r="C8" s="28">
        <f t="shared" ref="C8:AY8" si="3">C7*12</f>
        <v>100161.60500964668</v>
      </c>
      <c r="D8" s="28">
        <f t="shared" si="3"/>
        <v>100962.89784972384</v>
      </c>
      <c r="E8" s="28">
        <f t="shared" si="3"/>
        <v>105824.08685543211</v>
      </c>
      <c r="F8" s="28">
        <f t="shared" si="3"/>
        <v>106670.67955027556</v>
      </c>
      <c r="G8" s="28">
        <f t="shared" si="3"/>
        <v>107524.04498667778</v>
      </c>
      <c r="H8" s="28">
        <f t="shared" si="3"/>
        <v>108384.2373465712</v>
      </c>
      <c r="I8" s="28">
        <f t="shared" si="3"/>
        <v>113602.75102043034</v>
      </c>
      <c r="J8" s="28">
        <f t="shared" si="3"/>
        <v>114511.57302859378</v>
      </c>
      <c r="K8" s="28">
        <f t="shared" si="3"/>
        <v>115427.66561282254</v>
      </c>
      <c r="L8" s="28">
        <f t="shared" si="3"/>
        <v>116351.08693772512</v>
      </c>
      <c r="M8" s="28">
        <f t="shared" si="3"/>
        <v>121953.19064780028</v>
      </c>
      <c r="N8" s="28">
        <f t="shared" si="3"/>
        <v>122928.81617298265</v>
      </c>
      <c r="O8" s="28">
        <f t="shared" si="3"/>
        <v>123912.24670236651</v>
      </c>
      <c r="P8" s="28">
        <f t="shared" si="3"/>
        <v>129878.40718479172</v>
      </c>
      <c r="Q8" s="28">
        <f t="shared" si="3"/>
        <v>130917.43444227005</v>
      </c>
      <c r="R8" s="28">
        <f t="shared" si="3"/>
        <v>131964.7739178082</v>
      </c>
      <c r="S8" s="28">
        <f t="shared" si="3"/>
        <v>138035.15351802739</v>
      </c>
      <c r="T8" s="28">
        <f t="shared" si="3"/>
        <v>139139.43474617161</v>
      </c>
      <c r="U8" s="28">
        <f t="shared" si="3"/>
        <v>140252.55022414098</v>
      </c>
      <c r="V8" s="28">
        <f t="shared" si="3"/>
        <v>141374.57062593414</v>
      </c>
      <c r="W8" s="28">
        <f t="shared" si="3"/>
        <v>147877.80087472711</v>
      </c>
      <c r="X8" s="28">
        <f t="shared" si="3"/>
        <v>149060.82328172491</v>
      </c>
      <c r="Y8" s="28">
        <f t="shared" si="3"/>
        <v>150253.30986797874</v>
      </c>
      <c r="Z8" s="28">
        <f t="shared" si="3"/>
        <v>151455.33634692259</v>
      </c>
      <c r="AA8" s="28">
        <f t="shared" si="3"/>
        <v>158422.28181888099</v>
      </c>
      <c r="AB8" s="28">
        <f t="shared" si="3"/>
        <v>159689.66007343205</v>
      </c>
      <c r="AC8" s="28">
        <f t="shared" si="3"/>
        <v>160967.17735401948</v>
      </c>
      <c r="AD8" s="28">
        <f t="shared" si="3"/>
        <v>168371.66751230438</v>
      </c>
      <c r="AE8" s="28">
        <f t="shared" si="3"/>
        <v>169718.64085240284</v>
      </c>
      <c r="AF8" s="28">
        <f t="shared" si="3"/>
        <v>171076.38997922209</v>
      </c>
      <c r="AG8" s="28">
        <f t="shared" si="3"/>
        <v>172445.00109905587</v>
      </c>
      <c r="AH8" s="28">
        <f t="shared" si="3"/>
        <v>173824.56110784833</v>
      </c>
      <c r="AI8" s="28">
        <f t="shared" si="3"/>
        <v>181820.49091880934</v>
      </c>
      <c r="AJ8" s="28">
        <f t="shared" si="3"/>
        <v>183275.05484615982</v>
      </c>
      <c r="AK8" s="28">
        <f t="shared" si="3"/>
        <v>184741.2552849291</v>
      </c>
      <c r="AL8" s="28">
        <f t="shared" si="3"/>
        <v>186219.18532720854</v>
      </c>
      <c r="AM8" s="28">
        <f t="shared" si="3"/>
        <v>194785.26785226015</v>
      </c>
      <c r="AN8" s="28">
        <f t="shared" si="3"/>
        <v>196343.54999507824</v>
      </c>
      <c r="AO8" s="28">
        <f t="shared" si="3"/>
        <v>197914.29839503882</v>
      </c>
      <c r="AP8" s="28">
        <f t="shared" si="3"/>
        <v>199497.61278219917</v>
      </c>
      <c r="AQ8" s="28">
        <f t="shared" si="3"/>
        <v>201093.59368445672</v>
      </c>
      <c r="AR8" s="28">
        <f t="shared" si="3"/>
        <v>202702.34243393238</v>
      </c>
      <c r="AS8" s="28">
        <f t="shared" si="3"/>
        <v>204323.96117340383</v>
      </c>
      <c r="AT8" s="28">
        <f t="shared" si="3"/>
        <v>205958.55286279111</v>
      </c>
      <c r="AU8" s="28">
        <f t="shared" si="3"/>
        <v>207606.22128569341</v>
      </c>
      <c r="AV8" s="28">
        <f t="shared" si="3"/>
        <v>209267.07105597897</v>
      </c>
      <c r="AW8" s="28">
        <f t="shared" si="3"/>
        <v>210941.20762442681</v>
      </c>
      <c r="AX8" s="28">
        <f t="shared" si="3"/>
        <v>212628.73728542222</v>
      </c>
      <c r="AY8" s="28">
        <f t="shared" si="3"/>
        <v>214329.76718370558</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14547920.93420933</v>
      </c>
    </row>
    <row r="17" spans="1:4" x14ac:dyDescent="0.2">
      <c r="A17" s="2" t="s">
        <v>184</v>
      </c>
      <c r="B17" s="28">
        <f>B16/25</f>
        <v>581916.83736837318</v>
      </c>
      <c r="C17" s="2" t="s">
        <v>182</v>
      </c>
    </row>
    <row r="18" spans="1:4" x14ac:dyDescent="0.2">
      <c r="A18" s="2" t="s">
        <v>183</v>
      </c>
      <c r="B18" s="30">
        <f>B17/12</f>
        <v>48493.069780697762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2.2000000000000002E-2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99366.671636554238</v>
      </c>
      <c r="C34" s="26">
        <f t="shared" ref="C34:AY34" si="4">B38+C8</f>
        <v>202053.18377248576</v>
      </c>
      <c r="D34" s="26">
        <f t="shared" si="4"/>
        <v>308150.25302186847</v>
      </c>
      <c r="E34" s="26">
        <f t="shared" si="4"/>
        <v>421804.43780658627</v>
      </c>
      <c r="F34" s="26">
        <f t="shared" si="4"/>
        <v>539193.16812152718</v>
      </c>
      <c r="G34" s="26">
        <f t="shared" si="4"/>
        <v>660418.11151017295</v>
      </c>
      <c r="H34" s="26">
        <f t="shared" si="4"/>
        <v>785583.57307021762</v>
      </c>
      <c r="I34" s="26">
        <f t="shared" si="4"/>
        <v>919148.00268236222</v>
      </c>
      <c r="J34" s="26">
        <f t="shared" si="4"/>
        <v>1057015.1264591147</v>
      </c>
      <c r="K34" s="26">
        <f t="shared" si="4"/>
        <v>1199301.5464352635</v>
      </c>
      <c r="L34" s="26">
        <f t="shared" si="4"/>
        <v>1346126.8856679087</v>
      </c>
      <c r="M34" s="26">
        <f t="shared" si="4"/>
        <v>1502285.1604805305</v>
      </c>
      <c r="N34" s="26">
        <f t="shared" si="4"/>
        <v>1663387.0425813233</v>
      </c>
      <c r="O34" s="26">
        <f t="shared" si="4"/>
        <v>1829565.9540356812</v>
      </c>
      <c r="P34" s="26">
        <f t="shared" si="4"/>
        <v>2005933.6321125196</v>
      </c>
      <c r="Q34" s="26">
        <f t="shared" si="4"/>
        <v>2187821.8401467688</v>
      </c>
      <c r="R34" s="26">
        <f t="shared" si="4"/>
        <v>2375379.1670227065</v>
      </c>
      <c r="S34" s="26">
        <f t="shared" si="4"/>
        <v>2573772.7051747805</v>
      </c>
      <c r="T34" s="26">
        <f t="shared" si="4"/>
        <v>2778311.7043594434</v>
      </c>
      <c r="U34" s="26">
        <f t="shared" si="4"/>
        <v>2989161.1549913576</v>
      </c>
      <c r="V34" s="26">
        <f t="shared" si="4"/>
        <v>3206490.3105656221</v>
      </c>
      <c r="W34" s="26">
        <f t="shared" si="4"/>
        <v>3435845.0302318218</v>
      </c>
      <c r="X34" s="26">
        <f t="shared" si="4"/>
        <v>3672210.6757317372</v>
      </c>
      <c r="Y34" s="26">
        <f t="shared" si="4"/>
        <v>3915774.8588700593</v>
      </c>
      <c r="Z34" s="26">
        <f t="shared" si="4"/>
        <v>4166730.0343808699</v>
      </c>
      <c r="AA34" s="26">
        <f t="shared" si="4"/>
        <v>4431028.9263733681</v>
      </c>
      <c r="AB34" s="26">
        <f t="shared" si="4"/>
        <v>4703311.0314659476</v>
      </c>
      <c r="AC34" s="26">
        <f t="shared" si="4"/>
        <v>4983789.3421295164</v>
      </c>
      <c r="AD34" s="26">
        <f t="shared" si="4"/>
        <v>5278799.0968253314</v>
      </c>
      <c r="AE34" s="26">
        <f t="shared" si="4"/>
        <v>5582652.022728066</v>
      </c>
      <c r="AF34" s="26">
        <f t="shared" si="4"/>
        <v>5895583.600604808</v>
      </c>
      <c r="AG34" s="26">
        <f t="shared" si="4"/>
        <v>6217835.3809952317</v>
      </c>
      <c r="AH34" s="26">
        <f t="shared" si="4"/>
        <v>6549655.1391341696</v>
      </c>
      <c r="AI34" s="26">
        <f t="shared" si="4"/>
        <v>6897902.3671383783</v>
      </c>
      <c r="AJ34" s="26">
        <f t="shared" si="4"/>
        <v>7256453.1211335249</v>
      </c>
      <c r="AK34" s="26">
        <f t="shared" si="4"/>
        <v>7625580.8502264563</v>
      </c>
      <c r="AL34" s="26">
        <f t="shared" si="4"/>
        <v>8005566.044957919</v>
      </c>
      <c r="AM34" s="26">
        <f t="shared" si="4"/>
        <v>8403772.7460125592</v>
      </c>
      <c r="AN34" s="26">
        <f t="shared" si="4"/>
        <v>8813656.1614838168</v>
      </c>
      <c r="AO34" s="26">
        <f t="shared" si="4"/>
        <v>9235525.4629421607</v>
      </c>
      <c r="AP34" s="26">
        <f t="shared" si="4"/>
        <v>9669697.7777377199</v>
      </c>
      <c r="AQ34" s="26">
        <f t="shared" si="4"/>
        <v>10116498.391954493</v>
      </c>
      <c r="AR34" s="26">
        <f t="shared" si="4"/>
        <v>10576260.95852799</v>
      </c>
      <c r="AS34" s="26">
        <f t="shared" si="4"/>
        <v>11049327.710657589</v>
      </c>
      <c r="AT34" s="26">
        <f t="shared" si="4"/>
        <v>11536049.680648189</v>
      </c>
      <c r="AU34" s="26">
        <f t="shared" si="4"/>
        <v>12036786.924319154</v>
      </c>
      <c r="AV34" s="26">
        <f t="shared" si="4"/>
        <v>12551908.751122082</v>
      </c>
      <c r="AW34" s="26">
        <f t="shared" si="4"/>
        <v>13081793.96011252</v>
      </c>
      <c r="AX34" s="26">
        <f t="shared" si="4"/>
        <v>13626831.081924401</v>
      </c>
      <c r="AY34" s="26">
        <f t="shared" si="4"/>
        <v>14187418.626899807</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2981.000149096627</v>
      </c>
      <c r="C36" s="26">
        <f>C35*C34</f>
        <v>6061.5955131745723</v>
      </c>
      <c r="D36" s="26">
        <f>D35*D34</f>
        <v>9244.5075906560542</v>
      </c>
      <c r="E36" s="26">
        <f t="shared" ref="E36:AY36" si="6">E35*E34</f>
        <v>12654.133134197587</v>
      </c>
      <c r="F36" s="26">
        <f t="shared" si="6"/>
        <v>16175.795043645814</v>
      </c>
      <c r="G36" s="26">
        <f t="shared" si="6"/>
        <v>19812.543345305188</v>
      </c>
      <c r="H36" s="26">
        <f t="shared" si="6"/>
        <v>23567.507192106528</v>
      </c>
      <c r="I36" s="26">
        <f t="shared" si="6"/>
        <v>27574.440080470864</v>
      </c>
      <c r="J36" s="26">
        <f t="shared" si="6"/>
        <v>31710.453793773442</v>
      </c>
      <c r="K36" s="26">
        <f t="shared" si="6"/>
        <v>35979.046393057906</v>
      </c>
      <c r="L36" s="26">
        <f t="shared" si="6"/>
        <v>40383.806570037261</v>
      </c>
      <c r="M36" s="26">
        <f t="shared" si="6"/>
        <v>45068.554814415911</v>
      </c>
      <c r="N36" s="26">
        <f t="shared" si="6"/>
        <v>49901.611277439697</v>
      </c>
      <c r="O36" s="26">
        <f t="shared" si="6"/>
        <v>54886.978621070433</v>
      </c>
      <c r="P36" s="26">
        <f t="shared" si="6"/>
        <v>60178.008963375585</v>
      </c>
      <c r="Q36" s="26">
        <f t="shared" si="6"/>
        <v>65634.655204403069</v>
      </c>
      <c r="R36" s="26">
        <f t="shared" si="6"/>
        <v>71261.375010681193</v>
      </c>
      <c r="S36" s="26">
        <f t="shared" si="6"/>
        <v>77213.181155243408</v>
      </c>
      <c r="T36" s="26">
        <f t="shared" si="6"/>
        <v>83349.351130783296</v>
      </c>
      <c r="U36" s="26">
        <f t="shared" si="6"/>
        <v>89674.834649740718</v>
      </c>
      <c r="V36" s="26">
        <f t="shared" si="6"/>
        <v>96194.709316968656</v>
      </c>
      <c r="W36" s="26">
        <f t="shared" si="6"/>
        <v>103075.35090695466</v>
      </c>
      <c r="X36" s="26">
        <f t="shared" si="6"/>
        <v>110166.32027195211</v>
      </c>
      <c r="Y36" s="26">
        <f t="shared" si="6"/>
        <v>117473.24576610177</v>
      </c>
      <c r="Z36" s="26">
        <f t="shared" si="6"/>
        <v>125001.9010314261</v>
      </c>
      <c r="AA36" s="26">
        <f t="shared" si="6"/>
        <v>132930.86779120105</v>
      </c>
      <c r="AB36" s="26">
        <f t="shared" si="6"/>
        <v>141099.33094397842</v>
      </c>
      <c r="AC36" s="26">
        <f t="shared" si="6"/>
        <v>149513.6802638855</v>
      </c>
      <c r="AD36" s="26">
        <f t="shared" si="6"/>
        <v>158363.97290475992</v>
      </c>
      <c r="AE36" s="26">
        <f t="shared" si="6"/>
        <v>167479.56068184198</v>
      </c>
      <c r="AF36" s="26">
        <f t="shared" si="6"/>
        <v>176867.50801814423</v>
      </c>
      <c r="AG36" s="26">
        <f t="shared" si="6"/>
        <v>186535.06142985696</v>
      </c>
      <c r="AH36" s="26">
        <f t="shared" si="6"/>
        <v>196489.65417402508</v>
      </c>
      <c r="AI36" s="26">
        <f t="shared" si="6"/>
        <v>206937.07101415136</v>
      </c>
      <c r="AJ36" s="26">
        <f t="shared" si="6"/>
        <v>217693.59363400575</v>
      </c>
      <c r="AK36" s="26">
        <f t="shared" si="6"/>
        <v>228767.42550679369</v>
      </c>
      <c r="AL36" s="26">
        <f t="shared" si="6"/>
        <v>240166.98134873755</v>
      </c>
      <c r="AM36" s="26">
        <f t="shared" si="6"/>
        <v>252113.18238037676</v>
      </c>
      <c r="AN36" s="26">
        <f t="shared" si="6"/>
        <v>264409.68484451447</v>
      </c>
      <c r="AO36" s="26">
        <f t="shared" si="6"/>
        <v>277065.76388826483</v>
      </c>
      <c r="AP36" s="26">
        <f t="shared" si="6"/>
        <v>290090.93333213159</v>
      </c>
      <c r="AQ36" s="26">
        <f t="shared" si="6"/>
        <v>303494.95175863476</v>
      </c>
      <c r="AR36" s="26">
        <f t="shared" si="6"/>
        <v>317287.82875583967</v>
      </c>
      <c r="AS36" s="26">
        <f t="shared" si="6"/>
        <v>331479.83131972764</v>
      </c>
      <c r="AT36" s="26">
        <f t="shared" si="6"/>
        <v>346081.49041944568</v>
      </c>
      <c r="AU36" s="26">
        <f t="shared" si="6"/>
        <v>361103.60772957461</v>
      </c>
      <c r="AV36" s="26">
        <f t="shared" si="6"/>
        <v>376557.26253366243</v>
      </c>
      <c r="AW36" s="26">
        <f t="shared" si="6"/>
        <v>392453.81880337559</v>
      </c>
      <c r="AX36" s="26">
        <f t="shared" si="6"/>
        <v>408804.93245773204</v>
      </c>
      <c r="AY36" s="26">
        <f t="shared" si="6"/>
        <v>425622.55880699417</v>
      </c>
    </row>
    <row r="37" spans="1:51" x14ac:dyDescent="0.2">
      <c r="A37" s="2" t="s">
        <v>215</v>
      </c>
      <c r="B37" s="26">
        <f>B36*$B$27</f>
        <v>456.0930228117839</v>
      </c>
      <c r="C37" s="26">
        <f>C36*$B$27</f>
        <v>927.42411351570956</v>
      </c>
      <c r="D37" s="26">
        <f t="shared" ref="D37:AY37" si="7">D36*$B$27</f>
        <v>1414.4096613703762</v>
      </c>
      <c r="E37" s="26">
        <f t="shared" si="7"/>
        <v>1936.0823695322308</v>
      </c>
      <c r="F37" s="26">
        <f t="shared" si="7"/>
        <v>2474.8966416778094</v>
      </c>
      <c r="G37" s="26">
        <f t="shared" si="7"/>
        <v>3031.3191318316935</v>
      </c>
      <c r="H37" s="26">
        <f t="shared" si="7"/>
        <v>3605.8286003922985</v>
      </c>
      <c r="I37" s="26">
        <f t="shared" si="7"/>
        <v>4218.8893323120419</v>
      </c>
      <c r="J37" s="26">
        <f t="shared" si="7"/>
        <v>4851.6994304473365</v>
      </c>
      <c r="K37" s="26">
        <f t="shared" si="7"/>
        <v>5504.7940981378597</v>
      </c>
      <c r="L37" s="26">
        <f t="shared" si="7"/>
        <v>6178.7224052157007</v>
      </c>
      <c r="M37" s="26">
        <f t="shared" si="7"/>
        <v>6895.4888866056344</v>
      </c>
      <c r="N37" s="26">
        <f t="shared" si="7"/>
        <v>7634.9465254482739</v>
      </c>
      <c r="O37" s="26">
        <f t="shared" si="7"/>
        <v>8397.7077290237758</v>
      </c>
      <c r="P37" s="26">
        <f t="shared" si="7"/>
        <v>9207.235371396464</v>
      </c>
      <c r="Q37" s="26">
        <f t="shared" si="7"/>
        <v>10042.102246273669</v>
      </c>
      <c r="R37" s="26">
        <f t="shared" si="7"/>
        <v>10902.990376634223</v>
      </c>
      <c r="S37" s="26">
        <f t="shared" si="7"/>
        <v>11813.616716752242</v>
      </c>
      <c r="T37" s="26">
        <f t="shared" si="7"/>
        <v>12752.450723009844</v>
      </c>
      <c r="U37" s="26">
        <f t="shared" si="7"/>
        <v>13720.24970141033</v>
      </c>
      <c r="V37" s="26">
        <f t="shared" si="7"/>
        <v>14717.790525496204</v>
      </c>
      <c r="W37" s="26">
        <f t="shared" si="7"/>
        <v>15770.528688764061</v>
      </c>
      <c r="X37" s="26">
        <f t="shared" si="7"/>
        <v>16855.447001608671</v>
      </c>
      <c r="Y37" s="26">
        <f t="shared" si="7"/>
        <v>17973.40660221357</v>
      </c>
      <c r="Z37" s="26">
        <f t="shared" si="7"/>
        <v>19125.290857808192</v>
      </c>
      <c r="AA37" s="26">
        <f t="shared" si="7"/>
        <v>20338.42277205376</v>
      </c>
      <c r="AB37" s="26">
        <f t="shared" si="7"/>
        <v>21588.1976344287</v>
      </c>
      <c r="AC37" s="26">
        <f t="shared" si="7"/>
        <v>22875.593080374481</v>
      </c>
      <c r="AD37" s="26">
        <f t="shared" si="7"/>
        <v>24229.687854428266</v>
      </c>
      <c r="AE37" s="26">
        <f t="shared" si="7"/>
        <v>25624.372784321822</v>
      </c>
      <c r="AF37" s="26">
        <f t="shared" si="7"/>
        <v>27060.728726776066</v>
      </c>
      <c r="AG37" s="26">
        <f t="shared" si="7"/>
        <v>28539.864398768113</v>
      </c>
      <c r="AH37" s="26">
        <f t="shared" si="7"/>
        <v>30062.917088625836</v>
      </c>
      <c r="AI37" s="26">
        <f t="shared" si="7"/>
        <v>31661.371865165158</v>
      </c>
      <c r="AJ37" s="26">
        <f t="shared" si="7"/>
        <v>33307.119826002876</v>
      </c>
      <c r="AK37" s="26">
        <f t="shared" si="7"/>
        <v>35001.416102539435</v>
      </c>
      <c r="AL37" s="26">
        <f t="shared" si="7"/>
        <v>36745.548146356843</v>
      </c>
      <c r="AM37" s="26">
        <f t="shared" si="7"/>
        <v>38573.316904197643</v>
      </c>
      <c r="AN37" s="26">
        <f t="shared" si="7"/>
        <v>40454.681781210711</v>
      </c>
      <c r="AO37" s="26">
        <f t="shared" si="7"/>
        <v>42391.061874904517</v>
      </c>
      <c r="AP37" s="26">
        <f t="shared" si="7"/>
        <v>44383.912799816135</v>
      </c>
      <c r="AQ37" s="26">
        <f t="shared" si="7"/>
        <v>46434.72761907112</v>
      </c>
      <c r="AR37" s="26">
        <f t="shared" si="7"/>
        <v>48545.037799643469</v>
      </c>
      <c r="AS37" s="26">
        <f t="shared" si="7"/>
        <v>50716.414191918331</v>
      </c>
      <c r="AT37" s="26">
        <f t="shared" si="7"/>
        <v>52950.468034175188</v>
      </c>
      <c r="AU37" s="26">
        <f t="shared" si="7"/>
        <v>55248.85198262491</v>
      </c>
      <c r="AV37" s="26">
        <f t="shared" si="7"/>
        <v>57613.261167650351</v>
      </c>
      <c r="AW37" s="26">
        <f t="shared" si="7"/>
        <v>60045.434276916465</v>
      </c>
      <c r="AX37" s="26">
        <f t="shared" si="7"/>
        <v>62547.154666032999</v>
      </c>
      <c r="AY37" s="26">
        <f t="shared" si="7"/>
        <v>65120.251497470104</v>
      </c>
    </row>
    <row r="38" spans="1:51" s="18" customFormat="1" x14ac:dyDescent="0.2">
      <c r="A38" s="18" t="s">
        <v>248</v>
      </c>
      <c r="B38" s="27">
        <f>B34+(B36-B37)</f>
        <v>101891.57876283908</v>
      </c>
      <c r="C38" s="27">
        <f>C34+(C36-C37)</f>
        <v>207187.35517214463</v>
      </c>
      <c r="D38" s="27">
        <f t="shared" ref="D38:AS38" si="8">D34+(D36-D37)</f>
        <v>315980.35095115413</v>
      </c>
      <c r="E38" s="27">
        <f t="shared" si="8"/>
        <v>432522.48857125163</v>
      </c>
      <c r="F38" s="27">
        <f t="shared" si="8"/>
        <v>552894.06652349513</v>
      </c>
      <c r="G38" s="27">
        <f t="shared" si="8"/>
        <v>677199.33572364645</v>
      </c>
      <c r="H38" s="27">
        <f t="shared" si="8"/>
        <v>805545.25166193186</v>
      </c>
      <c r="I38" s="27">
        <f t="shared" si="8"/>
        <v>942503.55343052105</v>
      </c>
      <c r="J38" s="27">
        <f t="shared" si="8"/>
        <v>1083873.8808224408</v>
      </c>
      <c r="K38" s="27">
        <f t="shared" si="8"/>
        <v>1229775.7987301836</v>
      </c>
      <c r="L38" s="27">
        <f t="shared" si="8"/>
        <v>1380331.9698327302</v>
      </c>
      <c r="M38" s="27">
        <f t="shared" si="8"/>
        <v>1540458.2264083407</v>
      </c>
      <c r="N38" s="27">
        <f t="shared" si="8"/>
        <v>1705653.7073333147</v>
      </c>
      <c r="O38" s="27">
        <f t="shared" si="8"/>
        <v>1876055.2249277278</v>
      </c>
      <c r="P38" s="27">
        <f t="shared" si="8"/>
        <v>2056904.4057044988</v>
      </c>
      <c r="Q38" s="27">
        <f t="shared" si="8"/>
        <v>2243414.3931048983</v>
      </c>
      <c r="R38" s="27">
        <f t="shared" si="8"/>
        <v>2435737.5516567533</v>
      </c>
      <c r="S38" s="27">
        <f t="shared" si="8"/>
        <v>2639172.2696132716</v>
      </c>
      <c r="T38" s="27">
        <f t="shared" si="8"/>
        <v>2848908.6047672168</v>
      </c>
      <c r="U38" s="27">
        <f t="shared" si="8"/>
        <v>3065115.7399396878</v>
      </c>
      <c r="V38" s="27">
        <f t="shared" si="8"/>
        <v>3287967.2293570945</v>
      </c>
      <c r="W38" s="27">
        <f t="shared" si="8"/>
        <v>3523149.8524500122</v>
      </c>
      <c r="X38" s="27">
        <f t="shared" si="8"/>
        <v>3765521.5490020807</v>
      </c>
      <c r="Y38" s="27">
        <f t="shared" si="8"/>
        <v>4015274.6980339475</v>
      </c>
      <c r="Z38" s="27">
        <f t="shared" si="8"/>
        <v>4272606.6445544874</v>
      </c>
      <c r="AA38" s="27">
        <f t="shared" si="8"/>
        <v>4543621.3713925155</v>
      </c>
      <c r="AB38" s="27">
        <f t="shared" si="8"/>
        <v>4822822.1647754973</v>
      </c>
      <c r="AC38" s="27">
        <f t="shared" si="8"/>
        <v>5110427.4293130273</v>
      </c>
      <c r="AD38" s="27">
        <f t="shared" si="8"/>
        <v>5412933.3818756631</v>
      </c>
      <c r="AE38" s="27">
        <f t="shared" si="8"/>
        <v>5724507.2106255861</v>
      </c>
      <c r="AF38" s="27">
        <f t="shared" si="8"/>
        <v>6045390.379896176</v>
      </c>
      <c r="AG38" s="27">
        <f t="shared" si="8"/>
        <v>6375830.5780263208</v>
      </c>
      <c r="AH38" s="27">
        <f t="shared" si="8"/>
        <v>6716081.8762195688</v>
      </c>
      <c r="AI38" s="27">
        <f t="shared" si="8"/>
        <v>7073178.0662873648</v>
      </c>
      <c r="AJ38" s="27">
        <f t="shared" si="8"/>
        <v>7440839.5949415276</v>
      </c>
      <c r="AK38" s="27">
        <f t="shared" si="8"/>
        <v>7819346.8596307104</v>
      </c>
      <c r="AL38" s="27">
        <f t="shared" si="8"/>
        <v>8208987.4781602994</v>
      </c>
      <c r="AM38" s="27">
        <f t="shared" si="8"/>
        <v>8617312.611488739</v>
      </c>
      <c r="AN38" s="27">
        <f t="shared" si="8"/>
        <v>9037611.1645471212</v>
      </c>
      <c r="AO38" s="27">
        <f t="shared" si="8"/>
        <v>9470200.164955521</v>
      </c>
      <c r="AP38" s="27">
        <f t="shared" si="8"/>
        <v>9915404.7982700355</v>
      </c>
      <c r="AQ38" s="27">
        <f t="shared" si="8"/>
        <v>10373558.616094057</v>
      </c>
      <c r="AR38" s="27">
        <f t="shared" si="8"/>
        <v>10845003.749484185</v>
      </c>
      <c r="AS38" s="27">
        <f t="shared" si="8"/>
        <v>11330091.127785398</v>
      </c>
      <c r="AT38" s="27">
        <f>AT34+(AT36-AT37)</f>
        <v>11829180.70303346</v>
      </c>
      <c r="AU38" s="27">
        <f t="shared" ref="AU38:AY38" si="9">AU34+(AU36-AU37)</f>
        <v>12342641.680066103</v>
      </c>
      <c r="AV38" s="27">
        <f t="shared" si="9"/>
        <v>12870852.752488093</v>
      </c>
      <c r="AW38" s="27">
        <f t="shared" si="9"/>
        <v>13414202.344638979</v>
      </c>
      <c r="AX38" s="27">
        <f t="shared" si="9"/>
        <v>13973088.859716101</v>
      </c>
      <c r="AY38" s="27">
        <f t="shared" si="9"/>
        <v>14547920.93420933</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2.2000000000000002E-2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55203.706464752351</v>
      </c>
      <c r="F2" s="29">
        <v>55645.336116470367</v>
      </c>
      <c r="G2" s="29">
        <v>56090.498805402131</v>
      </c>
      <c r="H2" s="29">
        <v>58791.159364128944</v>
      </c>
      <c r="I2" s="29">
        <v>59261.488639041978</v>
      </c>
      <c r="J2" s="29">
        <v>59735.580548154314</v>
      </c>
      <c r="K2" s="29">
        <v>60213.465192539552</v>
      </c>
      <c r="L2" s="29">
        <v>63112.639455794626</v>
      </c>
      <c r="M2" s="29">
        <v>63617.540571440986</v>
      </c>
      <c r="N2" s="29">
        <v>64126.480896012516</v>
      </c>
      <c r="O2" s="29">
        <v>64639.492743180614</v>
      </c>
      <c r="P2" s="29">
        <v>67751.772582111254</v>
      </c>
      <c r="Q2" s="29">
        <v>68293.786762768141</v>
      </c>
      <c r="R2" s="29">
        <v>68840.137056870284</v>
      </c>
      <c r="S2" s="29">
        <v>72154.670658217612</v>
      </c>
      <c r="T2" s="29" cm="1">
        <f t="array" ref="T2:BB2">TRANSPOSE(Income!P3:P37)</f>
        <v>72731.908023483353</v>
      </c>
      <c r="U2" s="29">
        <v>73313.763287671216</v>
      </c>
      <c r="V2" s="29">
        <v>76686.196398904096</v>
      </c>
      <c r="W2" s="29">
        <v>77299.685970095336</v>
      </c>
      <c r="X2" s="29">
        <v>77918.083457856104</v>
      </c>
      <c r="Y2" s="29">
        <v>78541.428125518956</v>
      </c>
      <c r="Z2" s="29">
        <v>82154.333819292835</v>
      </c>
      <c r="AA2" s="29">
        <v>82811.568489847181</v>
      </c>
      <c r="AB2" s="29">
        <v>83474.061037765961</v>
      </c>
      <c r="AC2" s="29">
        <v>84141.853526068095</v>
      </c>
      <c r="AD2" s="29">
        <v>88012.378788267219</v>
      </c>
      <c r="AE2" s="29">
        <v>88716.477818573359</v>
      </c>
      <c r="AF2" s="29">
        <v>89426.209641121954</v>
      </c>
      <c r="AG2" s="29">
        <v>93539.815284613564</v>
      </c>
      <c r="AH2" s="29">
        <v>94288.133806890473</v>
      </c>
      <c r="AI2" s="29">
        <v>95042.438877345601</v>
      </c>
      <c r="AJ2" s="29">
        <v>95802.778388364371</v>
      </c>
      <c r="AK2" s="29">
        <v>96569.200615471287</v>
      </c>
      <c r="AL2" s="29">
        <v>101011.38384378297</v>
      </c>
      <c r="AM2" s="29">
        <v>101819.47491453323</v>
      </c>
      <c r="AN2" s="29">
        <v>102634.0307138495</v>
      </c>
      <c r="AO2" s="29">
        <v>103455.10295956029</v>
      </c>
      <c r="AP2" s="29">
        <v>108214.03769570007</v>
      </c>
      <c r="AQ2" s="29">
        <v>109079.74999726567</v>
      </c>
      <c r="AR2" s="29">
        <v>109952.38799724379</v>
      </c>
      <c r="AS2" s="29">
        <v>110832.00710122174</v>
      </c>
      <c r="AT2" s="29">
        <v>111718.66315803152</v>
      </c>
      <c r="AU2" s="29">
        <v>112612.41246329577</v>
      </c>
      <c r="AV2" s="29">
        <v>113513.31176300213</v>
      </c>
      <c r="AW2" s="29">
        <v>114421.41825710615</v>
      </c>
      <c r="AX2" s="2">
        <v>115336.78960316301</v>
      </c>
      <c r="AY2" s="2">
        <v>116259.48391998831</v>
      </c>
      <c r="AZ2" s="2">
        <v>117189.55979134822</v>
      </c>
      <c r="BA2" s="2">
        <v>118127.076269679</v>
      </c>
      <c r="BB2" s="2">
        <v>119072.09287983643</v>
      </c>
      <c r="BH2" s="2" t="s">
        <v>206</v>
      </c>
      <c r="BI2" s="2" cm="1">
        <f t="array" ref="BI2:BI37">TRANSPOSE(T17:BC17)</f>
        <v>38570.520659917151</v>
      </c>
    </row>
    <row r="3" spans="1:61" x14ac:dyDescent="0.2">
      <c r="D3" s="2" t="s">
        <v>186</v>
      </c>
      <c r="E3" s="29">
        <f>E2*12</f>
        <v>662444.47757702821</v>
      </c>
      <c r="F3" s="29">
        <f t="shared" ref="F3:AW3" si="0">F2*12</f>
        <v>667744.03339764441</v>
      </c>
      <c r="G3" s="29">
        <f t="shared" si="0"/>
        <v>673085.98566482554</v>
      </c>
      <c r="H3" s="29">
        <f t="shared" si="0"/>
        <v>705493.9123695473</v>
      </c>
      <c r="I3" s="29">
        <f t="shared" si="0"/>
        <v>711137.86366850371</v>
      </c>
      <c r="J3" s="29">
        <f t="shared" si="0"/>
        <v>716826.9665778518</v>
      </c>
      <c r="K3" s="29">
        <f t="shared" si="0"/>
        <v>722561.58231047459</v>
      </c>
      <c r="L3" s="29">
        <f t="shared" si="0"/>
        <v>757351.67346953554</v>
      </c>
      <c r="M3" s="29">
        <f t="shared" si="0"/>
        <v>763410.48685729178</v>
      </c>
      <c r="N3" s="29">
        <f t="shared" si="0"/>
        <v>769517.77075215022</v>
      </c>
      <c r="O3" s="29">
        <f t="shared" si="0"/>
        <v>775673.91291816742</v>
      </c>
      <c r="P3" s="29">
        <f t="shared" si="0"/>
        <v>813021.27098533511</v>
      </c>
      <c r="Q3" s="29">
        <f t="shared" si="0"/>
        <v>819525.44115321769</v>
      </c>
      <c r="R3" s="29">
        <f t="shared" si="0"/>
        <v>826081.64468244347</v>
      </c>
      <c r="S3" s="29">
        <f t="shared" si="0"/>
        <v>865856.04789861129</v>
      </c>
      <c r="T3" s="29">
        <f t="shared" si="0"/>
        <v>872782.89628180023</v>
      </c>
      <c r="U3" s="29">
        <f t="shared" si="0"/>
        <v>879765.15945205465</v>
      </c>
      <c r="V3" s="29">
        <f t="shared" si="0"/>
        <v>920234.35678684921</v>
      </c>
      <c r="W3" s="29">
        <f t="shared" si="0"/>
        <v>927596.23164114403</v>
      </c>
      <c r="X3" s="29">
        <f t="shared" si="0"/>
        <v>935017.00149427331</v>
      </c>
      <c r="Y3" s="29">
        <f t="shared" si="0"/>
        <v>942497.13750622747</v>
      </c>
      <c r="Z3" s="29">
        <f t="shared" si="0"/>
        <v>985852.00583151402</v>
      </c>
      <c r="AA3" s="29">
        <f t="shared" si="0"/>
        <v>993738.82187816617</v>
      </c>
      <c r="AB3" s="29">
        <f t="shared" si="0"/>
        <v>1001688.7324531915</v>
      </c>
      <c r="AC3" s="29">
        <f t="shared" si="0"/>
        <v>1009702.2423128171</v>
      </c>
      <c r="AD3" s="29">
        <f t="shared" si="0"/>
        <v>1056148.5454592067</v>
      </c>
      <c r="AE3" s="29">
        <f t="shared" si="0"/>
        <v>1064597.7338228803</v>
      </c>
      <c r="AF3" s="29">
        <f t="shared" si="0"/>
        <v>1073114.5156934634</v>
      </c>
      <c r="AG3" s="29">
        <f t="shared" si="0"/>
        <v>1122477.7834153627</v>
      </c>
      <c r="AH3" s="29">
        <f t="shared" si="0"/>
        <v>1131457.6056826857</v>
      </c>
      <c r="AI3" s="29">
        <f t="shared" si="0"/>
        <v>1140509.2665281473</v>
      </c>
      <c r="AJ3" s="29">
        <f t="shared" si="0"/>
        <v>1149633.3406603725</v>
      </c>
      <c r="AK3" s="29">
        <f t="shared" si="0"/>
        <v>1158830.4073856554</v>
      </c>
      <c r="AL3" s="29">
        <f t="shared" si="0"/>
        <v>1212136.6061253957</v>
      </c>
      <c r="AM3" s="29">
        <f t="shared" si="0"/>
        <v>1221833.6989743989</v>
      </c>
      <c r="AN3" s="29">
        <f t="shared" si="0"/>
        <v>1231608.3685661941</v>
      </c>
      <c r="AO3" s="29">
        <f t="shared" si="0"/>
        <v>1241461.2355147235</v>
      </c>
      <c r="AP3" s="29">
        <f t="shared" si="0"/>
        <v>1298568.4523484008</v>
      </c>
      <c r="AQ3" s="29">
        <f t="shared" si="0"/>
        <v>1308956.9999671881</v>
      </c>
      <c r="AR3" s="29">
        <f t="shared" si="0"/>
        <v>1319428.6559669254</v>
      </c>
      <c r="AS3" s="29">
        <f t="shared" si="0"/>
        <v>1329984.085214661</v>
      </c>
      <c r="AT3" s="29">
        <f t="shared" si="0"/>
        <v>1340623.9578963781</v>
      </c>
      <c r="AU3" s="29">
        <f t="shared" si="0"/>
        <v>1351348.9495595493</v>
      </c>
      <c r="AV3" s="29">
        <f t="shared" si="0"/>
        <v>1362159.7411560256</v>
      </c>
      <c r="AW3" s="29">
        <f t="shared" si="0"/>
        <v>1373057.0190852738</v>
      </c>
      <c r="AX3" s="29">
        <f t="shared" ref="AX3:BB3" si="1">AX2*12</f>
        <v>1384041.475237956</v>
      </c>
      <c r="AY3" s="29">
        <f t="shared" si="1"/>
        <v>1395113.8070398597</v>
      </c>
      <c r="AZ3" s="29">
        <f t="shared" si="1"/>
        <v>1406274.7174961786</v>
      </c>
      <c r="BA3" s="29">
        <f t="shared" si="1"/>
        <v>1417524.9152361481</v>
      </c>
      <c r="BB3" s="29">
        <f t="shared" si="1"/>
        <v>1428865.1145580371</v>
      </c>
      <c r="BI3" s="2">
        <v>38814.569726199152</v>
      </c>
    </row>
    <row r="4" spans="1:61" x14ac:dyDescent="0.2">
      <c r="A4" s="2" t="str" cm="1">
        <f t="array" ref="A4:B12">'Salary Variables'!$B$16:$C$24</f>
        <v>AM (%)</v>
      </c>
      <c r="B4" s="25">
        <v>0.08</v>
      </c>
      <c r="D4" s="2" t="s">
        <v>277</v>
      </c>
      <c r="E4" s="29">
        <f>'Pensions P2'!B4*12</f>
        <v>33122.223878851415</v>
      </c>
      <c r="F4" s="29">
        <f>'Pensions P2'!C4*12</f>
        <v>33387.201669882226</v>
      </c>
      <c r="G4" s="29">
        <f>'Pensions P2'!D4*12</f>
        <v>33654.299283241278</v>
      </c>
      <c r="H4" s="29">
        <f>'Pensions P2'!E4*12</f>
        <v>35274.695618477366</v>
      </c>
      <c r="I4" s="29">
        <f>'Pensions P2'!F4*12</f>
        <v>35556.893183425185</v>
      </c>
      <c r="J4" s="29">
        <f>'Pensions P2'!G4*12</f>
        <v>35841.348328892593</v>
      </c>
      <c r="K4" s="29">
        <f>'Pensions P2'!H4*12</f>
        <v>36128.079115523731</v>
      </c>
      <c r="L4" s="29">
        <f>'Pensions P2'!I4*12</f>
        <v>37867.58367347678</v>
      </c>
      <c r="M4" s="29">
        <f>'Pensions P2'!J4*12</f>
        <v>38170.524342864592</v>
      </c>
      <c r="N4" s="29">
        <f>'Pensions P2'!K4*12</f>
        <v>38475.888537607512</v>
      </c>
      <c r="O4" s="29">
        <f>'Pensions P2'!L4*12</f>
        <v>38783.695645908374</v>
      </c>
      <c r="P4" s="29">
        <f>'Pensions P2'!M4*12</f>
        <v>40651.063549266757</v>
      </c>
      <c r="Q4" s="29">
        <f>'Pensions P2'!N4*12</f>
        <v>40976.272057660884</v>
      </c>
      <c r="R4" s="29">
        <f>'Pensions P2'!O4*12</f>
        <v>41304.082234122172</v>
      </c>
      <c r="S4" s="29">
        <f>'Pensions P2'!P4*12</f>
        <v>43292.802394930572</v>
      </c>
      <c r="T4" s="29">
        <f>'Pensions P2'!Q4*12</f>
        <v>43639.144814090017</v>
      </c>
      <c r="U4" s="29">
        <f>'Pensions P2'!R4*12</f>
        <v>43988.257972602732</v>
      </c>
      <c r="V4" s="29">
        <f>'Pensions P2'!S4*12</f>
        <v>46011.717839342462</v>
      </c>
      <c r="W4" s="29">
        <f>'Pensions P2'!T4*12</f>
        <v>46379.811582057206</v>
      </c>
      <c r="X4" s="29">
        <f>'Pensions P2'!U4*12</f>
        <v>46750.850074713664</v>
      </c>
      <c r="Y4" s="29">
        <f>'Pensions P2'!V4*12</f>
        <v>47124.85687531138</v>
      </c>
      <c r="Z4" s="29">
        <f>'Pensions P2'!W4*12</f>
        <v>49292.600291575705</v>
      </c>
      <c r="AA4" s="29">
        <f>'Pensions P2'!X4*12</f>
        <v>49686.941093908303</v>
      </c>
      <c r="AB4" s="29">
        <f>'Pensions P2'!Y4*12</f>
        <v>50084.436622659581</v>
      </c>
      <c r="AC4" s="29">
        <f>'Pensions P2'!Z4*12</f>
        <v>50485.112115640863</v>
      </c>
      <c r="AD4" s="29">
        <f>'Pensions P2'!AA4*12</f>
        <v>52807.427272960325</v>
      </c>
      <c r="AE4" s="29">
        <f>'Pensions P2'!AB4*12</f>
        <v>53229.88669114402</v>
      </c>
      <c r="AF4" s="29">
        <f>'Pensions P2'!AC4*12</f>
        <v>53655.725784673166</v>
      </c>
      <c r="AG4" s="29">
        <f>'Pensions P2'!AD4*12</f>
        <v>56123.889170768132</v>
      </c>
      <c r="AH4" s="29">
        <f>'Pensions P2'!AE4*12</f>
        <v>56572.880284134284</v>
      </c>
      <c r="AI4" s="29">
        <f>'Pensions P2'!AF4*12</f>
        <v>57025.463326407364</v>
      </c>
      <c r="AJ4" s="29">
        <f>'Pensions P2'!AG4*12</f>
        <v>57481.667033018617</v>
      </c>
      <c r="AK4" s="29">
        <f>'Pensions P2'!AH4*12</f>
        <v>57941.520369282778</v>
      </c>
      <c r="AL4" s="29">
        <f>'Pensions P2'!AI4*12</f>
        <v>60606.830306269781</v>
      </c>
      <c r="AM4" s="29">
        <f>'Pensions P2'!AJ4*12</f>
        <v>61091.684948719943</v>
      </c>
      <c r="AN4" s="29">
        <f>'Pensions P2'!AK4*12</f>
        <v>61580.418428309698</v>
      </c>
      <c r="AO4" s="29">
        <f>'Pensions P2'!AL4*12</f>
        <v>62073.061775736176</v>
      </c>
      <c r="AP4" s="29">
        <f>'Pensions P2'!AM4*12</f>
        <v>64928.422617420045</v>
      </c>
      <c r="AQ4" s="29">
        <f>'Pensions P2'!AN4*12</f>
        <v>65447.849998359408</v>
      </c>
      <c r="AR4" s="29">
        <f>'Pensions P2'!AO4*12</f>
        <v>65971.432798346272</v>
      </c>
      <c r="AS4" s="29">
        <f>'Pensions P2'!AP4*12</f>
        <v>66499.204260733051</v>
      </c>
      <c r="AT4" s="29">
        <f>'Pensions P2'!AQ4*12</f>
        <v>67031.197894818906</v>
      </c>
      <c r="AU4" s="29">
        <f>'Pensions P2'!AR4*12</f>
        <v>67567.447477977461</v>
      </c>
      <c r="AV4" s="29">
        <f>'Pensions P2'!AS4*12</f>
        <v>68107.987057801278</v>
      </c>
      <c r="AW4" s="29">
        <f>'Pensions P2'!AT4*12</f>
        <v>68652.850954263704</v>
      </c>
      <c r="AX4" s="29">
        <f>'Pensions P2'!AU4*12</f>
        <v>69202.073761897802</v>
      </c>
      <c r="AY4" s="29">
        <f>'Pensions P2'!AV4*12</f>
        <v>69755.690351992991</v>
      </c>
      <c r="AZ4" s="29">
        <f>'Pensions P2'!AW4*12</f>
        <v>70313.735874808932</v>
      </c>
      <c r="BA4" s="29">
        <f>'Pensions P2'!AX4*12</f>
        <v>70876.245761807411</v>
      </c>
      <c r="BB4" s="29">
        <f>'Pensions P2'!AY4*12</f>
        <v>71443.255727901866</v>
      </c>
      <c r="BI4" s="2">
        <v>40229.078114369651</v>
      </c>
    </row>
    <row r="5" spans="1:61" x14ac:dyDescent="0.2">
      <c r="A5" s="2" t="str">
        <v>Personal Allowance</v>
      </c>
      <c r="B5" s="28">
        <v>51600</v>
      </c>
      <c r="D5" s="2" t="s">
        <v>187</v>
      </c>
      <c r="E5" s="29">
        <f t="shared" ref="E5:AW5" si="2">E3-E4</f>
        <v>629322.25369817682</v>
      </c>
      <c r="F5" s="29">
        <f t="shared" si="2"/>
        <v>634356.83172776224</v>
      </c>
      <c r="G5" s="29">
        <f t="shared" si="2"/>
        <v>639431.68638158427</v>
      </c>
      <c r="H5" s="29">
        <f t="shared" si="2"/>
        <v>670219.21675106988</v>
      </c>
      <c r="I5" s="29">
        <f t="shared" si="2"/>
        <v>675580.97048507852</v>
      </c>
      <c r="J5" s="29">
        <f t="shared" si="2"/>
        <v>680985.61824895919</v>
      </c>
      <c r="K5" s="29">
        <f t="shared" si="2"/>
        <v>686433.50319495087</v>
      </c>
      <c r="L5" s="29">
        <f t="shared" si="2"/>
        <v>719484.08979605872</v>
      </c>
      <c r="M5" s="29">
        <f t="shared" si="2"/>
        <v>725239.96251442714</v>
      </c>
      <c r="N5" s="29">
        <f t="shared" si="2"/>
        <v>731041.88221454271</v>
      </c>
      <c r="O5" s="29">
        <f t="shared" si="2"/>
        <v>736890.21727225906</v>
      </c>
      <c r="P5" s="29">
        <f t="shared" si="2"/>
        <v>772370.20743606833</v>
      </c>
      <c r="Q5" s="29">
        <f t="shared" si="2"/>
        <v>778549.16909555683</v>
      </c>
      <c r="R5" s="29">
        <f t="shared" si="2"/>
        <v>784777.56244832126</v>
      </c>
      <c r="S5" s="29">
        <f t="shared" si="2"/>
        <v>822563.24550368066</v>
      </c>
      <c r="T5" s="29">
        <f t="shared" si="2"/>
        <v>829143.75146771024</v>
      </c>
      <c r="U5" s="29">
        <f t="shared" si="2"/>
        <v>835776.90147945192</v>
      </c>
      <c r="V5" s="29">
        <f t="shared" si="2"/>
        <v>874222.63894750678</v>
      </c>
      <c r="W5" s="29">
        <f t="shared" si="2"/>
        <v>881216.42005908687</v>
      </c>
      <c r="X5" s="29">
        <f t="shared" si="2"/>
        <v>888266.15141955961</v>
      </c>
      <c r="Y5" s="29">
        <f t="shared" si="2"/>
        <v>895372.28063091612</v>
      </c>
      <c r="Z5" s="29">
        <f t="shared" si="2"/>
        <v>936559.40553993837</v>
      </c>
      <c r="AA5" s="29">
        <f t="shared" si="2"/>
        <v>944051.8807842579</v>
      </c>
      <c r="AB5" s="29">
        <f t="shared" si="2"/>
        <v>951604.29583053198</v>
      </c>
      <c r="AC5" s="29">
        <f t="shared" si="2"/>
        <v>959217.13019717624</v>
      </c>
      <c r="AD5" s="29">
        <f t="shared" si="2"/>
        <v>1003341.1181862464</v>
      </c>
      <c r="AE5" s="29">
        <f t="shared" si="2"/>
        <v>1011367.8471317363</v>
      </c>
      <c r="AF5" s="29">
        <f t="shared" si="2"/>
        <v>1019458.7899087903</v>
      </c>
      <c r="AG5" s="29">
        <f t="shared" si="2"/>
        <v>1066353.8942445945</v>
      </c>
      <c r="AH5" s="29">
        <f t="shared" si="2"/>
        <v>1074884.7253985514</v>
      </c>
      <c r="AI5" s="29">
        <f t="shared" si="2"/>
        <v>1083483.8032017399</v>
      </c>
      <c r="AJ5" s="29">
        <f t="shared" si="2"/>
        <v>1092151.673627354</v>
      </c>
      <c r="AK5" s="29">
        <f t="shared" si="2"/>
        <v>1100888.8870163728</v>
      </c>
      <c r="AL5" s="29">
        <f t="shared" si="2"/>
        <v>1151529.7758191261</v>
      </c>
      <c r="AM5" s="29">
        <f t="shared" si="2"/>
        <v>1160742.0140256789</v>
      </c>
      <c r="AN5" s="29">
        <f t="shared" si="2"/>
        <v>1170027.9501378844</v>
      </c>
      <c r="AO5" s="29">
        <f t="shared" si="2"/>
        <v>1179388.1737389872</v>
      </c>
      <c r="AP5" s="29">
        <f t="shared" si="2"/>
        <v>1233640.0297309808</v>
      </c>
      <c r="AQ5" s="29">
        <f t="shared" si="2"/>
        <v>1243509.1499688288</v>
      </c>
      <c r="AR5" s="29">
        <f t="shared" si="2"/>
        <v>1253457.2231685792</v>
      </c>
      <c r="AS5" s="29">
        <f t="shared" si="2"/>
        <v>1263484.880953928</v>
      </c>
      <c r="AT5" s="29">
        <f t="shared" si="2"/>
        <v>1273592.7600015593</v>
      </c>
      <c r="AU5" s="29">
        <f t="shared" si="2"/>
        <v>1283781.5020815718</v>
      </c>
      <c r="AV5" s="29">
        <f t="shared" si="2"/>
        <v>1294051.7540982242</v>
      </c>
      <c r="AW5" s="29">
        <f t="shared" si="2"/>
        <v>1304404.1681310101</v>
      </c>
      <c r="AX5" s="29">
        <f t="shared" ref="AX5:BB5" si="3">AX3-AX4</f>
        <v>1314839.4014760582</v>
      </c>
      <c r="AY5" s="29">
        <f t="shared" si="3"/>
        <v>1325358.1166878666</v>
      </c>
      <c r="AZ5" s="29">
        <f t="shared" si="3"/>
        <v>1335960.9816213697</v>
      </c>
      <c r="BA5" s="29">
        <f t="shared" si="3"/>
        <v>1346648.6694743407</v>
      </c>
      <c r="BB5" s="29">
        <f t="shared" si="3"/>
        <v>1357421.8588301353</v>
      </c>
      <c r="BI5" s="2">
        <v>40486.395640287279</v>
      </c>
    </row>
    <row r="6" spans="1:61" x14ac:dyDescent="0.2">
      <c r="A6" s="2" t="str">
        <v>Bottom-Bracket State Tax rate (%)</v>
      </c>
      <c r="B6" s="25">
        <v>0.1201</v>
      </c>
      <c r="D6" s="2" t="s">
        <v>256</v>
      </c>
      <c r="E6" s="28">
        <f>E5-$B$14</f>
        <v>628134.25369817682</v>
      </c>
      <c r="F6" s="28">
        <f t="shared" ref="F6:AW6" si="4">F5-$B$14</f>
        <v>633168.83172776224</v>
      </c>
      <c r="G6" s="28">
        <f t="shared" si="4"/>
        <v>638243.68638158427</v>
      </c>
      <c r="H6" s="28">
        <f t="shared" si="4"/>
        <v>669031.21675106988</v>
      </c>
      <c r="I6" s="28">
        <f t="shared" si="4"/>
        <v>674392.97048507852</v>
      </c>
      <c r="J6" s="28">
        <f t="shared" si="4"/>
        <v>679797.61824895919</v>
      </c>
      <c r="K6" s="28">
        <f t="shared" si="4"/>
        <v>685245.50319495087</v>
      </c>
      <c r="L6" s="28">
        <f t="shared" si="4"/>
        <v>718296.08979605872</v>
      </c>
      <c r="M6" s="28">
        <f t="shared" si="4"/>
        <v>724051.96251442714</v>
      </c>
      <c r="N6" s="28">
        <f t="shared" si="4"/>
        <v>729853.88221454271</v>
      </c>
      <c r="O6" s="28">
        <f t="shared" si="4"/>
        <v>735702.21727225906</v>
      </c>
      <c r="P6" s="28">
        <f t="shared" si="4"/>
        <v>771182.20743606833</v>
      </c>
      <c r="Q6" s="28">
        <f t="shared" si="4"/>
        <v>777361.16909555683</v>
      </c>
      <c r="R6" s="28">
        <f t="shared" si="4"/>
        <v>783589.56244832126</v>
      </c>
      <c r="S6" s="28">
        <f t="shared" si="4"/>
        <v>821375.24550368066</v>
      </c>
      <c r="T6" s="28">
        <f t="shared" si="4"/>
        <v>827955.75146771024</v>
      </c>
      <c r="U6" s="28">
        <f t="shared" si="4"/>
        <v>834588.90147945192</v>
      </c>
      <c r="V6" s="28">
        <f t="shared" si="4"/>
        <v>873034.63894750678</v>
      </c>
      <c r="W6" s="28">
        <f t="shared" si="4"/>
        <v>880028.42005908687</v>
      </c>
      <c r="X6" s="28">
        <f t="shared" si="4"/>
        <v>887078.15141955961</v>
      </c>
      <c r="Y6" s="28">
        <f t="shared" si="4"/>
        <v>894184.28063091612</v>
      </c>
      <c r="Z6" s="28">
        <f t="shared" si="4"/>
        <v>935371.40553993837</v>
      </c>
      <c r="AA6" s="28">
        <f t="shared" si="4"/>
        <v>942863.8807842579</v>
      </c>
      <c r="AB6" s="28">
        <f t="shared" si="4"/>
        <v>950416.29583053198</v>
      </c>
      <c r="AC6" s="28">
        <f t="shared" si="4"/>
        <v>958029.13019717624</v>
      </c>
      <c r="AD6" s="28">
        <f t="shared" si="4"/>
        <v>1002153.1181862464</v>
      </c>
      <c r="AE6" s="28">
        <f t="shared" si="4"/>
        <v>1010179.8471317363</v>
      </c>
      <c r="AF6" s="28">
        <f t="shared" si="4"/>
        <v>1018270.7899087903</v>
      </c>
      <c r="AG6" s="28">
        <f t="shared" si="4"/>
        <v>1065165.8942445945</v>
      </c>
      <c r="AH6" s="28">
        <f t="shared" si="4"/>
        <v>1073696.7253985514</v>
      </c>
      <c r="AI6" s="28">
        <f t="shared" si="4"/>
        <v>1082295.8032017399</v>
      </c>
      <c r="AJ6" s="28">
        <f t="shared" si="4"/>
        <v>1090963.673627354</v>
      </c>
      <c r="AK6" s="28">
        <f t="shared" si="4"/>
        <v>1099700.8870163728</v>
      </c>
      <c r="AL6" s="28">
        <f t="shared" si="4"/>
        <v>1150341.7758191261</v>
      </c>
      <c r="AM6" s="28">
        <f t="shared" si="4"/>
        <v>1159554.0140256789</v>
      </c>
      <c r="AN6" s="28">
        <f t="shared" si="4"/>
        <v>1168839.9501378844</v>
      </c>
      <c r="AO6" s="28">
        <f t="shared" si="4"/>
        <v>1178200.1737389872</v>
      </c>
      <c r="AP6" s="28">
        <f t="shared" si="4"/>
        <v>1232452.0297309808</v>
      </c>
      <c r="AQ6" s="28">
        <f t="shared" si="4"/>
        <v>1242321.1499688288</v>
      </c>
      <c r="AR6" s="28">
        <f t="shared" si="4"/>
        <v>1252269.2231685792</v>
      </c>
      <c r="AS6" s="28">
        <f t="shared" si="4"/>
        <v>1262296.880953928</v>
      </c>
      <c r="AT6" s="28">
        <f t="shared" si="4"/>
        <v>1272404.7600015593</v>
      </c>
      <c r="AU6" s="28">
        <f t="shared" si="4"/>
        <v>1282593.5020815718</v>
      </c>
      <c r="AV6" s="28">
        <f t="shared" si="4"/>
        <v>1292863.7540982242</v>
      </c>
      <c r="AW6" s="28">
        <f t="shared" si="4"/>
        <v>1303216.1681310101</v>
      </c>
      <c r="AX6" s="28">
        <f t="shared" ref="AX6:BB6" si="5">AX5-$B$14</f>
        <v>1313651.4014760582</v>
      </c>
      <c r="AY6" s="28">
        <f t="shared" si="5"/>
        <v>1324170.1166878666</v>
      </c>
      <c r="AZ6" s="28">
        <f t="shared" si="5"/>
        <v>1334772.9816213697</v>
      </c>
      <c r="BA6" s="28">
        <f t="shared" si="5"/>
        <v>1345460.6694743407</v>
      </c>
      <c r="BB6" s="28">
        <f t="shared" si="5"/>
        <v>1356233.8588301353</v>
      </c>
      <c r="BI6" s="2">
        <v>40745.771706412248</v>
      </c>
    </row>
    <row r="7" spans="1:61" x14ac:dyDescent="0.2">
      <c r="A7" s="2" t="str">
        <v>Top-bracket State Tax rate (%)</v>
      </c>
      <c r="B7" s="25">
        <v>0.15</v>
      </c>
      <c r="D7" s="2" t="s">
        <v>234</v>
      </c>
      <c r="E7" s="28">
        <f>E6*(1-$B$4)</f>
        <v>577883.51340232266</v>
      </c>
      <c r="F7" s="28">
        <f t="shared" ref="F7:AW7" si="6">F6*(1-$B$4)</f>
        <v>582515.32518954133</v>
      </c>
      <c r="G7" s="28">
        <f t="shared" si="6"/>
        <v>587184.19147105759</v>
      </c>
      <c r="H7" s="28">
        <f t="shared" si="6"/>
        <v>615508.71941098431</v>
      </c>
      <c r="I7" s="28">
        <f t="shared" si="6"/>
        <v>620441.53284627222</v>
      </c>
      <c r="J7" s="28">
        <f t="shared" si="6"/>
        <v>625413.80878904252</v>
      </c>
      <c r="K7" s="28">
        <f t="shared" si="6"/>
        <v>630425.86293935485</v>
      </c>
      <c r="L7" s="28">
        <f t="shared" si="6"/>
        <v>660832.40261237405</v>
      </c>
      <c r="M7" s="28">
        <f t="shared" si="6"/>
        <v>666127.80551327299</v>
      </c>
      <c r="N7" s="28">
        <f t="shared" si="6"/>
        <v>671465.57163737935</v>
      </c>
      <c r="O7" s="28">
        <f t="shared" si="6"/>
        <v>676846.03989047837</v>
      </c>
      <c r="P7" s="28">
        <f t="shared" si="6"/>
        <v>709487.63084118289</v>
      </c>
      <c r="Q7" s="28">
        <f t="shared" si="6"/>
        <v>715172.27556791226</v>
      </c>
      <c r="R7" s="28">
        <f t="shared" si="6"/>
        <v>720902.3974524556</v>
      </c>
      <c r="S7" s="28">
        <f t="shared" si="6"/>
        <v>755665.22586338629</v>
      </c>
      <c r="T7" s="28">
        <f t="shared" si="6"/>
        <v>761719.29135029344</v>
      </c>
      <c r="U7" s="28">
        <f t="shared" si="6"/>
        <v>767821.78936109575</v>
      </c>
      <c r="V7" s="28">
        <f t="shared" si="6"/>
        <v>803191.8678317063</v>
      </c>
      <c r="W7" s="28">
        <f t="shared" si="6"/>
        <v>809626.14645435999</v>
      </c>
      <c r="X7" s="28">
        <f t="shared" si="6"/>
        <v>816111.89930599486</v>
      </c>
      <c r="Y7" s="28">
        <f t="shared" si="6"/>
        <v>822649.53818044288</v>
      </c>
      <c r="Z7" s="28">
        <f t="shared" si="6"/>
        <v>860541.69309674331</v>
      </c>
      <c r="AA7" s="28">
        <f t="shared" si="6"/>
        <v>867434.77032151725</v>
      </c>
      <c r="AB7" s="28">
        <f t="shared" si="6"/>
        <v>874382.99216408946</v>
      </c>
      <c r="AC7" s="28">
        <f t="shared" si="6"/>
        <v>881386.79978140222</v>
      </c>
      <c r="AD7" s="28">
        <f t="shared" si="6"/>
        <v>921980.86873134668</v>
      </c>
      <c r="AE7" s="28">
        <f t="shared" si="6"/>
        <v>929365.45936119743</v>
      </c>
      <c r="AF7" s="28">
        <f t="shared" si="6"/>
        <v>936809.12671608711</v>
      </c>
      <c r="AG7" s="28">
        <f t="shared" si="6"/>
        <v>979952.622705027</v>
      </c>
      <c r="AH7" s="28">
        <f t="shared" si="6"/>
        <v>987800.98736666737</v>
      </c>
      <c r="AI7" s="28">
        <f t="shared" si="6"/>
        <v>995712.13894560072</v>
      </c>
      <c r="AJ7" s="28">
        <f t="shared" si="6"/>
        <v>1003686.5797371657</v>
      </c>
      <c r="AK7" s="28">
        <f t="shared" si="6"/>
        <v>1011724.8160550629</v>
      </c>
      <c r="AL7" s="28">
        <f t="shared" si="6"/>
        <v>1058314.4337535959</v>
      </c>
      <c r="AM7" s="28">
        <f t="shared" si="6"/>
        <v>1066789.6929036246</v>
      </c>
      <c r="AN7" s="28">
        <f t="shared" si="6"/>
        <v>1075332.7541268535</v>
      </c>
      <c r="AO7" s="28">
        <f t="shared" si="6"/>
        <v>1083944.1598398683</v>
      </c>
      <c r="AP7" s="28">
        <f t="shared" si="6"/>
        <v>1133855.8673525024</v>
      </c>
      <c r="AQ7" s="28">
        <f t="shared" si="6"/>
        <v>1142935.4579713226</v>
      </c>
      <c r="AR7" s="28">
        <f t="shared" si="6"/>
        <v>1152087.6853150928</v>
      </c>
      <c r="AS7" s="28">
        <f t="shared" si="6"/>
        <v>1161313.1304776138</v>
      </c>
      <c r="AT7" s="28">
        <f t="shared" si="6"/>
        <v>1170612.3792014346</v>
      </c>
      <c r="AU7" s="28">
        <f t="shared" si="6"/>
        <v>1179986.0219150463</v>
      </c>
      <c r="AV7" s="28">
        <f t="shared" si="6"/>
        <v>1189434.6537703665</v>
      </c>
      <c r="AW7" s="28">
        <f t="shared" si="6"/>
        <v>1198958.8746805293</v>
      </c>
      <c r="AX7" s="28">
        <f t="shared" ref="AX7:BB7" si="7">AX6*(1-$B$4)</f>
        <v>1208559.2893579735</v>
      </c>
      <c r="AY7" s="28">
        <f t="shared" si="7"/>
        <v>1218236.5073528374</v>
      </c>
      <c r="AZ7" s="28">
        <f t="shared" si="7"/>
        <v>1227991.1430916602</v>
      </c>
      <c r="BA7" s="28">
        <f t="shared" si="7"/>
        <v>1237823.8159163937</v>
      </c>
      <c r="BB7" s="28">
        <f t="shared" si="7"/>
        <v>1247735.1501237245</v>
      </c>
      <c r="BI7" s="2">
        <v>41007.222781066208</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42522.593209760591</v>
      </c>
    </row>
    <row r="9" spans="1:61" x14ac:dyDescent="0.2">
      <c r="A9" s="2" t="str">
        <v>Municipal Tax (%)</v>
      </c>
      <c r="B9" s="25">
        <v>0.25</v>
      </c>
      <c r="D9" s="2" t="s">
        <v>235</v>
      </c>
      <c r="E9" s="28">
        <f t="shared" ref="E9:AW9" si="9">E7-E8</f>
        <v>526283.51340232266</v>
      </c>
      <c r="F9" s="28">
        <f t="shared" si="9"/>
        <v>530915.32518954133</v>
      </c>
      <c r="G9" s="28">
        <f t="shared" si="9"/>
        <v>535584.19147105759</v>
      </c>
      <c r="H9" s="28">
        <f t="shared" si="9"/>
        <v>563908.71941098431</v>
      </c>
      <c r="I9" s="28">
        <f t="shared" si="9"/>
        <v>568841.53284627222</v>
      </c>
      <c r="J9" s="28">
        <f t="shared" si="9"/>
        <v>573813.80878904252</v>
      </c>
      <c r="K9" s="28">
        <f t="shared" si="9"/>
        <v>578825.86293935485</v>
      </c>
      <c r="L9" s="28">
        <f t="shared" si="9"/>
        <v>609232.40261237405</v>
      </c>
      <c r="M9" s="28">
        <f t="shared" si="9"/>
        <v>614527.80551327299</v>
      </c>
      <c r="N9" s="28">
        <f t="shared" si="9"/>
        <v>619865.57163737935</v>
      </c>
      <c r="O9" s="28">
        <f t="shared" si="9"/>
        <v>625246.03989047837</v>
      </c>
      <c r="P9" s="28">
        <f t="shared" si="9"/>
        <v>657887.63084118289</v>
      </c>
      <c r="Q9" s="28">
        <f t="shared" si="9"/>
        <v>663572.27556791226</v>
      </c>
      <c r="R9" s="28">
        <f t="shared" si="9"/>
        <v>669302.3974524556</v>
      </c>
      <c r="S9" s="28">
        <f t="shared" si="9"/>
        <v>704065.22586338629</v>
      </c>
      <c r="T9" s="28">
        <f t="shared" si="9"/>
        <v>710119.29135029344</v>
      </c>
      <c r="U9" s="28">
        <f t="shared" si="9"/>
        <v>716221.78936109575</v>
      </c>
      <c r="V9" s="28">
        <f t="shared" si="9"/>
        <v>751591.8678317063</v>
      </c>
      <c r="W9" s="28">
        <f t="shared" si="9"/>
        <v>758026.14645435999</v>
      </c>
      <c r="X9" s="28">
        <f t="shared" si="9"/>
        <v>764511.89930599486</v>
      </c>
      <c r="Y9" s="28">
        <f t="shared" si="9"/>
        <v>771049.53818044288</v>
      </c>
      <c r="Z9" s="28">
        <f t="shared" si="9"/>
        <v>808941.69309674331</v>
      </c>
      <c r="AA9" s="28">
        <f t="shared" si="9"/>
        <v>815834.77032151725</v>
      </c>
      <c r="AB9" s="28">
        <f t="shared" si="9"/>
        <v>822782.99216408946</v>
      </c>
      <c r="AC9" s="28">
        <f t="shared" si="9"/>
        <v>829786.79978140222</v>
      </c>
      <c r="AD9" s="28">
        <f t="shared" si="9"/>
        <v>870380.86873134668</v>
      </c>
      <c r="AE9" s="28">
        <f t="shared" si="9"/>
        <v>877765.45936119743</v>
      </c>
      <c r="AF9" s="28">
        <f t="shared" si="9"/>
        <v>885209.12671608711</v>
      </c>
      <c r="AG9" s="28">
        <f t="shared" si="9"/>
        <v>928352.622705027</v>
      </c>
      <c r="AH9" s="28">
        <f t="shared" si="9"/>
        <v>936200.98736666737</v>
      </c>
      <c r="AI9" s="28">
        <f t="shared" si="9"/>
        <v>944112.13894560072</v>
      </c>
      <c r="AJ9" s="28">
        <f t="shared" si="9"/>
        <v>952086.57973716571</v>
      </c>
      <c r="AK9" s="28">
        <f t="shared" si="9"/>
        <v>960124.81605506293</v>
      </c>
      <c r="AL9" s="28">
        <f t="shared" si="9"/>
        <v>1006714.4337535959</v>
      </c>
      <c r="AM9" s="28">
        <f t="shared" si="9"/>
        <v>1015189.6929036246</v>
      </c>
      <c r="AN9" s="28">
        <f t="shared" si="9"/>
        <v>1023732.7541268535</v>
      </c>
      <c r="AO9" s="28">
        <f t="shared" si="9"/>
        <v>1032344.1598398683</v>
      </c>
      <c r="AP9" s="28">
        <f t="shared" si="9"/>
        <v>1082255.8673525024</v>
      </c>
      <c r="AQ9" s="28">
        <f t="shared" si="9"/>
        <v>1091335.4579713226</v>
      </c>
      <c r="AR9" s="28">
        <f t="shared" si="9"/>
        <v>1100487.6853150928</v>
      </c>
      <c r="AS9" s="28">
        <f t="shared" si="9"/>
        <v>1109713.1304776138</v>
      </c>
      <c r="AT9" s="28">
        <f t="shared" si="9"/>
        <v>1119012.3792014346</v>
      </c>
      <c r="AU9" s="28">
        <f t="shared" si="9"/>
        <v>1128386.0219150463</v>
      </c>
      <c r="AV9" s="28">
        <f t="shared" si="9"/>
        <v>1137834.6537703665</v>
      </c>
      <c r="AW9" s="28">
        <f t="shared" si="9"/>
        <v>1147358.8746805293</v>
      </c>
      <c r="AX9" s="28">
        <f t="shared" ref="AX9:BB9" si="10">AX7-AX8</f>
        <v>1156959.2893579735</v>
      </c>
      <c r="AY9" s="28">
        <f t="shared" si="10"/>
        <v>1166636.5073528374</v>
      </c>
      <c r="AZ9" s="28">
        <f t="shared" si="10"/>
        <v>1176391.1430916602</v>
      </c>
      <c r="BA9" s="28">
        <f t="shared" si="10"/>
        <v>1186223.8159163937</v>
      </c>
      <c r="BB9" s="28">
        <f t="shared" si="10"/>
        <v>1196135.1501237245</v>
      </c>
      <c r="BI9" s="2">
        <v>42798.258856441338</v>
      </c>
    </row>
    <row r="10" spans="1:61" x14ac:dyDescent="0.2">
      <c r="A10" s="2" t="str">
        <v>Capital Gains &lt; 67,500DKK</v>
      </c>
      <c r="B10" s="28">
        <v>0.27</v>
      </c>
      <c r="D10" s="2" t="s">
        <v>189</v>
      </c>
      <c r="E10" s="28">
        <f t="shared" ref="E10:AW10" si="11">E7*$B$9</f>
        <v>144470.87835058066</v>
      </c>
      <c r="F10" s="28">
        <f t="shared" si="11"/>
        <v>145628.83129738533</v>
      </c>
      <c r="G10" s="28">
        <f t="shared" si="11"/>
        <v>146796.0478677644</v>
      </c>
      <c r="H10" s="28">
        <f t="shared" si="11"/>
        <v>153877.17985274608</v>
      </c>
      <c r="I10" s="28">
        <f t="shared" si="11"/>
        <v>155110.38321156806</v>
      </c>
      <c r="J10" s="28">
        <f t="shared" si="11"/>
        <v>156353.45219726063</v>
      </c>
      <c r="K10" s="28">
        <f t="shared" si="11"/>
        <v>157606.46573483871</v>
      </c>
      <c r="L10" s="28">
        <f t="shared" si="11"/>
        <v>165208.10065309351</v>
      </c>
      <c r="M10" s="28">
        <f t="shared" si="11"/>
        <v>166531.95137831825</v>
      </c>
      <c r="N10" s="28">
        <f t="shared" si="11"/>
        <v>167866.39290934484</v>
      </c>
      <c r="O10" s="28">
        <f t="shared" si="11"/>
        <v>169211.50997261959</v>
      </c>
      <c r="P10" s="28">
        <f t="shared" si="11"/>
        <v>177371.90771029572</v>
      </c>
      <c r="Q10" s="28">
        <f t="shared" si="11"/>
        <v>178793.06889197807</v>
      </c>
      <c r="R10" s="28">
        <f t="shared" si="11"/>
        <v>180225.5993631139</v>
      </c>
      <c r="S10" s="28">
        <f t="shared" si="11"/>
        <v>188916.30646584657</v>
      </c>
      <c r="T10" s="28">
        <f t="shared" si="11"/>
        <v>190429.82283757336</v>
      </c>
      <c r="U10" s="28">
        <f t="shared" si="11"/>
        <v>191955.44734027394</v>
      </c>
      <c r="V10" s="28">
        <f t="shared" si="11"/>
        <v>200797.96695792658</v>
      </c>
      <c r="W10" s="28">
        <f t="shared" si="11"/>
        <v>202406.53661359</v>
      </c>
      <c r="X10" s="28">
        <f t="shared" si="11"/>
        <v>204027.97482649871</v>
      </c>
      <c r="Y10" s="28">
        <f t="shared" si="11"/>
        <v>205662.38454511072</v>
      </c>
      <c r="Z10" s="28">
        <f t="shared" si="11"/>
        <v>215135.42327418583</v>
      </c>
      <c r="AA10" s="28">
        <f t="shared" si="11"/>
        <v>216858.69258037931</v>
      </c>
      <c r="AB10" s="28">
        <f t="shared" si="11"/>
        <v>218595.74804102237</v>
      </c>
      <c r="AC10" s="28">
        <f t="shared" si="11"/>
        <v>220346.69994535056</v>
      </c>
      <c r="AD10" s="28">
        <f t="shared" si="11"/>
        <v>230495.21718283667</v>
      </c>
      <c r="AE10" s="28">
        <f t="shared" si="11"/>
        <v>232341.36484029936</v>
      </c>
      <c r="AF10" s="28">
        <f t="shared" si="11"/>
        <v>234202.28167902178</v>
      </c>
      <c r="AG10" s="28">
        <f t="shared" si="11"/>
        <v>244988.15567625675</v>
      </c>
      <c r="AH10" s="28">
        <f t="shared" si="11"/>
        <v>246950.24684166684</v>
      </c>
      <c r="AI10" s="28">
        <f t="shared" si="11"/>
        <v>248928.03473640018</v>
      </c>
      <c r="AJ10" s="28">
        <f t="shared" si="11"/>
        <v>250921.64493429143</v>
      </c>
      <c r="AK10" s="28">
        <f t="shared" si="11"/>
        <v>252931.20401376573</v>
      </c>
      <c r="AL10" s="28">
        <f t="shared" si="11"/>
        <v>264578.60843839898</v>
      </c>
      <c r="AM10" s="28">
        <f t="shared" si="11"/>
        <v>266697.42322590615</v>
      </c>
      <c r="AN10" s="28">
        <f t="shared" si="11"/>
        <v>268833.18853171339</v>
      </c>
      <c r="AO10" s="28">
        <f t="shared" si="11"/>
        <v>270986.03995996708</v>
      </c>
      <c r="AP10" s="28">
        <f t="shared" si="11"/>
        <v>283463.96683812561</v>
      </c>
      <c r="AQ10" s="28">
        <f t="shared" si="11"/>
        <v>285733.86449283065</v>
      </c>
      <c r="AR10" s="28">
        <f t="shared" si="11"/>
        <v>288021.9213287732</v>
      </c>
      <c r="AS10" s="28">
        <f t="shared" si="11"/>
        <v>290328.28261940344</v>
      </c>
      <c r="AT10" s="28">
        <f t="shared" si="11"/>
        <v>292653.09480035864</v>
      </c>
      <c r="AU10" s="28">
        <f t="shared" si="11"/>
        <v>294996.50547876157</v>
      </c>
      <c r="AV10" s="28">
        <f t="shared" si="11"/>
        <v>297358.66344259161</v>
      </c>
      <c r="AW10" s="28">
        <f t="shared" si="11"/>
        <v>299739.71867013234</v>
      </c>
      <c r="AX10" s="28">
        <f t="shared" ref="AX10:BB10" si="12">AX7*$B$9</f>
        <v>302139.82233949337</v>
      </c>
      <c r="AY10" s="28">
        <f t="shared" si="12"/>
        <v>304559.12683820934</v>
      </c>
      <c r="AZ10" s="28">
        <f t="shared" si="12"/>
        <v>306997.78577291506</v>
      </c>
      <c r="BA10" s="28">
        <f t="shared" si="12"/>
        <v>309455.95397909841</v>
      </c>
      <c r="BB10" s="28">
        <f t="shared" si="12"/>
        <v>311933.78753093112</v>
      </c>
      <c r="BI10" s="2">
        <v>43076.129828295547</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219.8357456069032</v>
      </c>
      <c r="O11" s="28">
        <f t="shared" si="13"/>
        <v>1026.9059835717546</v>
      </c>
      <c r="P11" s="28">
        <f t="shared" si="13"/>
        <v>5923.1446261774336</v>
      </c>
      <c r="Q11" s="28">
        <f t="shared" si="13"/>
        <v>6775.8413351868394</v>
      </c>
      <c r="R11" s="28">
        <f t="shared" si="13"/>
        <v>7635.3596178683392</v>
      </c>
      <c r="S11" s="28">
        <f t="shared" si="13"/>
        <v>12849.783879507944</v>
      </c>
      <c r="T11" s="28">
        <f t="shared" si="13"/>
        <v>13757.893702544015</v>
      </c>
      <c r="U11" s="28">
        <f t="shared" si="13"/>
        <v>14673.268404164362</v>
      </c>
      <c r="V11" s="28">
        <f t="shared" si="13"/>
        <v>19978.780174755946</v>
      </c>
      <c r="W11" s="28">
        <f t="shared" si="13"/>
        <v>20943.921968153998</v>
      </c>
      <c r="X11" s="28">
        <f t="shared" si="13"/>
        <v>21916.784895899229</v>
      </c>
      <c r="Y11" s="28">
        <f t="shared" si="13"/>
        <v>22897.430727066432</v>
      </c>
      <c r="Z11" s="28">
        <f t="shared" si="13"/>
        <v>28581.253964511496</v>
      </c>
      <c r="AA11" s="28">
        <f t="shared" si="13"/>
        <v>29615.215548227585</v>
      </c>
      <c r="AB11" s="28">
        <f t="shared" si="13"/>
        <v>30657.448824613417</v>
      </c>
      <c r="AC11" s="28">
        <f t="shared" si="13"/>
        <v>31708.019967210334</v>
      </c>
      <c r="AD11" s="28">
        <f t="shared" si="13"/>
        <v>37797.130309701999</v>
      </c>
      <c r="AE11" s="28">
        <f t="shared" si="13"/>
        <v>38904.818904179614</v>
      </c>
      <c r="AF11" s="28">
        <f t="shared" si="13"/>
        <v>40021.369007413065</v>
      </c>
      <c r="AG11" s="28">
        <f t="shared" si="13"/>
        <v>46492.893405754046</v>
      </c>
      <c r="AH11" s="28">
        <f t="shared" si="13"/>
        <v>47670.148105000102</v>
      </c>
      <c r="AI11" s="28">
        <f t="shared" si="13"/>
        <v>48856.820841840105</v>
      </c>
      <c r="AJ11" s="28">
        <f t="shared" si="13"/>
        <v>50052.986960574854</v>
      </c>
      <c r="AK11" s="28">
        <f t="shared" si="13"/>
        <v>51258.72240825944</v>
      </c>
      <c r="AL11" s="28">
        <f t="shared" si="13"/>
        <v>58247.165063039385</v>
      </c>
      <c r="AM11" s="28">
        <f t="shared" si="13"/>
        <v>59518.453935543686</v>
      </c>
      <c r="AN11" s="28">
        <f t="shared" si="13"/>
        <v>60799.913119028031</v>
      </c>
      <c r="AO11" s="28">
        <f t="shared" si="13"/>
        <v>62091.623975980241</v>
      </c>
      <c r="AP11" s="28">
        <f t="shared" si="13"/>
        <v>69578.380102875366</v>
      </c>
      <c r="AQ11" s="28">
        <f t="shared" si="13"/>
        <v>70940.318695698385</v>
      </c>
      <c r="AR11" s="28">
        <f t="shared" si="13"/>
        <v>72313.152797263916</v>
      </c>
      <c r="AS11" s="28">
        <f t="shared" si="13"/>
        <v>73696.969571642068</v>
      </c>
      <c r="AT11" s="28">
        <f t="shared" si="13"/>
        <v>75091.856880215186</v>
      </c>
      <c r="AU11" s="28">
        <f t="shared" si="13"/>
        <v>76497.903287256937</v>
      </c>
      <c r="AV11" s="28">
        <f t="shared" si="13"/>
        <v>77915.198065554971</v>
      </c>
      <c r="AW11" s="28">
        <f t="shared" si="13"/>
        <v>79343.831202079396</v>
      </c>
      <c r="AX11" s="28">
        <f t="shared" ref="AX11:BB11" si="14">MAX(AX9-$B$8,0)*$B$7</f>
        <v>80783.893403696027</v>
      </c>
      <c r="AY11" s="28">
        <f t="shared" si="14"/>
        <v>82235.476102925604</v>
      </c>
      <c r="AZ11" s="28">
        <f t="shared" si="14"/>
        <v>83698.671463749037</v>
      </c>
      <c r="BA11" s="28">
        <f t="shared" si="14"/>
        <v>85173.572387459048</v>
      </c>
      <c r="BB11" s="28">
        <f t="shared" si="14"/>
        <v>86660.272518558675</v>
      </c>
      <c r="BI11" s="2">
        <v>43356.223767924581</v>
      </c>
    </row>
    <row r="12" spans="1:61" x14ac:dyDescent="0.2">
      <c r="A12" s="2" t="str">
        <v>Capital Gains Threshold</v>
      </c>
      <c r="B12" s="53">
        <v>67500</v>
      </c>
      <c r="D12" s="2" t="s">
        <v>191</v>
      </c>
      <c r="E12" s="28">
        <f t="shared" ref="E12:AW12" si="15">E9*$B$6</f>
        <v>63206.649959618953</v>
      </c>
      <c r="F12" s="28">
        <f t="shared" si="15"/>
        <v>63762.930555263913</v>
      </c>
      <c r="G12" s="28">
        <f t="shared" si="15"/>
        <v>64323.661395674018</v>
      </c>
      <c r="H12" s="28">
        <f t="shared" si="15"/>
        <v>67725.437201259221</v>
      </c>
      <c r="I12" s="28">
        <f t="shared" si="15"/>
        <v>68317.868094837293</v>
      </c>
      <c r="J12" s="28">
        <f t="shared" si="15"/>
        <v>68915.038435564013</v>
      </c>
      <c r="K12" s="28">
        <f t="shared" si="15"/>
        <v>69516.986139016517</v>
      </c>
      <c r="L12" s="28">
        <f t="shared" si="15"/>
        <v>73168.811553746127</v>
      </c>
      <c r="M12" s="28">
        <f t="shared" si="15"/>
        <v>73804.789442144087</v>
      </c>
      <c r="N12" s="28">
        <f t="shared" si="15"/>
        <v>74445.85515364926</v>
      </c>
      <c r="O12" s="28">
        <f t="shared" si="15"/>
        <v>75092.049390846456</v>
      </c>
      <c r="P12" s="28">
        <f t="shared" si="15"/>
        <v>79012.304464026063</v>
      </c>
      <c r="Q12" s="28">
        <f t="shared" si="15"/>
        <v>79695.030295706267</v>
      </c>
      <c r="R12" s="28">
        <f t="shared" si="15"/>
        <v>80383.217934039916</v>
      </c>
      <c r="S12" s="28">
        <f t="shared" si="15"/>
        <v>84558.233626192698</v>
      </c>
      <c r="T12" s="28">
        <f t="shared" si="15"/>
        <v>85285.326891170247</v>
      </c>
      <c r="U12" s="28">
        <f t="shared" si="15"/>
        <v>86018.236902267599</v>
      </c>
      <c r="V12" s="28">
        <f t="shared" si="15"/>
        <v>90266.183326587925</v>
      </c>
      <c r="W12" s="28">
        <f t="shared" si="15"/>
        <v>91038.940189168628</v>
      </c>
      <c r="X12" s="28">
        <f t="shared" si="15"/>
        <v>91817.879106649983</v>
      </c>
      <c r="Y12" s="28">
        <f t="shared" si="15"/>
        <v>92603.049535471189</v>
      </c>
      <c r="Z12" s="28">
        <f t="shared" si="15"/>
        <v>97153.897340918877</v>
      </c>
      <c r="AA12" s="28">
        <f t="shared" si="15"/>
        <v>97981.755915614223</v>
      </c>
      <c r="AB12" s="28">
        <f t="shared" si="15"/>
        <v>98816.237358907136</v>
      </c>
      <c r="AC12" s="28">
        <f t="shared" si="15"/>
        <v>99657.394653746407</v>
      </c>
      <c r="AD12" s="28">
        <f t="shared" si="15"/>
        <v>104532.74233463474</v>
      </c>
      <c r="AE12" s="28">
        <f t="shared" si="15"/>
        <v>105419.63166927981</v>
      </c>
      <c r="AF12" s="28">
        <f t="shared" si="15"/>
        <v>106313.61611860206</v>
      </c>
      <c r="AG12" s="28">
        <f t="shared" si="15"/>
        <v>111495.14998687374</v>
      </c>
      <c r="AH12" s="28">
        <f t="shared" si="15"/>
        <v>112437.73858273675</v>
      </c>
      <c r="AI12" s="28">
        <f t="shared" si="15"/>
        <v>113387.86788736665</v>
      </c>
      <c r="AJ12" s="28">
        <f t="shared" si="15"/>
        <v>114345.59822643361</v>
      </c>
      <c r="AK12" s="28">
        <f t="shared" si="15"/>
        <v>115310.99040821305</v>
      </c>
      <c r="AL12" s="28">
        <f t="shared" si="15"/>
        <v>120906.40349380687</v>
      </c>
      <c r="AM12" s="28">
        <f t="shared" si="15"/>
        <v>121924.28211772532</v>
      </c>
      <c r="AN12" s="28">
        <f t="shared" si="15"/>
        <v>122950.3037706351</v>
      </c>
      <c r="AO12" s="28">
        <f t="shared" si="15"/>
        <v>123984.53359676819</v>
      </c>
      <c r="AP12" s="28">
        <f t="shared" si="15"/>
        <v>129978.92966903554</v>
      </c>
      <c r="AQ12" s="28">
        <f t="shared" si="15"/>
        <v>131069.38850235584</v>
      </c>
      <c r="AR12" s="28">
        <f t="shared" si="15"/>
        <v>132168.57100634265</v>
      </c>
      <c r="AS12" s="28">
        <f t="shared" si="15"/>
        <v>133276.54697036141</v>
      </c>
      <c r="AT12" s="28">
        <f t="shared" si="15"/>
        <v>134393.38674209229</v>
      </c>
      <c r="AU12" s="28">
        <f t="shared" si="15"/>
        <v>135519.16123199704</v>
      </c>
      <c r="AV12" s="28">
        <f t="shared" si="15"/>
        <v>136653.94191782101</v>
      </c>
      <c r="AW12" s="28">
        <f t="shared" si="15"/>
        <v>137797.80084913157</v>
      </c>
      <c r="AX12" s="28">
        <f t="shared" ref="AX12:BB12" si="16">AX9*$B$6</f>
        <v>138950.81065189262</v>
      </c>
      <c r="AY12" s="28">
        <f t="shared" si="16"/>
        <v>140113.04453307576</v>
      </c>
      <c r="AZ12" s="28">
        <f t="shared" si="16"/>
        <v>141284.5762853084</v>
      </c>
      <c r="BA12" s="28">
        <f t="shared" si="16"/>
        <v>142465.48029155887</v>
      </c>
      <c r="BB12" s="28">
        <f t="shared" si="16"/>
        <v>143655.83152985931</v>
      </c>
      <c r="BI12" s="2">
        <v>44979.648242014438</v>
      </c>
    </row>
    <row r="13" spans="1:61" x14ac:dyDescent="0.2">
      <c r="A13" s="2" t="s">
        <v>254</v>
      </c>
      <c r="B13" s="58">
        <v>99</v>
      </c>
      <c r="D13" s="2" t="s">
        <v>192</v>
      </c>
      <c r="E13" s="28">
        <f t="shared" ref="E13:AW13" si="17">SUM(E10:E12)</f>
        <v>207677.52831019962</v>
      </c>
      <c r="F13" s="28">
        <f t="shared" si="17"/>
        <v>209391.76185264924</v>
      </c>
      <c r="G13" s="28">
        <f t="shared" si="17"/>
        <v>211119.70926343842</v>
      </c>
      <c r="H13" s="28">
        <f t="shared" si="17"/>
        <v>221602.6170540053</v>
      </c>
      <c r="I13" s="28">
        <f t="shared" si="17"/>
        <v>223428.25130640535</v>
      </c>
      <c r="J13" s="28">
        <f t="shared" si="17"/>
        <v>225268.49063282466</v>
      </c>
      <c r="K13" s="28">
        <f t="shared" si="17"/>
        <v>227123.45187385523</v>
      </c>
      <c r="L13" s="28">
        <f t="shared" si="17"/>
        <v>238376.91220683965</v>
      </c>
      <c r="M13" s="28">
        <f t="shared" si="17"/>
        <v>240336.74082046235</v>
      </c>
      <c r="N13" s="28">
        <f t="shared" si="17"/>
        <v>242532.08380860099</v>
      </c>
      <c r="O13" s="28">
        <f t="shared" si="17"/>
        <v>245330.4653470378</v>
      </c>
      <c r="P13" s="28">
        <f t="shared" si="17"/>
        <v>262307.35680049926</v>
      </c>
      <c r="Q13" s="28">
        <f t="shared" si="17"/>
        <v>265263.94052287121</v>
      </c>
      <c r="R13" s="28">
        <f t="shared" si="17"/>
        <v>268244.1769150222</v>
      </c>
      <c r="S13" s="28">
        <f t="shared" si="17"/>
        <v>286324.32397154719</v>
      </c>
      <c r="T13" s="28">
        <f t="shared" si="17"/>
        <v>289473.04343128763</v>
      </c>
      <c r="U13" s="28">
        <f t="shared" si="17"/>
        <v>292646.9526467059</v>
      </c>
      <c r="V13" s="28">
        <f t="shared" si="17"/>
        <v>311042.93045927049</v>
      </c>
      <c r="W13" s="28">
        <f t="shared" si="17"/>
        <v>314389.39877091261</v>
      </c>
      <c r="X13" s="28">
        <f t="shared" si="17"/>
        <v>317762.63882904791</v>
      </c>
      <c r="Y13" s="28">
        <f t="shared" si="17"/>
        <v>321162.86480764835</v>
      </c>
      <c r="Z13" s="28">
        <f t="shared" si="17"/>
        <v>340870.57457961619</v>
      </c>
      <c r="AA13" s="28">
        <f t="shared" si="17"/>
        <v>344455.66404422116</v>
      </c>
      <c r="AB13" s="28">
        <f t="shared" si="17"/>
        <v>348069.43422454293</v>
      </c>
      <c r="AC13" s="28">
        <f t="shared" si="17"/>
        <v>351712.11456630728</v>
      </c>
      <c r="AD13" s="28">
        <f t="shared" si="17"/>
        <v>372825.08982717339</v>
      </c>
      <c r="AE13" s="28">
        <f t="shared" si="17"/>
        <v>376665.8154137588</v>
      </c>
      <c r="AF13" s="28">
        <f t="shared" si="17"/>
        <v>380537.26680503687</v>
      </c>
      <c r="AG13" s="28">
        <f t="shared" si="17"/>
        <v>402976.19906888454</v>
      </c>
      <c r="AH13" s="28">
        <f t="shared" si="17"/>
        <v>407058.13352940371</v>
      </c>
      <c r="AI13" s="28">
        <f t="shared" si="17"/>
        <v>411172.72346560692</v>
      </c>
      <c r="AJ13" s="28">
        <f t="shared" si="17"/>
        <v>415320.23012129992</v>
      </c>
      <c r="AK13" s="28">
        <f t="shared" si="17"/>
        <v>419500.91683023825</v>
      </c>
      <c r="AL13" s="28">
        <f t="shared" si="17"/>
        <v>443732.17699524527</v>
      </c>
      <c r="AM13" s="28">
        <f t="shared" si="17"/>
        <v>448140.15927917522</v>
      </c>
      <c r="AN13" s="28">
        <f t="shared" si="17"/>
        <v>452583.40542137652</v>
      </c>
      <c r="AO13" s="28">
        <f t="shared" si="17"/>
        <v>457062.19753271551</v>
      </c>
      <c r="AP13" s="28">
        <f t="shared" si="17"/>
        <v>483021.2766100365</v>
      </c>
      <c r="AQ13" s="28">
        <f t="shared" si="17"/>
        <v>487743.57169088488</v>
      </c>
      <c r="AR13" s="28">
        <f t="shared" si="17"/>
        <v>492503.64513237978</v>
      </c>
      <c r="AS13" s="28">
        <f t="shared" si="17"/>
        <v>497301.79916140693</v>
      </c>
      <c r="AT13" s="28">
        <f t="shared" si="17"/>
        <v>502138.33842266607</v>
      </c>
      <c r="AU13" s="28">
        <f t="shared" si="17"/>
        <v>507013.56999801553</v>
      </c>
      <c r="AV13" s="28">
        <f t="shared" si="17"/>
        <v>511927.80342596758</v>
      </c>
      <c r="AW13" s="28">
        <f t="shared" si="17"/>
        <v>516881.3507213433</v>
      </c>
      <c r="AX13" s="28">
        <f t="shared" ref="AX13:BB13" si="18">SUM(AX10:AX12)</f>
        <v>521874.52639508201</v>
      </c>
      <c r="AY13" s="28">
        <f t="shared" si="18"/>
        <v>526907.64747421071</v>
      </c>
      <c r="AZ13" s="28">
        <f t="shared" si="18"/>
        <v>531981.03352197248</v>
      </c>
      <c r="BA13" s="28">
        <f t="shared" si="18"/>
        <v>537095.00665811636</v>
      </c>
      <c r="BB13" s="28">
        <f t="shared" si="18"/>
        <v>542249.89157934906</v>
      </c>
      <c r="BI13" s="2">
        <v>45274.970328953212</v>
      </c>
    </row>
    <row r="14" spans="1:61" x14ac:dyDescent="0.2">
      <c r="A14" s="2" t="s">
        <v>255</v>
      </c>
      <c r="B14" s="28">
        <f>B13*12</f>
        <v>1188</v>
      </c>
      <c r="D14" s="2" t="s">
        <v>193</v>
      </c>
      <c r="E14" s="28">
        <f>E7-E13</f>
        <v>370205.98509212304</v>
      </c>
      <c r="F14" s="28">
        <f t="shared" ref="F14:AW14" si="19">F7-F13</f>
        <v>373123.56333689205</v>
      </c>
      <c r="G14" s="28">
        <f t="shared" si="19"/>
        <v>376064.48220761918</v>
      </c>
      <c r="H14" s="28">
        <f t="shared" si="19"/>
        <v>393906.10235697904</v>
      </c>
      <c r="I14" s="28">
        <f t="shared" si="19"/>
        <v>397013.28153986688</v>
      </c>
      <c r="J14" s="28">
        <f t="shared" si="19"/>
        <v>400145.31815621787</v>
      </c>
      <c r="K14" s="28">
        <f t="shared" si="19"/>
        <v>403302.41106549965</v>
      </c>
      <c r="L14" s="28">
        <f t="shared" si="19"/>
        <v>422455.49040553439</v>
      </c>
      <c r="M14" s="28">
        <f t="shared" si="19"/>
        <v>425791.06469281064</v>
      </c>
      <c r="N14" s="28">
        <f t="shared" si="19"/>
        <v>428933.48782877834</v>
      </c>
      <c r="O14" s="28">
        <f t="shared" si="19"/>
        <v>431515.5745434406</v>
      </c>
      <c r="P14" s="28">
        <f t="shared" si="19"/>
        <v>447180.27404068364</v>
      </c>
      <c r="Q14" s="28">
        <f t="shared" si="19"/>
        <v>449908.33504504105</v>
      </c>
      <c r="R14" s="28">
        <f t="shared" si="19"/>
        <v>452658.2205374334</v>
      </c>
      <c r="S14" s="28">
        <f t="shared" si="19"/>
        <v>469340.90189183911</v>
      </c>
      <c r="T14" s="28">
        <f t="shared" si="19"/>
        <v>472246.24791900581</v>
      </c>
      <c r="U14" s="28">
        <f t="shared" si="19"/>
        <v>475174.83671438985</v>
      </c>
      <c r="V14" s="28">
        <f t="shared" si="19"/>
        <v>492148.93737243582</v>
      </c>
      <c r="W14" s="28">
        <f t="shared" si="19"/>
        <v>495236.74768344738</v>
      </c>
      <c r="X14" s="28">
        <f t="shared" si="19"/>
        <v>498349.26047694695</v>
      </c>
      <c r="Y14" s="28">
        <f t="shared" si="19"/>
        <v>501486.67337279452</v>
      </c>
      <c r="Z14" s="28">
        <f t="shared" si="19"/>
        <v>519671.11851712712</v>
      </c>
      <c r="AA14" s="28">
        <f t="shared" si="19"/>
        <v>522979.10627729609</v>
      </c>
      <c r="AB14" s="28">
        <f t="shared" si="19"/>
        <v>526313.55793954653</v>
      </c>
      <c r="AC14" s="28">
        <f t="shared" si="19"/>
        <v>529674.68521509494</v>
      </c>
      <c r="AD14" s="28">
        <f t="shared" si="19"/>
        <v>549155.77890417329</v>
      </c>
      <c r="AE14" s="28">
        <f t="shared" si="19"/>
        <v>552699.64394743857</v>
      </c>
      <c r="AF14" s="28">
        <f t="shared" si="19"/>
        <v>556271.85991105018</v>
      </c>
      <c r="AG14" s="28">
        <f t="shared" si="19"/>
        <v>576976.4236361424</v>
      </c>
      <c r="AH14" s="28">
        <f t="shared" si="19"/>
        <v>580742.85383726365</v>
      </c>
      <c r="AI14" s="28">
        <f t="shared" si="19"/>
        <v>584539.4154799938</v>
      </c>
      <c r="AJ14" s="28">
        <f t="shared" si="19"/>
        <v>588366.34961586585</v>
      </c>
      <c r="AK14" s="28">
        <f t="shared" si="19"/>
        <v>592223.89922482474</v>
      </c>
      <c r="AL14" s="28">
        <f t="shared" si="19"/>
        <v>614582.25675835065</v>
      </c>
      <c r="AM14" s="28">
        <f t="shared" si="19"/>
        <v>618649.5336244494</v>
      </c>
      <c r="AN14" s="28">
        <f t="shared" si="19"/>
        <v>622749.34870547708</v>
      </c>
      <c r="AO14" s="28">
        <f t="shared" si="19"/>
        <v>626881.9623071528</v>
      </c>
      <c r="AP14" s="28">
        <f t="shared" si="19"/>
        <v>650834.59074246592</v>
      </c>
      <c r="AQ14" s="28">
        <f t="shared" si="19"/>
        <v>655191.8862804377</v>
      </c>
      <c r="AR14" s="28">
        <f t="shared" si="19"/>
        <v>659584.04018271295</v>
      </c>
      <c r="AS14" s="28">
        <f t="shared" si="19"/>
        <v>664011.33131620684</v>
      </c>
      <c r="AT14" s="28">
        <f t="shared" si="19"/>
        <v>668474.04077876848</v>
      </c>
      <c r="AU14" s="28">
        <f t="shared" si="19"/>
        <v>672972.45191703073</v>
      </c>
      <c r="AV14" s="28">
        <f t="shared" si="19"/>
        <v>677506.85034439887</v>
      </c>
      <c r="AW14" s="28">
        <f t="shared" si="19"/>
        <v>682077.52395918604</v>
      </c>
      <c r="AX14" s="28">
        <f t="shared" ref="AX14:BB14" si="20">AX7-AX13</f>
        <v>686684.76296289149</v>
      </c>
      <c r="AY14" s="28">
        <f t="shared" si="20"/>
        <v>691328.85987862665</v>
      </c>
      <c r="AZ14" s="28">
        <f t="shared" si="20"/>
        <v>696010.10956968775</v>
      </c>
      <c r="BA14" s="28">
        <f t="shared" si="20"/>
        <v>700728.8092582773</v>
      </c>
      <c r="BB14" s="28">
        <f t="shared" si="20"/>
        <v>705485.25854437542</v>
      </c>
      <c r="BI14" s="2">
        <v>45572.654992587515</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47298.035303011864</v>
      </c>
    </row>
    <row r="16" spans="1:61" x14ac:dyDescent="0.2">
      <c r="D16" s="2" t="s">
        <v>267</v>
      </c>
      <c r="E16" s="28">
        <f>E14-E15</f>
        <v>360805.98509212304</v>
      </c>
      <c r="F16" s="28">
        <f t="shared" ref="F16:AW16" si="22">F14-F15</f>
        <v>363723.56333689205</v>
      </c>
      <c r="G16" s="28">
        <f t="shared" si="22"/>
        <v>366664.48220761918</v>
      </c>
      <c r="H16" s="28">
        <f t="shared" si="22"/>
        <v>384506.10235697904</v>
      </c>
      <c r="I16" s="28">
        <f t="shared" si="22"/>
        <v>387613.28153986688</v>
      </c>
      <c r="J16" s="28">
        <f t="shared" si="22"/>
        <v>390745.31815621787</v>
      </c>
      <c r="K16" s="28">
        <f t="shared" si="22"/>
        <v>393902.41106549965</v>
      </c>
      <c r="L16" s="28">
        <f t="shared" si="22"/>
        <v>413055.49040553439</v>
      </c>
      <c r="M16" s="28">
        <f t="shared" si="22"/>
        <v>416391.06469281064</v>
      </c>
      <c r="N16" s="28">
        <f t="shared" si="22"/>
        <v>419533.48782877834</v>
      </c>
      <c r="O16" s="28">
        <f t="shared" si="22"/>
        <v>422115.5745434406</v>
      </c>
      <c r="P16" s="28">
        <f t="shared" si="22"/>
        <v>437780.27404068364</v>
      </c>
      <c r="Q16" s="28">
        <f t="shared" si="22"/>
        <v>440508.33504504105</v>
      </c>
      <c r="R16" s="28">
        <f t="shared" si="22"/>
        <v>443258.2205374334</v>
      </c>
      <c r="S16" s="28">
        <f t="shared" si="22"/>
        <v>459940.90189183911</v>
      </c>
      <c r="T16" s="28">
        <f t="shared" si="22"/>
        <v>462846.24791900581</v>
      </c>
      <c r="U16" s="28">
        <f t="shared" si="22"/>
        <v>465774.83671438985</v>
      </c>
      <c r="V16" s="28">
        <f t="shared" si="22"/>
        <v>482748.93737243582</v>
      </c>
      <c r="W16" s="28">
        <f t="shared" si="22"/>
        <v>485836.74768344738</v>
      </c>
      <c r="X16" s="28">
        <f t="shared" si="22"/>
        <v>488949.26047694695</v>
      </c>
      <c r="Y16" s="28">
        <f t="shared" si="22"/>
        <v>492086.67337279452</v>
      </c>
      <c r="Z16" s="28">
        <f t="shared" si="22"/>
        <v>510271.11851712712</v>
      </c>
      <c r="AA16" s="28">
        <f t="shared" si="22"/>
        <v>513579.10627729609</v>
      </c>
      <c r="AB16" s="28">
        <f t="shared" si="22"/>
        <v>516913.55793954653</v>
      </c>
      <c r="AC16" s="28">
        <f t="shared" si="22"/>
        <v>520274.68521509494</v>
      </c>
      <c r="AD16" s="28">
        <f t="shared" si="22"/>
        <v>539755.77890417329</v>
      </c>
      <c r="AE16" s="28">
        <f t="shared" si="22"/>
        <v>543299.64394743857</v>
      </c>
      <c r="AF16" s="28">
        <f t="shared" si="22"/>
        <v>546871.85991105018</v>
      </c>
      <c r="AG16" s="28">
        <f t="shared" si="22"/>
        <v>567576.4236361424</v>
      </c>
      <c r="AH16" s="28">
        <f t="shared" si="22"/>
        <v>571342.85383726365</v>
      </c>
      <c r="AI16" s="28">
        <f t="shared" si="22"/>
        <v>575139.4154799938</v>
      </c>
      <c r="AJ16" s="28">
        <f t="shared" si="22"/>
        <v>578966.34961586585</v>
      </c>
      <c r="AK16" s="28">
        <f t="shared" si="22"/>
        <v>582823.89922482474</v>
      </c>
      <c r="AL16" s="28">
        <f t="shared" si="22"/>
        <v>605182.25675835065</v>
      </c>
      <c r="AM16" s="28">
        <f t="shared" si="22"/>
        <v>609249.5336244494</v>
      </c>
      <c r="AN16" s="28">
        <f t="shared" si="22"/>
        <v>613349.34870547708</v>
      </c>
      <c r="AO16" s="28">
        <f t="shared" si="22"/>
        <v>617481.9623071528</v>
      </c>
      <c r="AP16" s="28">
        <f t="shared" si="22"/>
        <v>641434.59074246592</v>
      </c>
      <c r="AQ16" s="28">
        <f t="shared" si="22"/>
        <v>645791.8862804377</v>
      </c>
      <c r="AR16" s="28">
        <f t="shared" si="22"/>
        <v>650184.04018271295</v>
      </c>
      <c r="AS16" s="28">
        <f t="shared" si="22"/>
        <v>654611.33131620684</v>
      </c>
      <c r="AT16" s="28">
        <f t="shared" si="22"/>
        <v>659074.04077876848</v>
      </c>
      <c r="AU16" s="28">
        <f t="shared" si="22"/>
        <v>663572.45191703073</v>
      </c>
      <c r="AV16" s="28">
        <f t="shared" si="22"/>
        <v>668106.85034439887</v>
      </c>
      <c r="AW16" s="28">
        <f t="shared" si="22"/>
        <v>672677.52395918604</v>
      </c>
      <c r="AX16" s="28">
        <f t="shared" ref="AX16:BB16" si="23">AX14-AX15</f>
        <v>677284.76296289149</v>
      </c>
      <c r="AY16" s="28">
        <f t="shared" si="23"/>
        <v>681928.85987862665</v>
      </c>
      <c r="AZ16" s="28">
        <f t="shared" si="23"/>
        <v>686610.10956968775</v>
      </c>
      <c r="BA16" s="28">
        <f t="shared" si="23"/>
        <v>691328.8092582773</v>
      </c>
      <c r="BB16" s="28">
        <f t="shared" si="23"/>
        <v>696085.25854437542</v>
      </c>
      <c r="BI16" s="2">
        <v>47611.904486438638</v>
      </c>
    </row>
    <row r="17" spans="4:61" x14ac:dyDescent="0.2">
      <c r="D17" s="2" t="s">
        <v>196</v>
      </c>
      <c r="E17" s="28">
        <f>E16/12</f>
        <v>30067.165424343588</v>
      </c>
      <c r="F17" s="28">
        <f t="shared" ref="F17:AW17" si="24">F16/12</f>
        <v>30310.296944741003</v>
      </c>
      <c r="G17" s="28">
        <f t="shared" si="24"/>
        <v>30555.373517301599</v>
      </c>
      <c r="H17" s="28">
        <f t="shared" si="24"/>
        <v>32042.175196414919</v>
      </c>
      <c r="I17" s="28">
        <f t="shared" si="24"/>
        <v>32301.106794988907</v>
      </c>
      <c r="J17" s="28">
        <f t="shared" si="24"/>
        <v>32562.10984635149</v>
      </c>
      <c r="K17" s="28">
        <f t="shared" si="24"/>
        <v>32825.200922124968</v>
      </c>
      <c r="L17" s="28">
        <f t="shared" si="24"/>
        <v>34421.290867127864</v>
      </c>
      <c r="M17" s="28">
        <f t="shared" si="24"/>
        <v>34699.255391067556</v>
      </c>
      <c r="N17" s="28">
        <f t="shared" si="24"/>
        <v>34961.12398573153</v>
      </c>
      <c r="O17" s="28">
        <f t="shared" si="24"/>
        <v>35176.297878620047</v>
      </c>
      <c r="P17" s="28">
        <f t="shared" si="24"/>
        <v>36481.689503390306</v>
      </c>
      <c r="Q17" s="28">
        <f t="shared" si="24"/>
        <v>36709.027920420085</v>
      </c>
      <c r="R17" s="28">
        <f t="shared" si="24"/>
        <v>36938.185044786114</v>
      </c>
      <c r="S17" s="28">
        <f t="shared" si="24"/>
        <v>38328.408490986592</v>
      </c>
      <c r="T17" s="28">
        <f t="shared" si="24"/>
        <v>38570.520659917151</v>
      </c>
      <c r="U17" s="28">
        <f t="shared" si="24"/>
        <v>38814.569726199152</v>
      </c>
      <c r="V17" s="28">
        <f t="shared" si="24"/>
        <v>40229.078114369651</v>
      </c>
      <c r="W17" s="28">
        <f t="shared" si="24"/>
        <v>40486.395640287279</v>
      </c>
      <c r="X17" s="28">
        <f t="shared" si="24"/>
        <v>40745.771706412248</v>
      </c>
      <c r="Y17" s="28">
        <f t="shared" si="24"/>
        <v>41007.222781066208</v>
      </c>
      <c r="Z17" s="28">
        <f t="shared" si="24"/>
        <v>42522.593209760591</v>
      </c>
      <c r="AA17" s="28">
        <f t="shared" si="24"/>
        <v>42798.258856441338</v>
      </c>
      <c r="AB17" s="28">
        <f t="shared" si="24"/>
        <v>43076.129828295547</v>
      </c>
      <c r="AC17" s="28">
        <f t="shared" si="24"/>
        <v>43356.223767924581</v>
      </c>
      <c r="AD17" s="28">
        <f t="shared" si="24"/>
        <v>44979.648242014438</v>
      </c>
      <c r="AE17" s="28">
        <f t="shared" si="24"/>
        <v>45274.970328953212</v>
      </c>
      <c r="AF17" s="28">
        <f t="shared" si="24"/>
        <v>45572.654992587515</v>
      </c>
      <c r="AG17" s="28">
        <f t="shared" si="24"/>
        <v>47298.035303011864</v>
      </c>
      <c r="AH17" s="28">
        <f t="shared" si="24"/>
        <v>47611.904486438638</v>
      </c>
      <c r="AI17" s="28">
        <f t="shared" si="24"/>
        <v>47928.284623332816</v>
      </c>
      <c r="AJ17" s="28">
        <f t="shared" si="24"/>
        <v>48247.195801322152</v>
      </c>
      <c r="AK17" s="28">
        <f t="shared" si="24"/>
        <v>48568.658268735395</v>
      </c>
      <c r="AL17" s="28">
        <f t="shared" si="24"/>
        <v>50431.854729862556</v>
      </c>
      <c r="AM17" s="28">
        <f t="shared" si="24"/>
        <v>50770.794468704116</v>
      </c>
      <c r="AN17" s="28">
        <f t="shared" si="24"/>
        <v>51112.445725456426</v>
      </c>
      <c r="AO17" s="28">
        <f t="shared" si="24"/>
        <v>51456.830192262736</v>
      </c>
      <c r="AP17" s="28">
        <f t="shared" si="24"/>
        <v>53452.88256187216</v>
      </c>
      <c r="AQ17" s="28">
        <f t="shared" si="24"/>
        <v>53815.990523369808</v>
      </c>
      <c r="AR17" s="28">
        <f t="shared" si="24"/>
        <v>54182.00334855941</v>
      </c>
      <c r="AS17" s="28">
        <f t="shared" si="24"/>
        <v>54550.944276350572</v>
      </c>
      <c r="AT17" s="28">
        <f t="shared" si="24"/>
        <v>54922.836731564043</v>
      </c>
      <c r="AU17" s="28">
        <f t="shared" si="24"/>
        <v>55297.704326419225</v>
      </c>
      <c r="AV17" s="28">
        <f t="shared" si="24"/>
        <v>55675.570862033237</v>
      </c>
      <c r="AW17" s="28">
        <f t="shared" si="24"/>
        <v>56056.460329932168</v>
      </c>
      <c r="AX17" s="28">
        <f t="shared" ref="AX17:BB17" si="25">AX16/12</f>
        <v>56440.396913574288</v>
      </c>
      <c r="AY17" s="28">
        <f t="shared" si="25"/>
        <v>56827.404989885552</v>
      </c>
      <c r="AZ17" s="28">
        <f t="shared" si="25"/>
        <v>57217.50913080731</v>
      </c>
      <c r="BA17" s="28">
        <f t="shared" si="25"/>
        <v>57610.734104856441</v>
      </c>
      <c r="BB17" s="28">
        <f t="shared" si="25"/>
        <v>58007.104878697952</v>
      </c>
      <c r="BI17" s="2">
        <v>47928.284623332816</v>
      </c>
    </row>
    <row r="18" spans="4:61" x14ac:dyDescent="0.2">
      <c r="BI18" s="2">
        <v>48247.195801322152</v>
      </c>
    </row>
    <row r="19" spans="4:61" x14ac:dyDescent="0.2">
      <c r="BI19" s="2">
        <v>48568.658268735395</v>
      </c>
    </row>
    <row r="20" spans="4:61" x14ac:dyDescent="0.2">
      <c r="D20" s="26"/>
      <c r="BI20" s="2">
        <v>50431.854729862556</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50770.794468704116</v>
      </c>
    </row>
    <row r="22" spans="4:61" x14ac:dyDescent="0.2">
      <c r="D22" s="2" t="s">
        <v>202</v>
      </c>
      <c r="E22" s="26">
        <f>'Pensions P2'!$B$18+'Pensions P2'!$B$22+'Pensions P2'!$B$31</f>
        <v>56892.730985230919</v>
      </c>
      <c r="F22" s="26">
        <f>'Pensions P2'!$B$18+'Pensions P2'!$B$22+'Pensions P2'!$B$31</f>
        <v>56892.730985230919</v>
      </c>
      <c r="G22" s="26">
        <f>'Pensions P2'!$B$18+'Pensions P2'!$B$22+'Pensions P2'!$B$31</f>
        <v>56892.730985230919</v>
      </c>
      <c r="H22" s="26">
        <f>'Pensions P2'!$B$18+'Pensions P2'!$B$22+'Pensions P2'!$B$31</f>
        <v>56892.730985230919</v>
      </c>
      <c r="I22" s="26">
        <f>'Pensions P2'!$B$18+'Pensions P2'!$B$22+'Pensions P2'!$B$31</f>
        <v>56892.730985230919</v>
      </c>
      <c r="J22" s="26">
        <f>'Pensions P2'!$B$18+'Pensions P2'!$B$22+'Pensions P2'!$B$31</f>
        <v>56892.730985230919</v>
      </c>
      <c r="K22" s="26">
        <f>'Pensions P2'!$B$18+'Pensions P2'!$B$22+'Pensions P2'!$B$31</f>
        <v>56892.730985230919</v>
      </c>
      <c r="L22" s="26">
        <f>'Pensions P2'!$B$18+'Pensions P2'!$B$22+'Pensions P2'!$B$31</f>
        <v>56892.730985230919</v>
      </c>
      <c r="M22" s="26">
        <f>'Pensions P2'!$B$18+'Pensions P2'!$B$22+'Pensions P2'!$B$31</f>
        <v>56892.730985230919</v>
      </c>
      <c r="N22" s="26">
        <f>'Pensions P2'!$B$18+'Pensions P2'!$B$22+'Pensions P2'!$B$31</f>
        <v>56892.730985230919</v>
      </c>
      <c r="O22" s="26">
        <f>'Pensions P2'!$B$18+'Pensions P2'!$B$22+'Pensions P2'!$B$31</f>
        <v>56892.730985230919</v>
      </c>
      <c r="P22" s="26">
        <f>'Pensions P2'!$B$18+'Pensions P2'!$B$22+'Pensions P2'!$B$31</f>
        <v>56892.730985230919</v>
      </c>
      <c r="Q22" s="26">
        <f>'Pensions P2'!$B$18+'Pensions P2'!$B$22+'Pensions P2'!$B$31</f>
        <v>56892.730985230919</v>
      </c>
      <c r="R22" s="26">
        <f>'Pensions P2'!$B$18+'Pensions P2'!$B$22+'Pensions P2'!$B$31</f>
        <v>56892.730985230919</v>
      </c>
      <c r="S22" s="26">
        <f>'Pensions P2'!$B$18+'Pensions P2'!$B$22+'Pensions P2'!$B$31</f>
        <v>56892.730985230919</v>
      </c>
      <c r="T22" s="26">
        <f>'Pensions P2'!$B$18+'Pensions P2'!$B$22+'Pensions P2'!$B$31</f>
        <v>56892.730985230919</v>
      </c>
      <c r="U22" s="26">
        <f>'Pensions P2'!$B$18+'Pensions P2'!$B$22+'Pensions P2'!$B$31</f>
        <v>56892.730985230919</v>
      </c>
      <c r="V22" s="26">
        <f>'Pensions P2'!$B$18+'Pensions P2'!$B$22+'Pensions P2'!$B$31</f>
        <v>56892.730985230919</v>
      </c>
      <c r="W22" s="26">
        <f>'Pensions P2'!$B$18+'Pensions P2'!$B$22+'Pensions P2'!$B$31</f>
        <v>56892.730985230919</v>
      </c>
      <c r="X22" s="26">
        <f>'Pensions P2'!$B$18+'Pensions P2'!$B$22+'Pensions P2'!$B$31</f>
        <v>56892.730985230919</v>
      </c>
      <c r="Y22" s="26">
        <f>'Pensions P2'!$B$18+'Pensions P2'!$B$22+'Pensions P2'!$B$31</f>
        <v>56892.730985230919</v>
      </c>
      <c r="Z22" s="26">
        <f>'Pensions P2'!$B$18+'Pensions P2'!$B$22+'Pensions P2'!$B$31</f>
        <v>56892.730985230919</v>
      </c>
      <c r="AA22" s="26">
        <f>'Pensions P2'!$B$18+'Pensions P2'!$B$22+'Pensions P2'!$B$31</f>
        <v>56892.730985230919</v>
      </c>
      <c r="AB22" s="26">
        <f>'Pensions P2'!$B$18+'Pensions P2'!$B$22+'Pensions P2'!$B$31</f>
        <v>56892.730985230919</v>
      </c>
      <c r="AC22" s="26">
        <f>'Pensions P2'!$B$18+'Pensions P2'!$B$22+'Pensions P2'!$B$31</f>
        <v>56892.730985230919</v>
      </c>
      <c r="BI22" s="2">
        <v>51112.445725456426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51456.830192262736</v>
      </c>
    </row>
    <row r="24" spans="4:61" x14ac:dyDescent="0.2">
      <c r="D24" s="2" t="s">
        <v>203</v>
      </c>
      <c r="E24" s="26">
        <f>E22*12</f>
        <v>682712.77182277106</v>
      </c>
      <c r="F24" s="26">
        <f t="shared" ref="F24:AC24" si="26">F22*12</f>
        <v>682712.77182277106</v>
      </c>
      <c r="G24" s="26">
        <f t="shared" si="26"/>
        <v>682712.77182277106</v>
      </c>
      <c r="H24" s="26">
        <f t="shared" si="26"/>
        <v>682712.77182277106</v>
      </c>
      <c r="I24" s="26">
        <f t="shared" si="26"/>
        <v>682712.77182277106</v>
      </c>
      <c r="J24" s="26">
        <f t="shared" si="26"/>
        <v>682712.77182277106</v>
      </c>
      <c r="K24" s="26">
        <f t="shared" si="26"/>
        <v>682712.77182277106</v>
      </c>
      <c r="L24" s="26">
        <f t="shared" si="26"/>
        <v>682712.77182277106</v>
      </c>
      <c r="M24" s="26">
        <f t="shared" si="26"/>
        <v>682712.77182277106</v>
      </c>
      <c r="N24" s="26">
        <f t="shared" si="26"/>
        <v>682712.77182277106</v>
      </c>
      <c r="O24" s="26">
        <f t="shared" si="26"/>
        <v>682712.77182277106</v>
      </c>
      <c r="P24" s="26">
        <f t="shared" si="26"/>
        <v>682712.77182277106</v>
      </c>
      <c r="Q24" s="26">
        <f t="shared" si="26"/>
        <v>682712.77182277106</v>
      </c>
      <c r="R24" s="26">
        <f t="shared" si="26"/>
        <v>682712.77182277106</v>
      </c>
      <c r="S24" s="26">
        <f t="shared" si="26"/>
        <v>682712.77182277106</v>
      </c>
      <c r="T24" s="26">
        <f t="shared" si="26"/>
        <v>682712.77182277106</v>
      </c>
      <c r="U24" s="26">
        <f t="shared" si="26"/>
        <v>682712.77182277106</v>
      </c>
      <c r="V24" s="26">
        <f t="shared" si="26"/>
        <v>682712.77182277106</v>
      </c>
      <c r="W24" s="26">
        <f t="shared" si="26"/>
        <v>682712.77182277106</v>
      </c>
      <c r="X24" s="26">
        <f t="shared" si="26"/>
        <v>682712.77182277106</v>
      </c>
      <c r="Y24" s="26">
        <f t="shared" si="26"/>
        <v>682712.77182277106</v>
      </c>
      <c r="Z24" s="26">
        <f t="shared" si="26"/>
        <v>682712.77182277106</v>
      </c>
      <c r="AA24" s="26">
        <f t="shared" si="26"/>
        <v>682712.77182277106</v>
      </c>
      <c r="AB24" s="26">
        <f t="shared" si="26"/>
        <v>682712.77182277106</v>
      </c>
      <c r="AC24" s="26">
        <f t="shared" si="26"/>
        <v>682712.77182277106</v>
      </c>
      <c r="BI24" s="2">
        <v>53452.88256187216</v>
      </c>
    </row>
    <row r="25" spans="4:61" x14ac:dyDescent="0.2">
      <c r="D25" s="2" t="s">
        <v>189</v>
      </c>
      <c r="E25" s="26">
        <f>E24*$B$9</f>
        <v>170678.19295569276</v>
      </c>
      <c r="F25" s="26">
        <f t="shared" ref="F25:AC25" si="27">F24*$B$9</f>
        <v>170678.19295569276</v>
      </c>
      <c r="G25" s="26">
        <f t="shared" si="27"/>
        <v>170678.19295569276</v>
      </c>
      <c r="H25" s="26">
        <f t="shared" si="27"/>
        <v>170678.19295569276</v>
      </c>
      <c r="I25" s="26">
        <f t="shared" si="27"/>
        <v>170678.19295569276</v>
      </c>
      <c r="J25" s="26">
        <f t="shared" si="27"/>
        <v>170678.19295569276</v>
      </c>
      <c r="K25" s="26">
        <f t="shared" si="27"/>
        <v>170678.19295569276</v>
      </c>
      <c r="L25" s="26">
        <f t="shared" si="27"/>
        <v>170678.19295569276</v>
      </c>
      <c r="M25" s="26">
        <f t="shared" si="27"/>
        <v>170678.19295569276</v>
      </c>
      <c r="N25" s="26">
        <f t="shared" si="27"/>
        <v>170678.19295569276</v>
      </c>
      <c r="O25" s="26">
        <f t="shared" si="27"/>
        <v>170678.19295569276</v>
      </c>
      <c r="P25" s="26">
        <f t="shared" si="27"/>
        <v>170678.19295569276</v>
      </c>
      <c r="Q25" s="26">
        <f t="shared" si="27"/>
        <v>170678.19295569276</v>
      </c>
      <c r="R25" s="26">
        <f t="shared" si="27"/>
        <v>170678.19295569276</v>
      </c>
      <c r="S25" s="26">
        <f t="shared" si="27"/>
        <v>170678.19295569276</v>
      </c>
      <c r="T25" s="26">
        <f t="shared" si="27"/>
        <v>170678.19295569276</v>
      </c>
      <c r="U25" s="26">
        <f t="shared" si="27"/>
        <v>170678.19295569276</v>
      </c>
      <c r="V25" s="26">
        <f t="shared" si="27"/>
        <v>170678.19295569276</v>
      </c>
      <c r="W25" s="26">
        <f t="shared" si="27"/>
        <v>170678.19295569276</v>
      </c>
      <c r="X25" s="26">
        <f t="shared" si="27"/>
        <v>170678.19295569276</v>
      </c>
      <c r="Y25" s="26">
        <f t="shared" si="27"/>
        <v>170678.19295569276</v>
      </c>
      <c r="Z25" s="26">
        <f t="shared" si="27"/>
        <v>170678.19295569276</v>
      </c>
      <c r="AA25" s="26">
        <f t="shared" si="27"/>
        <v>170678.19295569276</v>
      </c>
      <c r="AB25" s="26">
        <f t="shared" si="27"/>
        <v>170678.19295569276</v>
      </c>
      <c r="AC25" s="26">
        <f t="shared" si="27"/>
        <v>170678.19295569276</v>
      </c>
      <c r="BI25" s="2">
        <v>53815.990523369808</v>
      </c>
    </row>
    <row r="26" spans="4:61" x14ac:dyDescent="0.2">
      <c r="D26" s="2" t="s">
        <v>190</v>
      </c>
      <c r="E26" s="26">
        <f>MAX(E24-$B$8,0)*$B$7</f>
        <v>9646.9157734156579</v>
      </c>
      <c r="F26" s="26">
        <f t="shared" ref="F26:AC26" si="28">MAX(F24-$B$8,0)*$B$7</f>
        <v>9646.9157734156579</v>
      </c>
      <c r="G26" s="26">
        <f t="shared" si="28"/>
        <v>9646.9157734156579</v>
      </c>
      <c r="H26" s="26">
        <f t="shared" si="28"/>
        <v>9646.9157734156579</v>
      </c>
      <c r="I26" s="26">
        <f t="shared" si="28"/>
        <v>9646.9157734156579</v>
      </c>
      <c r="J26" s="26">
        <f t="shared" si="28"/>
        <v>9646.9157734156579</v>
      </c>
      <c r="K26" s="26">
        <f t="shared" si="28"/>
        <v>9646.9157734156579</v>
      </c>
      <c r="L26" s="26">
        <f t="shared" si="28"/>
        <v>9646.9157734156579</v>
      </c>
      <c r="M26" s="26">
        <f t="shared" si="28"/>
        <v>9646.9157734156579</v>
      </c>
      <c r="N26" s="26">
        <f t="shared" si="28"/>
        <v>9646.9157734156579</v>
      </c>
      <c r="O26" s="26">
        <f t="shared" si="28"/>
        <v>9646.9157734156579</v>
      </c>
      <c r="P26" s="26">
        <f t="shared" si="28"/>
        <v>9646.9157734156579</v>
      </c>
      <c r="Q26" s="26">
        <f t="shared" si="28"/>
        <v>9646.9157734156579</v>
      </c>
      <c r="R26" s="26">
        <f t="shared" si="28"/>
        <v>9646.9157734156579</v>
      </c>
      <c r="S26" s="26">
        <f t="shared" si="28"/>
        <v>9646.9157734156579</v>
      </c>
      <c r="T26" s="26">
        <f t="shared" si="28"/>
        <v>9646.9157734156579</v>
      </c>
      <c r="U26" s="26">
        <f t="shared" si="28"/>
        <v>9646.9157734156579</v>
      </c>
      <c r="V26" s="26">
        <f t="shared" si="28"/>
        <v>9646.9157734156579</v>
      </c>
      <c r="W26" s="26">
        <f t="shared" si="28"/>
        <v>9646.9157734156579</v>
      </c>
      <c r="X26" s="26">
        <f t="shared" si="28"/>
        <v>9646.9157734156579</v>
      </c>
      <c r="Y26" s="26">
        <f t="shared" si="28"/>
        <v>9646.9157734156579</v>
      </c>
      <c r="Z26" s="26">
        <f t="shared" si="28"/>
        <v>9646.9157734156579</v>
      </c>
      <c r="AA26" s="26">
        <f t="shared" si="28"/>
        <v>9646.9157734156579</v>
      </c>
      <c r="AB26" s="26">
        <f t="shared" si="28"/>
        <v>9646.9157734156579</v>
      </c>
      <c r="AC26" s="26">
        <f t="shared" si="28"/>
        <v>9646.9157734156579</v>
      </c>
      <c r="BI26" s="2">
        <v>54182.00334855941</v>
      </c>
    </row>
    <row r="27" spans="4:61" x14ac:dyDescent="0.2">
      <c r="D27" s="2" t="s">
        <v>191</v>
      </c>
      <c r="E27" s="26">
        <f>E24*$B$6</f>
        <v>81993.803895914796</v>
      </c>
      <c r="F27" s="26">
        <f t="shared" ref="F27:AC27" si="29">F24*$B$6</f>
        <v>81993.803895914796</v>
      </c>
      <c r="G27" s="26">
        <f t="shared" si="29"/>
        <v>81993.803895914796</v>
      </c>
      <c r="H27" s="26">
        <f t="shared" si="29"/>
        <v>81993.803895914796</v>
      </c>
      <c r="I27" s="26">
        <f t="shared" si="29"/>
        <v>81993.803895914796</v>
      </c>
      <c r="J27" s="26">
        <f t="shared" si="29"/>
        <v>81993.803895914796</v>
      </c>
      <c r="K27" s="26">
        <f t="shared" si="29"/>
        <v>81993.803895914796</v>
      </c>
      <c r="L27" s="26">
        <f t="shared" si="29"/>
        <v>81993.803895914796</v>
      </c>
      <c r="M27" s="26">
        <f t="shared" si="29"/>
        <v>81993.803895914796</v>
      </c>
      <c r="N27" s="26">
        <f t="shared" si="29"/>
        <v>81993.803895914796</v>
      </c>
      <c r="O27" s="26">
        <f t="shared" si="29"/>
        <v>81993.803895914796</v>
      </c>
      <c r="P27" s="26">
        <f t="shared" si="29"/>
        <v>81993.803895914796</v>
      </c>
      <c r="Q27" s="26">
        <f t="shared" si="29"/>
        <v>81993.803895914796</v>
      </c>
      <c r="R27" s="26">
        <f t="shared" si="29"/>
        <v>81993.803895914796</v>
      </c>
      <c r="S27" s="26">
        <f t="shared" si="29"/>
        <v>81993.803895914796</v>
      </c>
      <c r="T27" s="26">
        <f t="shared" si="29"/>
        <v>81993.803895914796</v>
      </c>
      <c r="U27" s="26">
        <f t="shared" si="29"/>
        <v>81993.803895914796</v>
      </c>
      <c r="V27" s="26">
        <f t="shared" si="29"/>
        <v>81993.803895914796</v>
      </c>
      <c r="W27" s="26">
        <f t="shared" si="29"/>
        <v>81993.803895914796</v>
      </c>
      <c r="X27" s="26">
        <f t="shared" si="29"/>
        <v>81993.803895914796</v>
      </c>
      <c r="Y27" s="26">
        <f t="shared" si="29"/>
        <v>81993.803895914796</v>
      </c>
      <c r="Z27" s="26">
        <f t="shared" si="29"/>
        <v>81993.803895914796</v>
      </c>
      <c r="AA27" s="26">
        <f t="shared" si="29"/>
        <v>81993.803895914796</v>
      </c>
      <c r="AB27" s="26">
        <f t="shared" si="29"/>
        <v>81993.803895914796</v>
      </c>
      <c r="AC27" s="26">
        <f t="shared" si="29"/>
        <v>81993.803895914796</v>
      </c>
      <c r="BI27" s="2">
        <v>54550.944276350572</v>
      </c>
    </row>
    <row r="28" spans="4:61" x14ac:dyDescent="0.2">
      <c r="D28" s="2" t="s">
        <v>192</v>
      </c>
      <c r="E28" s="26">
        <f>SUM(E25:E27)</f>
        <v>262318.91262502322</v>
      </c>
      <c r="F28" s="26">
        <f>SUM(F25:F27)</f>
        <v>262318.91262502322</v>
      </c>
      <c r="G28" s="26">
        <f t="shared" ref="G28:AC28" si="30">SUM(G25:G27)</f>
        <v>262318.91262502322</v>
      </c>
      <c r="H28" s="26">
        <f t="shared" si="30"/>
        <v>262318.91262502322</v>
      </c>
      <c r="I28" s="26">
        <f t="shared" si="30"/>
        <v>262318.91262502322</v>
      </c>
      <c r="J28" s="26">
        <f t="shared" si="30"/>
        <v>262318.91262502322</v>
      </c>
      <c r="K28" s="26">
        <f t="shared" si="30"/>
        <v>262318.91262502322</v>
      </c>
      <c r="L28" s="26">
        <f t="shared" si="30"/>
        <v>262318.91262502322</v>
      </c>
      <c r="M28" s="26">
        <f t="shared" si="30"/>
        <v>262318.91262502322</v>
      </c>
      <c r="N28" s="26">
        <f t="shared" si="30"/>
        <v>262318.91262502322</v>
      </c>
      <c r="O28" s="26">
        <f t="shared" si="30"/>
        <v>262318.91262502322</v>
      </c>
      <c r="P28" s="26">
        <f t="shared" si="30"/>
        <v>262318.91262502322</v>
      </c>
      <c r="Q28" s="26">
        <f t="shared" si="30"/>
        <v>262318.91262502322</v>
      </c>
      <c r="R28" s="26">
        <f t="shared" si="30"/>
        <v>262318.91262502322</v>
      </c>
      <c r="S28" s="26">
        <f t="shared" si="30"/>
        <v>262318.91262502322</v>
      </c>
      <c r="T28" s="26">
        <f t="shared" si="30"/>
        <v>262318.91262502322</v>
      </c>
      <c r="U28" s="26">
        <f t="shared" si="30"/>
        <v>262318.91262502322</v>
      </c>
      <c r="V28" s="26">
        <f t="shared" si="30"/>
        <v>262318.91262502322</v>
      </c>
      <c r="W28" s="26">
        <f t="shared" si="30"/>
        <v>262318.91262502322</v>
      </c>
      <c r="X28" s="26">
        <f t="shared" si="30"/>
        <v>262318.91262502322</v>
      </c>
      <c r="Y28" s="26">
        <f t="shared" si="30"/>
        <v>262318.91262502322</v>
      </c>
      <c r="Z28" s="26">
        <f t="shared" si="30"/>
        <v>262318.91262502322</v>
      </c>
      <c r="AA28" s="26">
        <f t="shared" si="30"/>
        <v>262318.91262502322</v>
      </c>
      <c r="AB28" s="26">
        <f t="shared" si="30"/>
        <v>262318.91262502322</v>
      </c>
      <c r="AC28" s="26">
        <f t="shared" si="30"/>
        <v>262318.91262502322</v>
      </c>
      <c r="BI28" s="2">
        <v>54922.836731564043</v>
      </c>
    </row>
    <row r="29" spans="4:61" x14ac:dyDescent="0.2">
      <c r="D29" s="2" t="s">
        <v>193</v>
      </c>
      <c r="E29" s="26">
        <f>E24-E28</f>
        <v>420393.85919774784</v>
      </c>
      <c r="F29" s="26">
        <f t="shared" ref="F29:AC29" si="31">F24-F28</f>
        <v>420393.85919774784</v>
      </c>
      <c r="G29" s="26">
        <f t="shared" si="31"/>
        <v>420393.85919774784</v>
      </c>
      <c r="H29" s="26">
        <f t="shared" si="31"/>
        <v>420393.85919774784</v>
      </c>
      <c r="I29" s="26">
        <f t="shared" si="31"/>
        <v>420393.85919774784</v>
      </c>
      <c r="J29" s="26">
        <f t="shared" si="31"/>
        <v>420393.85919774784</v>
      </c>
      <c r="K29" s="26">
        <f t="shared" si="31"/>
        <v>420393.85919774784</v>
      </c>
      <c r="L29" s="26">
        <f t="shared" si="31"/>
        <v>420393.85919774784</v>
      </c>
      <c r="M29" s="26">
        <f t="shared" si="31"/>
        <v>420393.85919774784</v>
      </c>
      <c r="N29" s="26">
        <f t="shared" si="31"/>
        <v>420393.85919774784</v>
      </c>
      <c r="O29" s="26">
        <f t="shared" si="31"/>
        <v>420393.85919774784</v>
      </c>
      <c r="P29" s="26">
        <f t="shared" si="31"/>
        <v>420393.85919774784</v>
      </c>
      <c r="Q29" s="26">
        <f t="shared" si="31"/>
        <v>420393.85919774784</v>
      </c>
      <c r="R29" s="26">
        <f t="shared" si="31"/>
        <v>420393.85919774784</v>
      </c>
      <c r="S29" s="26">
        <f t="shared" si="31"/>
        <v>420393.85919774784</v>
      </c>
      <c r="T29" s="26">
        <f t="shared" si="31"/>
        <v>420393.85919774784</v>
      </c>
      <c r="U29" s="26">
        <f t="shared" si="31"/>
        <v>420393.85919774784</v>
      </c>
      <c r="V29" s="26">
        <f t="shared" si="31"/>
        <v>420393.85919774784</v>
      </c>
      <c r="W29" s="26">
        <f t="shared" si="31"/>
        <v>420393.85919774784</v>
      </c>
      <c r="X29" s="26">
        <f t="shared" si="31"/>
        <v>420393.85919774784</v>
      </c>
      <c r="Y29" s="26">
        <f t="shared" si="31"/>
        <v>420393.85919774784</v>
      </c>
      <c r="Z29" s="26">
        <f t="shared" si="31"/>
        <v>420393.85919774784</v>
      </c>
      <c r="AA29" s="26">
        <f t="shared" si="31"/>
        <v>420393.85919774784</v>
      </c>
      <c r="AB29" s="26">
        <f t="shared" si="31"/>
        <v>420393.85919774784</v>
      </c>
      <c r="AC29" s="26">
        <f t="shared" si="31"/>
        <v>420393.85919774784</v>
      </c>
      <c r="BI29" s="2">
        <v>55297.704326419225</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55675.570862033237</v>
      </c>
    </row>
    <row r="31" spans="4:61" x14ac:dyDescent="0.2">
      <c r="D31" s="2" t="s">
        <v>196</v>
      </c>
      <c r="E31" s="26">
        <f>(E29/12)+E30</f>
        <v>38202.186168446358</v>
      </c>
      <c r="F31" s="26">
        <f t="shared" ref="F31:AC31" si="32">(F29/12)+F30</f>
        <v>38202.186168446358</v>
      </c>
      <c r="G31" s="26">
        <f t="shared" si="32"/>
        <v>38202.186168446358</v>
      </c>
      <c r="H31" s="26">
        <f t="shared" si="32"/>
        <v>38202.186168446358</v>
      </c>
      <c r="I31" s="26">
        <f t="shared" si="32"/>
        <v>38202.186168446358</v>
      </c>
      <c r="J31" s="26">
        <f t="shared" si="32"/>
        <v>38202.186168446358</v>
      </c>
      <c r="K31" s="26">
        <f t="shared" si="32"/>
        <v>38202.186168446358</v>
      </c>
      <c r="L31" s="26">
        <f t="shared" si="32"/>
        <v>38202.186168446358</v>
      </c>
      <c r="M31" s="26">
        <f t="shared" si="32"/>
        <v>38202.186168446358</v>
      </c>
      <c r="N31" s="26">
        <f t="shared" si="32"/>
        <v>38202.186168446358</v>
      </c>
      <c r="O31" s="26">
        <f t="shared" si="32"/>
        <v>38202.186168446358</v>
      </c>
      <c r="P31" s="26">
        <f t="shared" si="32"/>
        <v>38202.186168446358</v>
      </c>
      <c r="Q31" s="26">
        <f t="shared" si="32"/>
        <v>38202.186168446358</v>
      </c>
      <c r="R31" s="26">
        <f t="shared" si="32"/>
        <v>38202.186168446358</v>
      </c>
      <c r="S31" s="26">
        <f t="shared" si="32"/>
        <v>38202.186168446358</v>
      </c>
      <c r="T31" s="26">
        <f t="shared" si="32"/>
        <v>38202.186168446358</v>
      </c>
      <c r="U31" s="26">
        <f t="shared" si="32"/>
        <v>38202.186168446358</v>
      </c>
      <c r="V31" s="26">
        <f t="shared" si="32"/>
        <v>38202.186168446358</v>
      </c>
      <c r="W31" s="26">
        <f t="shared" si="32"/>
        <v>38202.186168446358</v>
      </c>
      <c r="X31" s="26">
        <f t="shared" si="32"/>
        <v>38202.186168446358</v>
      </c>
      <c r="Y31" s="26">
        <f t="shared" si="32"/>
        <v>38202.186168446358</v>
      </c>
      <c r="Z31" s="26">
        <f t="shared" si="32"/>
        <v>38202.186168446358</v>
      </c>
      <c r="AA31" s="26">
        <f t="shared" si="32"/>
        <v>38202.186168446358</v>
      </c>
      <c r="AB31" s="26">
        <f t="shared" si="32"/>
        <v>38202.186168446358</v>
      </c>
      <c r="AC31" s="26">
        <f t="shared" si="32"/>
        <v>38202.186168446358</v>
      </c>
      <c r="BI31" s="2">
        <v>56056.460329932168</v>
      </c>
    </row>
    <row r="32" spans="4:61" x14ac:dyDescent="0.2">
      <c r="D32" s="2" t="s">
        <v>274</v>
      </c>
      <c r="E32" s="26">
        <f>Income!$L$37</f>
        <v>46405.683902958357</v>
      </c>
      <c r="F32" s="26">
        <f>Income!$L$37</f>
        <v>46405.683902958357</v>
      </c>
      <c r="G32" s="26">
        <f>Income!$L$37</f>
        <v>46405.683902958357</v>
      </c>
      <c r="H32" s="26">
        <f>Income!$L$37</f>
        <v>46405.683902958357</v>
      </c>
      <c r="I32" s="26">
        <f>Income!$L$37</f>
        <v>46405.683902958357</v>
      </c>
      <c r="J32" s="26">
        <f>Income!$L$37</f>
        <v>46405.683902958357</v>
      </c>
      <c r="K32" s="26">
        <f>Income!$L$37</f>
        <v>46405.683902958357</v>
      </c>
      <c r="L32" s="26">
        <f>Income!$L$37</f>
        <v>46405.683902958357</v>
      </c>
      <c r="M32" s="26">
        <f>Income!$L$37</f>
        <v>46405.683902958357</v>
      </c>
      <c r="N32" s="26">
        <f>Income!$L$37</f>
        <v>46405.683902958357</v>
      </c>
      <c r="O32" s="26">
        <f>Income!$L$37</f>
        <v>46405.683902958357</v>
      </c>
      <c r="P32" s="26">
        <f>Income!$L$37</f>
        <v>46405.683902958357</v>
      </c>
      <c r="Q32" s="26">
        <f>Income!$L$37</f>
        <v>46405.683902958357</v>
      </c>
      <c r="R32" s="26">
        <f>Income!$L$37</f>
        <v>46405.683902958357</v>
      </c>
      <c r="S32" s="26">
        <f>Income!$L$37</f>
        <v>46405.683902958357</v>
      </c>
      <c r="T32" s="26">
        <f>Income!$L$37</f>
        <v>46405.683902958357</v>
      </c>
      <c r="U32" s="26">
        <f>Income!$L$37</f>
        <v>46405.683902958357</v>
      </c>
      <c r="V32" s="26">
        <f>Income!$L$37</f>
        <v>46405.683902958357</v>
      </c>
      <c r="W32" s="26">
        <f>Income!$L$37</f>
        <v>46405.683902958357</v>
      </c>
      <c r="X32" s="26">
        <f>Income!$L$37</f>
        <v>46405.683902958357</v>
      </c>
      <c r="Y32" s="26">
        <f>Income!$L$37</f>
        <v>46405.683902958357</v>
      </c>
      <c r="Z32" s="26">
        <f>Income!$L$37</f>
        <v>46405.683902958357</v>
      </c>
      <c r="AA32" s="26">
        <f>Income!$L$37</f>
        <v>46405.683902958357</v>
      </c>
      <c r="AB32" s="26">
        <f>Income!$L$37</f>
        <v>46405.683902958357</v>
      </c>
      <c r="AC32" s="26">
        <f>Income!$L$37</f>
        <v>46405.683902958357</v>
      </c>
      <c r="BI32" s="2">
        <v>56440.396913574288</v>
      </c>
    </row>
    <row r="33" spans="4:61" x14ac:dyDescent="0.2">
      <c r="D33" s="2" t="s">
        <v>204</v>
      </c>
      <c r="E33" s="26">
        <f>E32-E31</f>
        <v>8203.4977345119987</v>
      </c>
      <c r="F33" s="26">
        <f t="shared" ref="F33:AC33" si="33">F32-F31</f>
        <v>8203.4977345119987</v>
      </c>
      <c r="G33" s="26">
        <f t="shared" si="33"/>
        <v>8203.4977345119987</v>
      </c>
      <c r="H33" s="26">
        <f t="shared" si="33"/>
        <v>8203.4977345119987</v>
      </c>
      <c r="I33" s="26">
        <f t="shared" si="33"/>
        <v>8203.4977345119987</v>
      </c>
      <c r="J33" s="26">
        <f t="shared" si="33"/>
        <v>8203.4977345119987</v>
      </c>
      <c r="K33" s="26">
        <f t="shared" si="33"/>
        <v>8203.4977345119987</v>
      </c>
      <c r="L33" s="26">
        <f t="shared" si="33"/>
        <v>8203.4977345119987</v>
      </c>
      <c r="M33" s="26">
        <f t="shared" si="33"/>
        <v>8203.4977345119987</v>
      </c>
      <c r="N33" s="26">
        <f t="shared" si="33"/>
        <v>8203.4977345119987</v>
      </c>
      <c r="O33" s="26">
        <f t="shared" si="33"/>
        <v>8203.4977345119987</v>
      </c>
      <c r="P33" s="26">
        <f t="shared" si="33"/>
        <v>8203.4977345119987</v>
      </c>
      <c r="Q33" s="26">
        <f t="shared" si="33"/>
        <v>8203.4977345119987</v>
      </c>
      <c r="R33" s="26">
        <f t="shared" si="33"/>
        <v>8203.4977345119987</v>
      </c>
      <c r="S33" s="26">
        <f t="shared" si="33"/>
        <v>8203.4977345119987</v>
      </c>
      <c r="T33" s="26">
        <f t="shared" si="33"/>
        <v>8203.4977345119987</v>
      </c>
      <c r="U33" s="26">
        <f t="shared" si="33"/>
        <v>8203.4977345119987</v>
      </c>
      <c r="V33" s="26">
        <f t="shared" si="33"/>
        <v>8203.4977345119987</v>
      </c>
      <c r="W33" s="26">
        <f t="shared" si="33"/>
        <v>8203.4977345119987</v>
      </c>
      <c r="X33" s="26">
        <f t="shared" si="33"/>
        <v>8203.4977345119987</v>
      </c>
      <c r="Y33" s="26">
        <f t="shared" si="33"/>
        <v>8203.4977345119987</v>
      </c>
      <c r="Z33" s="26">
        <f t="shared" si="33"/>
        <v>8203.4977345119987</v>
      </c>
      <c r="AA33" s="26">
        <f t="shared" si="33"/>
        <v>8203.4977345119987</v>
      </c>
      <c r="AB33" s="26">
        <f t="shared" si="33"/>
        <v>8203.4977345119987</v>
      </c>
      <c r="AC33" s="26">
        <f t="shared" si="33"/>
        <v>8203.4977345119987</v>
      </c>
      <c r="BI33" s="2">
        <v>56827.404989885552</v>
      </c>
    </row>
    <row r="34" spans="4:61" x14ac:dyDescent="0.2">
      <c r="D34" s="2" t="s">
        <v>264</v>
      </c>
      <c r="E34" s="26">
        <f>E33*(1+$B$10)</f>
        <v>10418.442122830238</v>
      </c>
      <c r="F34" s="26">
        <f t="shared" ref="F34:AC34" si="34">F33*(1+$B$10)</f>
        <v>10418.442122830238</v>
      </c>
      <c r="G34" s="26">
        <f t="shared" si="34"/>
        <v>10418.442122830238</v>
      </c>
      <c r="H34" s="26">
        <f t="shared" si="34"/>
        <v>10418.442122830238</v>
      </c>
      <c r="I34" s="26">
        <f t="shared" si="34"/>
        <v>10418.442122830238</v>
      </c>
      <c r="J34" s="26">
        <f t="shared" si="34"/>
        <v>10418.442122830238</v>
      </c>
      <c r="K34" s="26">
        <f t="shared" si="34"/>
        <v>10418.442122830238</v>
      </c>
      <c r="L34" s="26">
        <f t="shared" si="34"/>
        <v>10418.442122830238</v>
      </c>
      <c r="M34" s="26">
        <f t="shared" si="34"/>
        <v>10418.442122830238</v>
      </c>
      <c r="N34" s="26">
        <f t="shared" si="34"/>
        <v>10418.442122830238</v>
      </c>
      <c r="O34" s="26">
        <f t="shared" si="34"/>
        <v>10418.442122830238</v>
      </c>
      <c r="P34" s="26">
        <f t="shared" si="34"/>
        <v>10418.442122830238</v>
      </c>
      <c r="Q34" s="26">
        <f t="shared" si="34"/>
        <v>10418.442122830238</v>
      </c>
      <c r="R34" s="26">
        <f t="shared" si="34"/>
        <v>10418.442122830238</v>
      </c>
      <c r="S34" s="26">
        <f t="shared" si="34"/>
        <v>10418.442122830238</v>
      </c>
      <c r="T34" s="26">
        <f t="shared" si="34"/>
        <v>10418.442122830238</v>
      </c>
      <c r="U34" s="26">
        <f t="shared" si="34"/>
        <v>10418.442122830238</v>
      </c>
      <c r="V34" s="26">
        <f t="shared" si="34"/>
        <v>10418.442122830238</v>
      </c>
      <c r="W34" s="26">
        <f t="shared" si="34"/>
        <v>10418.442122830238</v>
      </c>
      <c r="X34" s="26">
        <f t="shared" si="34"/>
        <v>10418.442122830238</v>
      </c>
      <c r="Y34" s="26">
        <f t="shared" si="34"/>
        <v>10418.442122830238</v>
      </c>
      <c r="Z34" s="26">
        <f t="shared" si="34"/>
        <v>10418.442122830238</v>
      </c>
      <c r="AA34" s="26">
        <f t="shared" si="34"/>
        <v>10418.442122830238</v>
      </c>
      <c r="AB34" s="26">
        <f t="shared" si="34"/>
        <v>10418.442122830238</v>
      </c>
      <c r="AC34" s="26">
        <f t="shared" si="34"/>
        <v>10418.442122830238</v>
      </c>
      <c r="BI34" s="2">
        <v>57217.50913080731</v>
      </c>
    </row>
    <row r="35" spans="4:61" x14ac:dyDescent="0.2">
      <c r="D35" s="2" t="s">
        <v>265</v>
      </c>
      <c r="E35" s="26">
        <f>E34*12</f>
        <v>125021.30547396286</v>
      </c>
      <c r="F35" s="26">
        <f t="shared" ref="F35:AC35" si="35">F34*12</f>
        <v>125021.30547396286</v>
      </c>
      <c r="G35" s="26">
        <f t="shared" si="35"/>
        <v>125021.30547396286</v>
      </c>
      <c r="H35" s="26">
        <f t="shared" si="35"/>
        <v>125021.30547396286</v>
      </c>
      <c r="I35" s="26">
        <f t="shared" si="35"/>
        <v>125021.30547396286</v>
      </c>
      <c r="J35" s="26">
        <f t="shared" si="35"/>
        <v>125021.30547396286</v>
      </c>
      <c r="K35" s="26">
        <f t="shared" si="35"/>
        <v>125021.30547396286</v>
      </c>
      <c r="L35" s="26">
        <f t="shared" si="35"/>
        <v>125021.30547396286</v>
      </c>
      <c r="M35" s="26">
        <f t="shared" si="35"/>
        <v>125021.30547396286</v>
      </c>
      <c r="N35" s="26">
        <f t="shared" si="35"/>
        <v>125021.30547396286</v>
      </c>
      <c r="O35" s="26">
        <f t="shared" si="35"/>
        <v>125021.30547396286</v>
      </c>
      <c r="P35" s="26">
        <f t="shared" si="35"/>
        <v>125021.30547396286</v>
      </c>
      <c r="Q35" s="26">
        <f t="shared" si="35"/>
        <v>125021.30547396286</v>
      </c>
      <c r="R35" s="26">
        <f t="shared" si="35"/>
        <v>125021.30547396286</v>
      </c>
      <c r="S35" s="26">
        <f t="shared" si="35"/>
        <v>125021.30547396286</v>
      </c>
      <c r="T35" s="26">
        <f t="shared" si="35"/>
        <v>125021.30547396286</v>
      </c>
      <c r="U35" s="26">
        <f t="shared" si="35"/>
        <v>125021.30547396286</v>
      </c>
      <c r="V35" s="26">
        <f t="shared" si="35"/>
        <v>125021.30547396286</v>
      </c>
      <c r="W35" s="26">
        <f t="shared" si="35"/>
        <v>125021.30547396286</v>
      </c>
      <c r="X35" s="26">
        <f t="shared" si="35"/>
        <v>125021.30547396286</v>
      </c>
      <c r="Y35" s="26">
        <f t="shared" si="35"/>
        <v>125021.30547396286</v>
      </c>
      <c r="Z35" s="26">
        <f t="shared" si="35"/>
        <v>125021.30547396286</v>
      </c>
      <c r="AA35" s="26">
        <f t="shared" si="35"/>
        <v>125021.30547396286</v>
      </c>
      <c r="AB35" s="26">
        <f t="shared" si="35"/>
        <v>125021.30547396286</v>
      </c>
      <c r="AC35" s="26">
        <f t="shared" si="35"/>
        <v>125021.30547396286</v>
      </c>
      <c r="BI35" s="2">
        <v>57610.734104856441</v>
      </c>
    </row>
    <row r="36" spans="4:61" x14ac:dyDescent="0.2">
      <c r="BI36" s="2">
        <v>58007.104878697952</v>
      </c>
    </row>
    <row r="37" spans="4:61" x14ac:dyDescent="0.2">
      <c r="D37" s="2" t="s">
        <v>205</v>
      </c>
      <c r="E37" s="27">
        <f>SUM(E35:AC35)</f>
        <v>3125532.6368490704</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2.2000000000000002E-2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43336.594911937376</v>
      </c>
      <c r="F2" s="29">
        <v>43683.287671232873</v>
      </c>
      <c r="G2" s="29">
        <v>45692.718904109584</v>
      </c>
      <c r="H2" s="29">
        <v>46058.260655342463</v>
      </c>
      <c r="I2" s="29">
        <v>46426.726740585204</v>
      </c>
      <c r="J2" s="29">
        <v>46798.140554509882</v>
      </c>
      <c r="K2" s="29">
        <v>48950.855020017334</v>
      </c>
      <c r="L2" s="29">
        <v>49342.461860177471</v>
      </c>
      <c r="M2" s="29">
        <v>49737.201555058891</v>
      </c>
      <c r="N2" s="29">
        <v>50135.099167499364</v>
      </c>
      <c r="O2" s="29">
        <v>52441.313729204332</v>
      </c>
      <c r="P2" s="29">
        <v>52860.844239037964</v>
      </c>
      <c r="Q2" s="29">
        <v>53283.730992950266</v>
      </c>
      <c r="R2" s="29">
        <v>55734.782618625977</v>
      </c>
      <c r="S2" s="29">
        <v>56180.660879574985</v>
      </c>
      <c r="T2" s="29">
        <v>56630.106166611586</v>
      </c>
      <c r="U2" s="29">
        <v>57083.14701594448</v>
      </c>
      <c r="V2" s="29">
        <v>57539.812192072037</v>
      </c>
      <c r="W2" s="29">
        <v>60186.643552907357</v>
      </c>
      <c r="X2" s="29">
        <v>60668.136701330615</v>
      </c>
      <c r="Y2" s="29">
        <v>61153.481794941261</v>
      </c>
      <c r="Z2" s="29">
        <v>61642.709649300792</v>
      </c>
      <c r="AA2" s="29">
        <v>64478.27429316863</v>
      </c>
      <c r="AB2" s="29">
        <v>64994.100487513977</v>
      </c>
      <c r="AC2" s="29">
        <v>65514.053291414086</v>
      </c>
      <c r="AD2" s="29">
        <v>66038.165717745404</v>
      </c>
      <c r="AE2" s="29">
        <v>66566.47104348737</v>
      </c>
      <c r="AF2" s="29">
        <v>67099.002811835264</v>
      </c>
      <c r="AG2" s="29">
        <v>67635.79483432995</v>
      </c>
      <c r="AH2" s="29">
        <v>68176.881193004592</v>
      </c>
      <c r="AI2" s="29">
        <v>68722.296242548633</v>
      </c>
      <c r="AJ2" s="29">
        <v>69272.074612489028</v>
      </c>
      <c r="AK2" s="29">
        <v>69826.251209388938</v>
      </c>
      <c r="AL2" s="29">
        <v>70384.861219064056</v>
      </c>
      <c r="AM2" s="29">
        <v>70947.940108816576</v>
      </c>
      <c r="AN2" s="29">
        <v>74211.545353822148</v>
      </c>
      <c r="AO2" s="29">
        <v>74805.237716652729</v>
      </c>
      <c r="AP2" s="29">
        <v>75403.679618385955</v>
      </c>
      <c r="AQ2" s="29">
        <v>76006.909055333046</v>
      </c>
      <c r="AR2" s="29">
        <v>76614.964327775713</v>
      </c>
      <c r="AS2" s="29">
        <v>77227.884042397913</v>
      </c>
      <c r="AT2" s="29">
        <v>77845.707114737103</v>
      </c>
      <c r="AU2" s="29">
        <v>78468.472771654997</v>
      </c>
      <c r="AV2" s="29">
        <v>79096.220553828243</v>
      </c>
      <c r="AW2" s="29">
        <v>79728.990318258875</v>
      </c>
      <c r="AX2" s="2">
        <v>80366.822240804948</v>
      </c>
      <c r="AY2" s="2">
        <v>81009.756818731388</v>
      </c>
      <c r="AZ2" s="2">
        <v>81657.834873281245</v>
      </c>
      <c r="BA2" s="2">
        <v>82311.0975522675</v>
      </c>
      <c r="BB2" s="2">
        <v>82969.586332685634</v>
      </c>
      <c r="BH2" s="2" t="s">
        <v>206</v>
      </c>
      <c r="BI2" s="2" cm="1">
        <f t="array" ref="BI2:BI52">TRANSPOSE(E17:BC17)</f>
        <v>23533.933646682326</v>
      </c>
    </row>
    <row r="3" spans="1:61" x14ac:dyDescent="0.2">
      <c r="D3" s="2" t="s">
        <v>186</v>
      </c>
      <c r="E3" s="29">
        <f>E2*12</f>
        <v>520039.13894324854</v>
      </c>
      <c r="F3" s="29">
        <f t="shared" ref="F3:AV3" si="0">F2*12</f>
        <v>524199.45205479447</v>
      </c>
      <c r="G3" s="29">
        <f t="shared" si="0"/>
        <v>548312.62684931501</v>
      </c>
      <c r="H3" s="29">
        <f t="shared" si="0"/>
        <v>552699.12786410959</v>
      </c>
      <c r="I3" s="29">
        <f t="shared" si="0"/>
        <v>557120.72088702244</v>
      </c>
      <c r="J3" s="29">
        <f t="shared" si="0"/>
        <v>561577.68665411859</v>
      </c>
      <c r="K3" s="29">
        <f t="shared" si="0"/>
        <v>587410.26024020801</v>
      </c>
      <c r="L3" s="29">
        <f t="shared" si="0"/>
        <v>592109.54232212971</v>
      </c>
      <c r="M3" s="29">
        <f t="shared" si="0"/>
        <v>596846.41866070672</v>
      </c>
      <c r="N3" s="29">
        <f t="shared" si="0"/>
        <v>601621.19000999234</v>
      </c>
      <c r="O3" s="29">
        <f t="shared" si="0"/>
        <v>629295.76475045201</v>
      </c>
      <c r="P3" s="29">
        <f t="shared" si="0"/>
        <v>634330.13086845563</v>
      </c>
      <c r="Q3" s="29">
        <f t="shared" si="0"/>
        <v>639404.77191540319</v>
      </c>
      <c r="R3" s="29">
        <f t="shared" si="0"/>
        <v>668817.39142351178</v>
      </c>
      <c r="S3" s="29">
        <f t="shared" si="0"/>
        <v>674167.93055489985</v>
      </c>
      <c r="T3" s="29">
        <f t="shared" si="0"/>
        <v>679561.27399933897</v>
      </c>
      <c r="U3" s="29">
        <f t="shared" si="0"/>
        <v>684997.76419133379</v>
      </c>
      <c r="V3" s="29">
        <f t="shared" si="0"/>
        <v>690477.74630486441</v>
      </c>
      <c r="W3" s="29">
        <f t="shared" si="0"/>
        <v>722239.72263488825</v>
      </c>
      <c r="X3" s="29">
        <f t="shared" si="0"/>
        <v>728017.64041596744</v>
      </c>
      <c r="Y3" s="29">
        <f t="shared" si="0"/>
        <v>733841.7815392951</v>
      </c>
      <c r="Z3" s="29">
        <f t="shared" si="0"/>
        <v>739712.51579160953</v>
      </c>
      <c r="AA3" s="29">
        <f t="shared" si="0"/>
        <v>773739.29151802359</v>
      </c>
      <c r="AB3" s="29">
        <f t="shared" si="0"/>
        <v>779929.20585016767</v>
      </c>
      <c r="AC3" s="29">
        <f t="shared" si="0"/>
        <v>786168.63949696906</v>
      </c>
      <c r="AD3" s="29">
        <f t="shared" si="0"/>
        <v>792457.98861294484</v>
      </c>
      <c r="AE3" s="29">
        <f t="shared" si="0"/>
        <v>798797.65252184845</v>
      </c>
      <c r="AF3" s="29">
        <f t="shared" si="0"/>
        <v>805188.03374202317</v>
      </c>
      <c r="AG3" s="29">
        <f t="shared" si="0"/>
        <v>811629.5380119594</v>
      </c>
      <c r="AH3" s="29">
        <f t="shared" si="0"/>
        <v>818122.57431605505</v>
      </c>
      <c r="AI3" s="29">
        <f t="shared" si="0"/>
        <v>824667.55491058365</v>
      </c>
      <c r="AJ3" s="29">
        <f t="shared" si="0"/>
        <v>831264.89534986834</v>
      </c>
      <c r="AK3" s="29">
        <f t="shared" si="0"/>
        <v>837915.0145126672</v>
      </c>
      <c r="AL3" s="29">
        <f t="shared" si="0"/>
        <v>844618.33462876873</v>
      </c>
      <c r="AM3" s="29">
        <f t="shared" si="0"/>
        <v>851375.28130579891</v>
      </c>
      <c r="AN3" s="29">
        <f t="shared" si="0"/>
        <v>890538.54424586578</v>
      </c>
      <c r="AO3" s="29">
        <f t="shared" si="0"/>
        <v>897662.85259983269</v>
      </c>
      <c r="AP3" s="29">
        <f t="shared" si="0"/>
        <v>904844.1554206314</v>
      </c>
      <c r="AQ3" s="29">
        <f t="shared" si="0"/>
        <v>912082.9086639965</v>
      </c>
      <c r="AR3" s="29">
        <f t="shared" si="0"/>
        <v>919379.57193330862</v>
      </c>
      <c r="AS3" s="29">
        <f t="shared" si="0"/>
        <v>926734.60850877501</v>
      </c>
      <c r="AT3" s="29">
        <f t="shared" si="0"/>
        <v>934148.48537684523</v>
      </c>
      <c r="AU3" s="29">
        <f t="shared" si="0"/>
        <v>941621.6732598599</v>
      </c>
      <c r="AV3" s="29">
        <f t="shared" si="0"/>
        <v>949154.64664593898</v>
      </c>
      <c r="AW3" s="29">
        <f t="shared" ref="AW3:BB3" si="1">AW2*12</f>
        <v>956747.8838191065</v>
      </c>
      <c r="AX3" s="29">
        <f t="shared" si="1"/>
        <v>964401.86688965932</v>
      </c>
      <c r="AY3" s="29">
        <f t="shared" si="1"/>
        <v>972117.08182477672</v>
      </c>
      <c r="AZ3" s="29">
        <f t="shared" si="1"/>
        <v>979894.01847937494</v>
      </c>
      <c r="BA3" s="29">
        <f t="shared" si="1"/>
        <v>987733.17062721006</v>
      </c>
      <c r="BB3" s="29">
        <f t="shared" si="1"/>
        <v>995635.03599222761</v>
      </c>
      <c r="BI3" s="2">
        <v>23724.799312858446</v>
      </c>
    </row>
    <row r="4" spans="1:61" x14ac:dyDescent="0.2">
      <c r="A4" s="2" t="str" cm="1">
        <f t="array" ref="A4:B12">'Salary Variables'!$B$16:$C$24</f>
        <v>AM (%)</v>
      </c>
      <c r="B4" s="25">
        <v>0.08</v>
      </c>
      <c r="D4" s="2" t="s">
        <v>277</v>
      </c>
      <c r="E4" s="29">
        <f>'Pensions P1'!B4*12</f>
        <v>26001.956947162427</v>
      </c>
      <c r="F4" s="29">
        <f>'Pensions P1'!C4*12</f>
        <v>26209.972602739726</v>
      </c>
      <c r="G4" s="29">
        <f>'Pensions P1'!D4*12</f>
        <v>27415.631342465753</v>
      </c>
      <c r="H4" s="29">
        <f>'Pensions P1'!E4*12</f>
        <v>27634.956393205481</v>
      </c>
      <c r="I4" s="29">
        <f>'Pensions P1'!F4*12</f>
        <v>27856.036044351124</v>
      </c>
      <c r="J4" s="29">
        <f>'Pensions P1'!G4*12</f>
        <v>28078.884332705929</v>
      </c>
      <c r="K4" s="29">
        <f>'Pensions P1'!H4*12</f>
        <v>29370.5130120104</v>
      </c>
      <c r="L4" s="29">
        <f>'Pensions P1'!I4*12</f>
        <v>29605.477116106485</v>
      </c>
      <c r="M4" s="29">
        <f>'Pensions P1'!J4*12</f>
        <v>29842.320933035335</v>
      </c>
      <c r="N4" s="29">
        <f>'Pensions P1'!K4*12</f>
        <v>30081.059500499621</v>
      </c>
      <c r="O4" s="29">
        <f>'Pensions P1'!L4*12</f>
        <v>31464.788237522604</v>
      </c>
      <c r="P4" s="29">
        <f>'Pensions P1'!M4*12</f>
        <v>31716.50654342278</v>
      </c>
      <c r="Q4" s="29">
        <f>'Pensions P1'!N4*12</f>
        <v>31970.238595770163</v>
      </c>
      <c r="R4" s="29">
        <f>'Pensions P1'!O4*12</f>
        <v>33440.869571175586</v>
      </c>
      <c r="S4" s="29">
        <f>'Pensions P1'!P4*12</f>
        <v>33708.39652774499</v>
      </c>
      <c r="T4" s="29">
        <f>'Pensions P1'!Q4*12</f>
        <v>33978.063699966951</v>
      </c>
      <c r="U4" s="29">
        <f>'Pensions P1'!R4*12</f>
        <v>34249.888209566692</v>
      </c>
      <c r="V4" s="29">
        <f>'Pensions P1'!S4*12</f>
        <v>34523.887315243221</v>
      </c>
      <c r="W4" s="29">
        <f>'Pensions P1'!T4*12</f>
        <v>36111.986131744416</v>
      </c>
      <c r="X4" s="29">
        <f>'Pensions P1'!U4*12</f>
        <v>36400.882020798374</v>
      </c>
      <c r="Y4" s="29">
        <f>'Pensions P1'!V4*12</f>
        <v>36692.089076964759</v>
      </c>
      <c r="Z4" s="29">
        <f>'Pensions P1'!W4*12</f>
        <v>36985.625789580474</v>
      </c>
      <c r="AA4" s="29">
        <f>'Pensions P1'!X4*12</f>
        <v>38686.964575901176</v>
      </c>
      <c r="AB4" s="29">
        <f>'Pensions P1'!Y4*12</f>
        <v>38996.460292508389</v>
      </c>
      <c r="AC4" s="29">
        <f>'Pensions P1'!Z4*12</f>
        <v>39308.431974848456</v>
      </c>
      <c r="AD4" s="29">
        <f>'Pensions P1'!AA4*12</f>
        <v>39622.899430647245</v>
      </c>
      <c r="AE4" s="29">
        <f>'Pensions P1'!AB4*12</f>
        <v>39939.882626092425</v>
      </c>
      <c r="AF4" s="29">
        <f>'Pensions P1'!AC4*12</f>
        <v>40259.401687101163</v>
      </c>
      <c r="AG4" s="29">
        <f>'Pensions P1'!AD4*12</f>
        <v>40581.476900597976</v>
      </c>
      <c r="AH4" s="29">
        <f>'Pensions P1'!AE4*12</f>
        <v>40906.128715802755</v>
      </c>
      <c r="AI4" s="29">
        <f>'Pensions P1'!AF4*12</f>
        <v>41233.377745529186</v>
      </c>
      <c r="AJ4" s="29">
        <f>'Pensions P1'!AG4*12</f>
        <v>41563.244767493423</v>
      </c>
      <c r="AK4" s="29">
        <f>'Pensions P1'!AH4*12</f>
        <v>41895.750725633363</v>
      </c>
      <c r="AL4" s="29">
        <f>'Pensions P1'!AI4*12</f>
        <v>42230.916731438439</v>
      </c>
      <c r="AM4" s="29">
        <f>'Pensions P1'!AJ4*12</f>
        <v>42568.76406528995</v>
      </c>
      <c r="AN4" s="29">
        <f>'Pensions P1'!AK4*12</f>
        <v>44526.927212293289</v>
      </c>
      <c r="AO4" s="29">
        <f>'Pensions P1'!AL4*12</f>
        <v>44883.142629991642</v>
      </c>
      <c r="AP4" s="29">
        <f>'Pensions P1'!AM4*12</f>
        <v>45242.207771031579</v>
      </c>
      <c r="AQ4" s="29">
        <f>'Pensions P1'!AN4*12</f>
        <v>45604.145433199832</v>
      </c>
      <c r="AR4" s="29">
        <f>'Pensions P1'!AO4*12</f>
        <v>45968.978596665431</v>
      </c>
      <c r="AS4" s="29">
        <f>'Pensions P1'!AP4*12</f>
        <v>46336.730425438749</v>
      </c>
      <c r="AT4" s="29">
        <f>'Pensions P1'!AQ4*12</f>
        <v>46707.424268842267</v>
      </c>
      <c r="AU4" s="29">
        <f>'Pensions P1'!AR4*12</f>
        <v>47081.083662992998</v>
      </c>
      <c r="AV4" s="29">
        <f>'Pensions P1'!AS4*12</f>
        <v>47457.732332296946</v>
      </c>
      <c r="AW4" s="29">
        <f>'Pensions P1'!AT4*12</f>
        <v>47837.394190955325</v>
      </c>
      <c r="AX4" s="29">
        <f>'Pensions P1'!AU4*12</f>
        <v>48220.093344482972</v>
      </c>
      <c r="AY4" s="29">
        <f>'Pensions P1'!AV4*12</f>
        <v>48605.854091238834</v>
      </c>
      <c r="AZ4" s="29">
        <f>'Pensions P1'!AW4*12</f>
        <v>48994.700923968747</v>
      </c>
      <c r="BA4" s="29">
        <f>'Pensions P1'!AX4*12</f>
        <v>49386.658531360503</v>
      </c>
      <c r="BB4" s="29">
        <f>'Pensions P1'!AY4*12</f>
        <v>49781.751799611375</v>
      </c>
      <c r="BI4" s="2">
        <v>24831.056714015267</v>
      </c>
    </row>
    <row r="5" spans="1:61" x14ac:dyDescent="0.2">
      <c r="A5" s="2" t="str">
        <v>Personal Allowance</v>
      </c>
      <c r="B5" s="28">
        <v>51600</v>
      </c>
      <c r="D5" s="2" t="s">
        <v>187</v>
      </c>
      <c r="E5" s="29">
        <f>E3-E4</f>
        <v>494037.18199608615</v>
      </c>
      <c r="F5" s="29">
        <f t="shared" ref="F5:AW5" si="2">F3-F4</f>
        <v>497989.47945205471</v>
      </c>
      <c r="G5" s="29">
        <f t="shared" si="2"/>
        <v>520896.99550684926</v>
      </c>
      <c r="H5" s="29">
        <f t="shared" si="2"/>
        <v>525064.17147090414</v>
      </c>
      <c r="I5" s="29">
        <f t="shared" si="2"/>
        <v>529264.68484267127</v>
      </c>
      <c r="J5" s="29">
        <f t="shared" si="2"/>
        <v>533498.8023214126</v>
      </c>
      <c r="K5" s="29">
        <f t="shared" si="2"/>
        <v>558039.74722819764</v>
      </c>
      <c r="L5" s="29">
        <f t="shared" si="2"/>
        <v>562504.06520602317</v>
      </c>
      <c r="M5" s="29">
        <f t="shared" si="2"/>
        <v>567004.09772767138</v>
      </c>
      <c r="N5" s="29">
        <f t="shared" si="2"/>
        <v>571540.13050949271</v>
      </c>
      <c r="O5" s="29">
        <f t="shared" si="2"/>
        <v>597830.97651292942</v>
      </c>
      <c r="P5" s="29">
        <f t="shared" si="2"/>
        <v>602613.62432503281</v>
      </c>
      <c r="Q5" s="29">
        <f t="shared" si="2"/>
        <v>607434.53331963299</v>
      </c>
      <c r="R5" s="29">
        <f t="shared" si="2"/>
        <v>635376.52185233624</v>
      </c>
      <c r="S5" s="29">
        <f t="shared" si="2"/>
        <v>640459.53402715491</v>
      </c>
      <c r="T5" s="29">
        <f t="shared" si="2"/>
        <v>645583.21029937197</v>
      </c>
      <c r="U5" s="29">
        <f t="shared" si="2"/>
        <v>650747.87598176708</v>
      </c>
      <c r="V5" s="29">
        <f t="shared" si="2"/>
        <v>655953.85898962116</v>
      </c>
      <c r="W5" s="29">
        <f t="shared" si="2"/>
        <v>686127.73650314379</v>
      </c>
      <c r="X5" s="29">
        <f t="shared" si="2"/>
        <v>691616.75839516905</v>
      </c>
      <c r="Y5" s="29">
        <f t="shared" si="2"/>
        <v>697149.69246233033</v>
      </c>
      <c r="Z5" s="29">
        <f t="shared" si="2"/>
        <v>702726.89000202902</v>
      </c>
      <c r="AA5" s="29">
        <f t="shared" si="2"/>
        <v>735052.32694212242</v>
      </c>
      <c r="AB5" s="29">
        <f t="shared" si="2"/>
        <v>740932.74555765931</v>
      </c>
      <c r="AC5" s="29">
        <f t="shared" si="2"/>
        <v>746860.20752212056</v>
      </c>
      <c r="AD5" s="29">
        <f t="shared" si="2"/>
        <v>752835.08918229758</v>
      </c>
      <c r="AE5" s="29">
        <f t="shared" si="2"/>
        <v>758857.76989575604</v>
      </c>
      <c r="AF5" s="29">
        <f t="shared" si="2"/>
        <v>764928.63205492205</v>
      </c>
      <c r="AG5" s="29">
        <f t="shared" si="2"/>
        <v>771048.06111136149</v>
      </c>
      <c r="AH5" s="29">
        <f t="shared" si="2"/>
        <v>777216.44560025225</v>
      </c>
      <c r="AI5" s="29">
        <f t="shared" si="2"/>
        <v>783434.17716505448</v>
      </c>
      <c r="AJ5" s="29">
        <f t="shared" si="2"/>
        <v>789701.65058237489</v>
      </c>
      <c r="AK5" s="29">
        <f t="shared" si="2"/>
        <v>796019.26378703385</v>
      </c>
      <c r="AL5" s="29">
        <f t="shared" si="2"/>
        <v>802387.41789733025</v>
      </c>
      <c r="AM5" s="29">
        <f t="shared" si="2"/>
        <v>808806.51724050893</v>
      </c>
      <c r="AN5" s="29">
        <f t="shared" si="2"/>
        <v>846011.61703357252</v>
      </c>
      <c r="AO5" s="29">
        <f t="shared" si="2"/>
        <v>852779.70996984106</v>
      </c>
      <c r="AP5" s="29">
        <f t="shared" si="2"/>
        <v>859601.94764959987</v>
      </c>
      <c r="AQ5" s="29">
        <f t="shared" si="2"/>
        <v>866478.76323079667</v>
      </c>
      <c r="AR5" s="29">
        <f t="shared" si="2"/>
        <v>873410.59333664319</v>
      </c>
      <c r="AS5" s="29">
        <f t="shared" si="2"/>
        <v>880397.87808333628</v>
      </c>
      <c r="AT5" s="29">
        <f t="shared" si="2"/>
        <v>887441.0611080029</v>
      </c>
      <c r="AU5" s="29">
        <f t="shared" si="2"/>
        <v>894540.58959686686</v>
      </c>
      <c r="AV5" s="29">
        <f t="shared" si="2"/>
        <v>901696.91431364208</v>
      </c>
      <c r="AW5" s="29">
        <f t="shared" si="2"/>
        <v>908910.48962815118</v>
      </c>
      <c r="AX5" s="29">
        <f t="shared" ref="AX5:BB5" si="3">AX3-AX4</f>
        <v>916181.77354517637</v>
      </c>
      <c r="AY5" s="29">
        <f t="shared" si="3"/>
        <v>923511.2277335379</v>
      </c>
      <c r="AZ5" s="29">
        <f t="shared" si="3"/>
        <v>930899.31755540613</v>
      </c>
      <c r="BA5" s="29">
        <f t="shared" si="3"/>
        <v>938346.5120958495</v>
      </c>
      <c r="BB5" s="29">
        <f t="shared" si="3"/>
        <v>945853.28419261624</v>
      </c>
      <c r="BI5" s="2">
        <v>25032.299364730061</v>
      </c>
    </row>
    <row r="6" spans="1:61" x14ac:dyDescent="0.2">
      <c r="A6" s="2" t="str">
        <v>Bottom-Bracket State Tax rate (%)</v>
      </c>
      <c r="B6" s="25">
        <v>0.1201</v>
      </c>
      <c r="D6" s="2" t="s">
        <v>256</v>
      </c>
      <c r="E6" s="28">
        <f>E5-$B$14</f>
        <v>492849.18199608615</v>
      </c>
      <c r="F6" s="28">
        <f t="shared" ref="F6:AW6" si="4">F5-$B$14</f>
        <v>496801.47945205471</v>
      </c>
      <c r="G6" s="28">
        <f t="shared" si="4"/>
        <v>519708.99550684926</v>
      </c>
      <c r="H6" s="28">
        <f t="shared" si="4"/>
        <v>523876.17147090414</v>
      </c>
      <c r="I6" s="28">
        <f t="shared" si="4"/>
        <v>528076.68484267127</v>
      </c>
      <c r="J6" s="28">
        <f t="shared" si="4"/>
        <v>532310.8023214126</v>
      </c>
      <c r="K6" s="28">
        <f t="shared" si="4"/>
        <v>556851.74722819764</v>
      </c>
      <c r="L6" s="28">
        <f t="shared" si="4"/>
        <v>561316.06520602317</v>
      </c>
      <c r="M6" s="28">
        <f t="shared" si="4"/>
        <v>565816.09772767138</v>
      </c>
      <c r="N6" s="28">
        <f t="shared" si="4"/>
        <v>570352.13050949271</v>
      </c>
      <c r="O6" s="28">
        <f t="shared" si="4"/>
        <v>596642.97651292942</v>
      </c>
      <c r="P6" s="28">
        <f t="shared" si="4"/>
        <v>601425.62432503281</v>
      </c>
      <c r="Q6" s="28">
        <f t="shared" si="4"/>
        <v>606246.53331963299</v>
      </c>
      <c r="R6" s="28">
        <f t="shared" si="4"/>
        <v>634188.52185233624</v>
      </c>
      <c r="S6" s="28">
        <f t="shared" si="4"/>
        <v>639271.53402715491</v>
      </c>
      <c r="T6" s="28">
        <f t="shared" si="4"/>
        <v>644395.21029937197</v>
      </c>
      <c r="U6" s="28">
        <f t="shared" si="4"/>
        <v>649559.87598176708</v>
      </c>
      <c r="V6" s="28">
        <f t="shared" si="4"/>
        <v>654765.85898962116</v>
      </c>
      <c r="W6" s="28">
        <f t="shared" si="4"/>
        <v>684939.73650314379</v>
      </c>
      <c r="X6" s="28">
        <f t="shared" si="4"/>
        <v>690428.75839516905</v>
      </c>
      <c r="Y6" s="28">
        <f t="shared" si="4"/>
        <v>695961.69246233033</v>
      </c>
      <c r="Z6" s="28">
        <f t="shared" si="4"/>
        <v>701538.89000202902</v>
      </c>
      <c r="AA6" s="28">
        <f t="shared" si="4"/>
        <v>733864.32694212242</v>
      </c>
      <c r="AB6" s="28">
        <f t="shared" si="4"/>
        <v>739744.74555765931</v>
      </c>
      <c r="AC6" s="28">
        <f t="shared" si="4"/>
        <v>745672.20752212056</v>
      </c>
      <c r="AD6" s="28">
        <f t="shared" si="4"/>
        <v>751647.08918229758</v>
      </c>
      <c r="AE6" s="28">
        <f t="shared" si="4"/>
        <v>757669.76989575604</v>
      </c>
      <c r="AF6" s="28">
        <f t="shared" si="4"/>
        <v>763740.63205492205</v>
      </c>
      <c r="AG6" s="28">
        <f t="shared" si="4"/>
        <v>769860.06111136149</v>
      </c>
      <c r="AH6" s="28">
        <f t="shared" si="4"/>
        <v>776028.44560025225</v>
      </c>
      <c r="AI6" s="28">
        <f t="shared" si="4"/>
        <v>782246.17716505448</v>
      </c>
      <c r="AJ6" s="28">
        <f t="shared" si="4"/>
        <v>788513.65058237489</v>
      </c>
      <c r="AK6" s="28">
        <f t="shared" si="4"/>
        <v>794831.26378703385</v>
      </c>
      <c r="AL6" s="28">
        <f t="shared" si="4"/>
        <v>801199.41789733025</v>
      </c>
      <c r="AM6" s="28">
        <f t="shared" si="4"/>
        <v>807618.51724050893</v>
      </c>
      <c r="AN6" s="28">
        <f t="shared" si="4"/>
        <v>844823.61703357252</v>
      </c>
      <c r="AO6" s="28">
        <f t="shared" si="4"/>
        <v>851591.70996984106</v>
      </c>
      <c r="AP6" s="28">
        <f t="shared" si="4"/>
        <v>858413.94764959987</v>
      </c>
      <c r="AQ6" s="28">
        <f t="shared" si="4"/>
        <v>865290.76323079667</v>
      </c>
      <c r="AR6" s="28">
        <f t="shared" si="4"/>
        <v>872222.59333664319</v>
      </c>
      <c r="AS6" s="28">
        <f t="shared" si="4"/>
        <v>879209.87808333628</v>
      </c>
      <c r="AT6" s="28">
        <f t="shared" si="4"/>
        <v>886253.0611080029</v>
      </c>
      <c r="AU6" s="28">
        <f t="shared" si="4"/>
        <v>893352.58959686686</v>
      </c>
      <c r="AV6" s="28">
        <f t="shared" si="4"/>
        <v>900508.91431364208</v>
      </c>
      <c r="AW6" s="28">
        <f t="shared" si="4"/>
        <v>907722.48962815118</v>
      </c>
      <c r="AX6" s="28">
        <f t="shared" ref="AX6:BB6" si="5">AX5-$B$14</f>
        <v>914993.77354517637</v>
      </c>
      <c r="AY6" s="28">
        <f t="shared" si="5"/>
        <v>922323.2277335379</v>
      </c>
      <c r="AZ6" s="28">
        <f t="shared" si="5"/>
        <v>929711.31755540613</v>
      </c>
      <c r="BA6" s="28">
        <f t="shared" si="5"/>
        <v>937158.5120958495</v>
      </c>
      <c r="BB6" s="28">
        <f t="shared" si="5"/>
        <v>944665.28419261624</v>
      </c>
      <c r="BI6" s="2">
        <v>25235.151956650563</v>
      </c>
    </row>
    <row r="7" spans="1:61" x14ac:dyDescent="0.2">
      <c r="A7" s="2" t="str">
        <v>Top-bracket State Tax rate (%)</v>
      </c>
      <c r="B7" s="25">
        <v>0.15</v>
      </c>
      <c r="D7" s="2" t="s">
        <v>234</v>
      </c>
      <c r="E7" s="28">
        <f>E6*(1-$B$4)</f>
        <v>453421.24743639928</v>
      </c>
      <c r="F7" s="28">
        <f t="shared" ref="F7:AW7" si="6">F6*(1-$B$4)</f>
        <v>457057.36109589034</v>
      </c>
      <c r="G7" s="28">
        <f t="shared" si="6"/>
        <v>478132.27586630132</v>
      </c>
      <c r="H7" s="28">
        <f t="shared" si="6"/>
        <v>481966.0777532318</v>
      </c>
      <c r="I7" s="28">
        <f t="shared" si="6"/>
        <v>485830.55005525757</v>
      </c>
      <c r="J7" s="28">
        <f t="shared" si="6"/>
        <v>489725.9381356996</v>
      </c>
      <c r="K7" s="28">
        <f t="shared" si="6"/>
        <v>512303.60744994186</v>
      </c>
      <c r="L7" s="28">
        <f t="shared" si="6"/>
        <v>516410.77998954133</v>
      </c>
      <c r="M7" s="28">
        <f t="shared" si="6"/>
        <v>520550.80990945769</v>
      </c>
      <c r="N7" s="28">
        <f t="shared" si="6"/>
        <v>524723.96006873331</v>
      </c>
      <c r="O7" s="28">
        <f t="shared" si="6"/>
        <v>548911.53839189513</v>
      </c>
      <c r="P7" s="28">
        <f t="shared" si="6"/>
        <v>553311.57437903027</v>
      </c>
      <c r="Q7" s="28">
        <f t="shared" si="6"/>
        <v>557746.81065406243</v>
      </c>
      <c r="R7" s="28">
        <f t="shared" si="6"/>
        <v>583453.4401041494</v>
      </c>
      <c r="S7" s="28">
        <f t="shared" si="6"/>
        <v>588129.81130498252</v>
      </c>
      <c r="T7" s="28">
        <f t="shared" si="6"/>
        <v>592843.59347542224</v>
      </c>
      <c r="U7" s="28">
        <f t="shared" si="6"/>
        <v>597595.0859032257</v>
      </c>
      <c r="V7" s="28">
        <f t="shared" si="6"/>
        <v>602384.5902704515</v>
      </c>
      <c r="W7" s="28">
        <f t="shared" si="6"/>
        <v>630144.55758289236</v>
      </c>
      <c r="X7" s="28">
        <f t="shared" si="6"/>
        <v>635194.4577235555</v>
      </c>
      <c r="Y7" s="28">
        <f t="shared" si="6"/>
        <v>640284.7570653439</v>
      </c>
      <c r="Z7" s="28">
        <f t="shared" si="6"/>
        <v>645415.77880186669</v>
      </c>
      <c r="AA7" s="28">
        <f t="shared" si="6"/>
        <v>675155.18078675261</v>
      </c>
      <c r="AB7" s="28">
        <f t="shared" si="6"/>
        <v>680565.16591304657</v>
      </c>
      <c r="AC7" s="28">
        <f t="shared" si="6"/>
        <v>686018.43092035095</v>
      </c>
      <c r="AD7" s="28">
        <f t="shared" si="6"/>
        <v>691515.32204771379</v>
      </c>
      <c r="AE7" s="28">
        <f t="shared" si="6"/>
        <v>697056.18830409553</v>
      </c>
      <c r="AF7" s="28">
        <f t="shared" si="6"/>
        <v>702641.38149052835</v>
      </c>
      <c r="AG7" s="28">
        <f t="shared" si="6"/>
        <v>708271.25622245262</v>
      </c>
      <c r="AH7" s="28">
        <f t="shared" si="6"/>
        <v>713946.16995223216</v>
      </c>
      <c r="AI7" s="28">
        <f t="shared" si="6"/>
        <v>719666.48299185012</v>
      </c>
      <c r="AJ7" s="28">
        <f t="shared" si="6"/>
        <v>725432.55853578495</v>
      </c>
      <c r="AK7" s="28">
        <f t="shared" si="6"/>
        <v>731244.7626840712</v>
      </c>
      <c r="AL7" s="28">
        <f t="shared" si="6"/>
        <v>737103.46446554386</v>
      </c>
      <c r="AM7" s="28">
        <f t="shared" si="6"/>
        <v>743009.03586126829</v>
      </c>
      <c r="AN7" s="28">
        <f t="shared" si="6"/>
        <v>777237.72767088679</v>
      </c>
      <c r="AO7" s="28">
        <f t="shared" si="6"/>
        <v>783464.37317225384</v>
      </c>
      <c r="AP7" s="28">
        <f t="shared" si="6"/>
        <v>789740.83183763188</v>
      </c>
      <c r="AQ7" s="28">
        <f t="shared" si="6"/>
        <v>796067.50217233296</v>
      </c>
      <c r="AR7" s="28">
        <f t="shared" si="6"/>
        <v>802444.78586971178</v>
      </c>
      <c r="AS7" s="28">
        <f t="shared" si="6"/>
        <v>808873.08783666941</v>
      </c>
      <c r="AT7" s="28">
        <f t="shared" si="6"/>
        <v>815352.81621936266</v>
      </c>
      <c r="AU7" s="28">
        <f t="shared" si="6"/>
        <v>821884.38242911757</v>
      </c>
      <c r="AV7" s="28">
        <f t="shared" si="6"/>
        <v>828468.20116855076</v>
      </c>
      <c r="AW7" s="28">
        <f t="shared" si="6"/>
        <v>835104.69045789912</v>
      </c>
      <c r="AX7" s="28">
        <f t="shared" ref="AX7:BB7" si="7">AX6*(1-$B$4)</f>
        <v>841794.27166156226</v>
      </c>
      <c r="AY7" s="28">
        <f t="shared" si="7"/>
        <v>848537.36951485486</v>
      </c>
      <c r="AZ7" s="28">
        <f t="shared" si="7"/>
        <v>855334.41215097369</v>
      </c>
      <c r="BA7" s="28">
        <f t="shared" si="7"/>
        <v>862185.83112818154</v>
      </c>
      <c r="BB7" s="28">
        <f t="shared" si="7"/>
        <v>869092.06145720696</v>
      </c>
      <c r="BI7" s="2">
        <v>25439.627369306429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26624.766861059867</v>
      </c>
    </row>
    <row r="9" spans="1:61" x14ac:dyDescent="0.2">
      <c r="A9" s="2" t="str">
        <v>Municipal Tax (%)</v>
      </c>
      <c r="B9" s="25">
        <v>0.25</v>
      </c>
      <c r="D9" s="2" t="s">
        <v>235</v>
      </c>
      <c r="E9" s="28">
        <f>E7-E8</f>
        <v>401821.24743639928</v>
      </c>
      <c r="F9" s="28">
        <f t="shared" ref="F9:AW9" si="9">F7-F8</f>
        <v>405457.36109589034</v>
      </c>
      <c r="G9" s="28">
        <f t="shared" si="9"/>
        <v>426532.27586630132</v>
      </c>
      <c r="H9" s="28">
        <f t="shared" si="9"/>
        <v>430366.0777532318</v>
      </c>
      <c r="I9" s="28">
        <f t="shared" si="9"/>
        <v>434230.55005525757</v>
      </c>
      <c r="J9" s="28">
        <f t="shared" si="9"/>
        <v>438125.9381356996</v>
      </c>
      <c r="K9" s="28">
        <f t="shared" si="9"/>
        <v>460703.60744994186</v>
      </c>
      <c r="L9" s="28">
        <f t="shared" si="9"/>
        <v>464810.77998954133</v>
      </c>
      <c r="M9" s="28">
        <f t="shared" si="9"/>
        <v>468950.80990945769</v>
      </c>
      <c r="N9" s="28">
        <f t="shared" si="9"/>
        <v>473123.96006873331</v>
      </c>
      <c r="O9" s="28">
        <f t="shared" si="9"/>
        <v>497311.53839189513</v>
      </c>
      <c r="P9" s="28">
        <f t="shared" si="9"/>
        <v>501711.57437903027</v>
      </c>
      <c r="Q9" s="28">
        <f t="shared" si="9"/>
        <v>506146.81065406243</v>
      </c>
      <c r="R9" s="28">
        <f t="shared" si="9"/>
        <v>531853.4401041494</v>
      </c>
      <c r="S9" s="28">
        <f t="shared" si="9"/>
        <v>536529.81130498252</v>
      </c>
      <c r="T9" s="28">
        <f t="shared" si="9"/>
        <v>541243.59347542224</v>
      </c>
      <c r="U9" s="28">
        <f t="shared" si="9"/>
        <v>545995.0859032257</v>
      </c>
      <c r="V9" s="28">
        <f t="shared" si="9"/>
        <v>550784.5902704515</v>
      </c>
      <c r="W9" s="28">
        <f t="shared" si="9"/>
        <v>578544.55758289236</v>
      </c>
      <c r="X9" s="28">
        <f t="shared" si="9"/>
        <v>583594.4577235555</v>
      </c>
      <c r="Y9" s="28">
        <f t="shared" si="9"/>
        <v>588684.7570653439</v>
      </c>
      <c r="Z9" s="28">
        <f t="shared" si="9"/>
        <v>593815.77880186669</v>
      </c>
      <c r="AA9" s="28">
        <f t="shared" si="9"/>
        <v>623555.18078675261</v>
      </c>
      <c r="AB9" s="28">
        <f t="shared" si="9"/>
        <v>628965.16591304657</v>
      </c>
      <c r="AC9" s="28">
        <f t="shared" si="9"/>
        <v>634418.43092035095</v>
      </c>
      <c r="AD9" s="28">
        <f t="shared" si="9"/>
        <v>639915.32204771379</v>
      </c>
      <c r="AE9" s="28">
        <f t="shared" si="9"/>
        <v>645456.18830409553</v>
      </c>
      <c r="AF9" s="28">
        <f t="shared" si="9"/>
        <v>651041.38149052835</v>
      </c>
      <c r="AG9" s="28">
        <f t="shared" si="9"/>
        <v>656671.25622245262</v>
      </c>
      <c r="AH9" s="28">
        <f t="shared" si="9"/>
        <v>662346.16995223216</v>
      </c>
      <c r="AI9" s="28">
        <f t="shared" si="9"/>
        <v>668066.48299185012</v>
      </c>
      <c r="AJ9" s="28">
        <f t="shared" si="9"/>
        <v>673832.55853578495</v>
      </c>
      <c r="AK9" s="28">
        <f t="shared" si="9"/>
        <v>679644.7626840712</v>
      </c>
      <c r="AL9" s="28">
        <f t="shared" si="9"/>
        <v>685503.46446554386</v>
      </c>
      <c r="AM9" s="28">
        <f t="shared" si="9"/>
        <v>691409.03586126829</v>
      </c>
      <c r="AN9" s="28">
        <f t="shared" si="9"/>
        <v>725637.72767088679</v>
      </c>
      <c r="AO9" s="28">
        <f t="shared" si="9"/>
        <v>731864.37317225384</v>
      </c>
      <c r="AP9" s="28">
        <f t="shared" si="9"/>
        <v>738140.83183763188</v>
      </c>
      <c r="AQ9" s="28">
        <f t="shared" si="9"/>
        <v>744467.50217233296</v>
      </c>
      <c r="AR9" s="28">
        <f t="shared" si="9"/>
        <v>750844.78586971178</v>
      </c>
      <c r="AS9" s="28">
        <f t="shared" si="9"/>
        <v>757273.08783666941</v>
      </c>
      <c r="AT9" s="28">
        <f t="shared" si="9"/>
        <v>763752.81621936266</v>
      </c>
      <c r="AU9" s="28">
        <f t="shared" si="9"/>
        <v>770284.38242911757</v>
      </c>
      <c r="AV9" s="28">
        <f t="shared" si="9"/>
        <v>776868.20116855076</v>
      </c>
      <c r="AW9" s="28">
        <f t="shared" si="9"/>
        <v>783504.69045789912</v>
      </c>
      <c r="AX9" s="28">
        <f t="shared" ref="AX9:BB9" si="10">AX7-AX8</f>
        <v>790194.27166156226</v>
      </c>
      <c r="AY9" s="28">
        <f t="shared" si="10"/>
        <v>796937.36951485486</v>
      </c>
      <c r="AZ9" s="28">
        <f t="shared" si="10"/>
        <v>803734.41215097369</v>
      </c>
      <c r="BA9" s="28">
        <f t="shared" si="10"/>
        <v>810585.83112818154</v>
      </c>
      <c r="BB9" s="28">
        <f t="shared" si="10"/>
        <v>817492.06145720696</v>
      </c>
      <c r="BI9" s="2">
        <v>26840.359192951011</v>
      </c>
    </row>
    <row r="10" spans="1:61" x14ac:dyDescent="0.2">
      <c r="A10" s="2" t="str">
        <v>Capital Gains &lt; 67,500DKK</v>
      </c>
      <c r="B10" s="28">
        <v>0.27</v>
      </c>
      <c r="D10" s="2" t="s">
        <v>189</v>
      </c>
      <c r="E10" s="28">
        <f>E7*$B$9</f>
        <v>113355.31185909982</v>
      </c>
      <c r="F10" s="28">
        <f t="shared" ref="F10:AW10" si="11">F7*$B$9</f>
        <v>114264.34027397259</v>
      </c>
      <c r="G10" s="28">
        <f t="shared" si="11"/>
        <v>119533.06896657533</v>
      </c>
      <c r="H10" s="28">
        <f t="shared" si="11"/>
        <v>120491.51943830795</v>
      </c>
      <c r="I10" s="28">
        <f t="shared" si="11"/>
        <v>121457.63751381439</v>
      </c>
      <c r="J10" s="28">
        <f t="shared" si="11"/>
        <v>122431.4845339249</v>
      </c>
      <c r="K10" s="28">
        <f t="shared" si="11"/>
        <v>128075.90186248547</v>
      </c>
      <c r="L10" s="28">
        <f t="shared" si="11"/>
        <v>129102.69499738533</v>
      </c>
      <c r="M10" s="28">
        <f t="shared" si="11"/>
        <v>130137.70247736442</v>
      </c>
      <c r="N10" s="28">
        <f t="shared" si="11"/>
        <v>131180.99001718333</v>
      </c>
      <c r="O10" s="28">
        <f t="shared" si="11"/>
        <v>137227.88459797378</v>
      </c>
      <c r="P10" s="28">
        <f t="shared" si="11"/>
        <v>138327.89359475757</v>
      </c>
      <c r="Q10" s="28">
        <f t="shared" si="11"/>
        <v>139436.70266351561</v>
      </c>
      <c r="R10" s="28">
        <f t="shared" si="11"/>
        <v>145863.36002603735</v>
      </c>
      <c r="S10" s="28">
        <f t="shared" si="11"/>
        <v>147032.45282624563</v>
      </c>
      <c r="T10" s="28">
        <f t="shared" si="11"/>
        <v>148210.89836885556</v>
      </c>
      <c r="U10" s="28">
        <f t="shared" si="11"/>
        <v>149398.77147580642</v>
      </c>
      <c r="V10" s="28">
        <f t="shared" si="11"/>
        <v>150596.14756761288</v>
      </c>
      <c r="W10" s="28">
        <f t="shared" si="11"/>
        <v>157536.13939572309</v>
      </c>
      <c r="X10" s="28">
        <f t="shared" si="11"/>
        <v>158798.61443088888</v>
      </c>
      <c r="Y10" s="28">
        <f t="shared" si="11"/>
        <v>160071.18926633598</v>
      </c>
      <c r="Z10" s="28">
        <f t="shared" si="11"/>
        <v>161353.94470046667</v>
      </c>
      <c r="AA10" s="28">
        <f t="shared" si="11"/>
        <v>168788.79519668815</v>
      </c>
      <c r="AB10" s="28">
        <f t="shared" si="11"/>
        <v>170141.29147826164</v>
      </c>
      <c r="AC10" s="28">
        <f t="shared" si="11"/>
        <v>171504.60773008774</v>
      </c>
      <c r="AD10" s="28">
        <f t="shared" si="11"/>
        <v>172878.83051192845</v>
      </c>
      <c r="AE10" s="28">
        <f t="shared" si="11"/>
        <v>174264.04707602388</v>
      </c>
      <c r="AF10" s="28">
        <f t="shared" si="11"/>
        <v>175660.34537263209</v>
      </c>
      <c r="AG10" s="28">
        <f t="shared" si="11"/>
        <v>177067.81405561315</v>
      </c>
      <c r="AH10" s="28">
        <f t="shared" si="11"/>
        <v>178486.54248805804</v>
      </c>
      <c r="AI10" s="28">
        <f t="shared" si="11"/>
        <v>179916.62074796253</v>
      </c>
      <c r="AJ10" s="28">
        <f t="shared" si="11"/>
        <v>181358.13963394624</v>
      </c>
      <c r="AK10" s="28">
        <f t="shared" si="11"/>
        <v>182811.1906710178</v>
      </c>
      <c r="AL10" s="28">
        <f t="shared" si="11"/>
        <v>184275.86611638597</v>
      </c>
      <c r="AM10" s="28">
        <f t="shared" si="11"/>
        <v>185752.25896531707</v>
      </c>
      <c r="AN10" s="28">
        <f t="shared" si="11"/>
        <v>194309.4319177217</v>
      </c>
      <c r="AO10" s="28">
        <f t="shared" si="11"/>
        <v>195866.09329306346</v>
      </c>
      <c r="AP10" s="28">
        <f t="shared" si="11"/>
        <v>197435.20795940797</v>
      </c>
      <c r="AQ10" s="28">
        <f t="shared" si="11"/>
        <v>199016.87554308324</v>
      </c>
      <c r="AR10" s="28">
        <f t="shared" si="11"/>
        <v>200611.19646742794</v>
      </c>
      <c r="AS10" s="28">
        <f t="shared" si="11"/>
        <v>202218.27195916735</v>
      </c>
      <c r="AT10" s="28">
        <f t="shared" si="11"/>
        <v>203838.20405484067</v>
      </c>
      <c r="AU10" s="28">
        <f t="shared" si="11"/>
        <v>205471.09560727939</v>
      </c>
      <c r="AV10" s="28">
        <f t="shared" si="11"/>
        <v>207117.05029213769</v>
      </c>
      <c r="AW10" s="28">
        <f t="shared" si="11"/>
        <v>208776.17261447478</v>
      </c>
      <c r="AX10" s="28">
        <f t="shared" ref="AX10:BB10" si="12">AX7*$B$9</f>
        <v>210448.56791539057</v>
      </c>
      <c r="AY10" s="28">
        <f t="shared" si="12"/>
        <v>212134.34237871371</v>
      </c>
      <c r="AZ10" s="28">
        <f t="shared" si="12"/>
        <v>213833.60303774342</v>
      </c>
      <c r="BA10" s="28">
        <f t="shared" si="12"/>
        <v>215546.45778204539</v>
      </c>
      <c r="BB10" s="28">
        <f t="shared" si="12"/>
        <v>217273.01536430174</v>
      </c>
      <c r="BI10" s="2">
        <v>27057.676263497284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0</v>
      </c>
      <c r="Z11" s="28">
        <f t="shared" si="13"/>
        <v>0</v>
      </c>
      <c r="AA11" s="28">
        <f t="shared" si="13"/>
        <v>773.27711801289115</v>
      </c>
      <c r="AB11" s="28">
        <f t="shared" si="13"/>
        <v>1584.7748869569855</v>
      </c>
      <c r="AC11" s="28">
        <f t="shared" si="13"/>
        <v>2402.7646380526421</v>
      </c>
      <c r="AD11" s="28">
        <f t="shared" si="13"/>
        <v>3227.2983071570693</v>
      </c>
      <c r="AE11" s="28">
        <f t="shared" si="13"/>
        <v>4058.4282456143292</v>
      </c>
      <c r="AF11" s="28">
        <f t="shared" si="13"/>
        <v>4896.2072235792521</v>
      </c>
      <c r="AG11" s="28">
        <f t="shared" si="13"/>
        <v>5740.6884333678927</v>
      </c>
      <c r="AH11" s="28">
        <f t="shared" si="13"/>
        <v>6591.9254928348237</v>
      </c>
      <c r="AI11" s="28">
        <f t="shared" si="13"/>
        <v>7449.9724487775175</v>
      </c>
      <c r="AJ11" s="28">
        <f t="shared" si="13"/>
        <v>8314.8837803677416</v>
      </c>
      <c r="AK11" s="28">
        <f t="shared" si="13"/>
        <v>9186.7144026106798</v>
      </c>
      <c r="AL11" s="28">
        <f t="shared" si="13"/>
        <v>10065.519669831579</v>
      </c>
      <c r="AM11" s="28">
        <f t="shared" si="13"/>
        <v>10951.355379190243</v>
      </c>
      <c r="AN11" s="28">
        <f t="shared" si="13"/>
        <v>16085.659150633017</v>
      </c>
      <c r="AO11" s="28">
        <f t="shared" si="13"/>
        <v>17019.655975838075</v>
      </c>
      <c r="AP11" s="28">
        <f t="shared" si="13"/>
        <v>17961.124775644781</v>
      </c>
      <c r="AQ11" s="28">
        <f t="shared" si="13"/>
        <v>18910.125325849942</v>
      </c>
      <c r="AR11" s="28">
        <f t="shared" si="13"/>
        <v>19866.717880456767</v>
      </c>
      <c r="AS11" s="28">
        <f t="shared" si="13"/>
        <v>20830.963175500412</v>
      </c>
      <c r="AT11" s="28">
        <f t="shared" si="13"/>
        <v>21802.922432904397</v>
      </c>
      <c r="AU11" s="28">
        <f t="shared" si="13"/>
        <v>22782.657364367635</v>
      </c>
      <c r="AV11" s="28">
        <f t="shared" si="13"/>
        <v>23770.230175282613</v>
      </c>
      <c r="AW11" s="28">
        <f t="shared" si="13"/>
        <v>24765.703568684869</v>
      </c>
      <c r="AX11" s="28">
        <f t="shared" ref="AX11:BB11" si="14">MAX(AX9-$B$8,0)*$B$7</f>
        <v>25769.140749234339</v>
      </c>
      <c r="AY11" s="28">
        <f t="shared" si="14"/>
        <v>26780.605427228227</v>
      </c>
      <c r="AZ11" s="28">
        <f t="shared" si="14"/>
        <v>27800.161822646052</v>
      </c>
      <c r="BA11" s="28">
        <f t="shared" si="14"/>
        <v>28827.874669227229</v>
      </c>
      <c r="BB11" s="28">
        <f t="shared" si="14"/>
        <v>29863.809218581042</v>
      </c>
      <c r="BI11" s="2">
        <v>27276.731870607928</v>
      </c>
    </row>
    <row r="12" spans="1:61" x14ac:dyDescent="0.2">
      <c r="A12" s="2" t="str">
        <v>Capital Gains Threshold</v>
      </c>
      <c r="B12" s="53">
        <v>67500</v>
      </c>
      <c r="D12" s="2" t="s">
        <v>191</v>
      </c>
      <c r="E12" s="28">
        <f>E9*$B$6</f>
        <v>48258.731817111555</v>
      </c>
      <c r="F12" s="28">
        <f t="shared" ref="F12:AW12" si="15">F9*$B$6</f>
        <v>48695.429067616431</v>
      </c>
      <c r="G12" s="28">
        <f t="shared" si="15"/>
        <v>51226.526331542787</v>
      </c>
      <c r="H12" s="28">
        <f t="shared" si="15"/>
        <v>51686.965938163135</v>
      </c>
      <c r="I12" s="28">
        <f t="shared" si="15"/>
        <v>52151.089061636434</v>
      </c>
      <c r="J12" s="28">
        <f t="shared" si="15"/>
        <v>52618.925170097522</v>
      </c>
      <c r="K12" s="28">
        <f t="shared" si="15"/>
        <v>55330.503254738018</v>
      </c>
      <c r="L12" s="28">
        <f t="shared" si="15"/>
        <v>55823.774676743917</v>
      </c>
      <c r="M12" s="28">
        <f t="shared" si="15"/>
        <v>56320.992270125869</v>
      </c>
      <c r="N12" s="28">
        <f t="shared" si="15"/>
        <v>56822.187604254868</v>
      </c>
      <c r="O12" s="28">
        <f t="shared" si="15"/>
        <v>59727.115760866604</v>
      </c>
      <c r="P12" s="28">
        <f t="shared" si="15"/>
        <v>60255.560082921533</v>
      </c>
      <c r="Q12" s="28">
        <f t="shared" si="15"/>
        <v>60788.231959552897</v>
      </c>
      <c r="R12" s="28">
        <f t="shared" si="15"/>
        <v>63875.598156508342</v>
      </c>
      <c r="S12" s="28">
        <f t="shared" si="15"/>
        <v>64437.230337728397</v>
      </c>
      <c r="T12" s="28">
        <f t="shared" si="15"/>
        <v>65003.355576398208</v>
      </c>
      <c r="U12" s="28">
        <f t="shared" si="15"/>
        <v>65574.009816977399</v>
      </c>
      <c r="V12" s="28">
        <f t="shared" si="15"/>
        <v>66149.229291481228</v>
      </c>
      <c r="W12" s="28">
        <f t="shared" si="15"/>
        <v>69483.201365705376</v>
      </c>
      <c r="X12" s="28">
        <f t="shared" si="15"/>
        <v>70089.694372599013</v>
      </c>
      <c r="Y12" s="28">
        <f t="shared" si="15"/>
        <v>70701.039323547797</v>
      </c>
      <c r="Z12" s="28">
        <f t="shared" si="15"/>
        <v>71317.275034104183</v>
      </c>
      <c r="AA12" s="28">
        <f t="shared" si="15"/>
        <v>74888.977212488986</v>
      </c>
      <c r="AB12" s="28">
        <f t="shared" si="15"/>
        <v>75538.716426156898</v>
      </c>
      <c r="AC12" s="28">
        <f t="shared" si="15"/>
        <v>76193.653553534154</v>
      </c>
      <c r="AD12" s="28">
        <f t="shared" si="15"/>
        <v>76853.830177930431</v>
      </c>
      <c r="AE12" s="28">
        <f t="shared" si="15"/>
        <v>77519.288215321867</v>
      </c>
      <c r="AF12" s="28">
        <f t="shared" si="15"/>
        <v>78190.069917012457</v>
      </c>
      <c r="AG12" s="28">
        <f t="shared" si="15"/>
        <v>78866.217872316556</v>
      </c>
      <c r="AH12" s="28">
        <f t="shared" si="15"/>
        <v>79547.775011263075</v>
      </c>
      <c r="AI12" s="28">
        <f t="shared" si="15"/>
        <v>80234.784607321199</v>
      </c>
      <c r="AJ12" s="28">
        <f t="shared" si="15"/>
        <v>80927.290280147776</v>
      </c>
      <c r="AK12" s="28">
        <f t="shared" si="15"/>
        <v>81625.335998356953</v>
      </c>
      <c r="AL12" s="28">
        <f t="shared" si="15"/>
        <v>82328.966082311817</v>
      </c>
      <c r="AM12" s="28">
        <f t="shared" si="15"/>
        <v>83038.225206938325</v>
      </c>
      <c r="AN12" s="28">
        <f t="shared" si="15"/>
        <v>87149.091093273499</v>
      </c>
      <c r="AO12" s="28">
        <f t="shared" si="15"/>
        <v>87896.911217987683</v>
      </c>
      <c r="AP12" s="28">
        <f t="shared" si="15"/>
        <v>88650.713903699594</v>
      </c>
      <c r="AQ12" s="28">
        <f t="shared" si="15"/>
        <v>89410.547010897193</v>
      </c>
      <c r="AR12" s="28">
        <f t="shared" si="15"/>
        <v>90176.458782952381</v>
      </c>
      <c r="AS12" s="28">
        <f t="shared" si="15"/>
        <v>90948.497849184001</v>
      </c>
      <c r="AT12" s="28">
        <f t="shared" si="15"/>
        <v>91726.713227945453</v>
      </c>
      <c r="AU12" s="28">
        <f t="shared" si="15"/>
        <v>92511.154329737023</v>
      </c>
      <c r="AV12" s="28">
        <f t="shared" si="15"/>
        <v>93301.870960342945</v>
      </c>
      <c r="AW12" s="28">
        <f t="shared" si="15"/>
        <v>94098.913323993678</v>
      </c>
      <c r="AX12" s="28">
        <f t="shared" ref="AX12:BB12" si="16">AX9*$B$6</f>
        <v>94902.332026553631</v>
      </c>
      <c r="AY12" s="28">
        <f t="shared" si="16"/>
        <v>95712.178078734069</v>
      </c>
      <c r="AZ12" s="28">
        <f t="shared" si="16"/>
        <v>96528.502899331943</v>
      </c>
      <c r="BA12" s="28">
        <f t="shared" si="16"/>
        <v>97351.358318494604</v>
      </c>
      <c r="BB12" s="28">
        <f t="shared" si="16"/>
        <v>98180.796581010552</v>
      </c>
      <c r="BI12" s="2">
        <v>28546.378169421227</v>
      </c>
    </row>
    <row r="13" spans="1:61" x14ac:dyDescent="0.2">
      <c r="A13" s="2" t="s">
        <v>254</v>
      </c>
      <c r="B13" s="58">
        <v>99</v>
      </c>
      <c r="D13" s="2" t="s">
        <v>192</v>
      </c>
      <c r="E13" s="28">
        <f>SUM(E10:E12)</f>
        <v>161614.04367621138</v>
      </c>
      <c r="F13" s="28">
        <f t="shared" ref="F13:AW13" si="17">SUM(F10:F12)</f>
        <v>162959.76934158901</v>
      </c>
      <c r="G13" s="28">
        <f t="shared" si="17"/>
        <v>170759.59529811813</v>
      </c>
      <c r="H13" s="28">
        <f t="shared" si="17"/>
        <v>172178.48537647107</v>
      </c>
      <c r="I13" s="28">
        <f t="shared" si="17"/>
        <v>173608.72657545083</v>
      </c>
      <c r="J13" s="28">
        <f t="shared" si="17"/>
        <v>175050.40970402243</v>
      </c>
      <c r="K13" s="28">
        <f t="shared" si="17"/>
        <v>183406.40511722348</v>
      </c>
      <c r="L13" s="28">
        <f t="shared" si="17"/>
        <v>184926.46967412924</v>
      </c>
      <c r="M13" s="28">
        <f t="shared" si="17"/>
        <v>186458.69474749028</v>
      </c>
      <c r="N13" s="28">
        <f t="shared" si="17"/>
        <v>188003.1776214382</v>
      </c>
      <c r="O13" s="28">
        <f t="shared" si="17"/>
        <v>196955.00035884039</v>
      </c>
      <c r="P13" s="28">
        <f t="shared" si="17"/>
        <v>198583.45367767909</v>
      </c>
      <c r="Q13" s="28">
        <f t="shared" si="17"/>
        <v>200224.93462306849</v>
      </c>
      <c r="R13" s="28">
        <f t="shared" si="17"/>
        <v>209738.9581825457</v>
      </c>
      <c r="S13" s="28">
        <f t="shared" si="17"/>
        <v>211469.68316397403</v>
      </c>
      <c r="T13" s="28">
        <f t="shared" si="17"/>
        <v>213214.25394525376</v>
      </c>
      <c r="U13" s="28">
        <f t="shared" si="17"/>
        <v>214972.78129278382</v>
      </c>
      <c r="V13" s="28">
        <f t="shared" si="17"/>
        <v>216745.3768590941</v>
      </c>
      <c r="W13" s="28">
        <f t="shared" si="17"/>
        <v>227019.34076142847</v>
      </c>
      <c r="X13" s="28">
        <f t="shared" si="17"/>
        <v>228888.30880348789</v>
      </c>
      <c r="Y13" s="28">
        <f t="shared" si="17"/>
        <v>230772.22858988377</v>
      </c>
      <c r="Z13" s="28">
        <f t="shared" si="17"/>
        <v>232671.21973457086</v>
      </c>
      <c r="AA13" s="28">
        <f t="shared" si="17"/>
        <v>244451.04952719004</v>
      </c>
      <c r="AB13" s="28">
        <f t="shared" si="17"/>
        <v>247264.78279137553</v>
      </c>
      <c r="AC13" s="28">
        <f t="shared" si="17"/>
        <v>250101.02592167453</v>
      </c>
      <c r="AD13" s="28">
        <f t="shared" si="17"/>
        <v>252959.95899701596</v>
      </c>
      <c r="AE13" s="28">
        <f t="shared" si="17"/>
        <v>255841.76353696009</v>
      </c>
      <c r="AF13" s="28">
        <f t="shared" si="17"/>
        <v>258746.62251322379</v>
      </c>
      <c r="AG13" s="28">
        <f t="shared" si="17"/>
        <v>261674.7203612976</v>
      </c>
      <c r="AH13" s="28">
        <f t="shared" si="17"/>
        <v>264626.24299215595</v>
      </c>
      <c r="AI13" s="28">
        <f t="shared" si="17"/>
        <v>267601.37780406128</v>
      </c>
      <c r="AJ13" s="28">
        <f t="shared" si="17"/>
        <v>270600.31369446171</v>
      </c>
      <c r="AK13" s="28">
        <f t="shared" si="17"/>
        <v>273623.24107198545</v>
      </c>
      <c r="AL13" s="28">
        <f t="shared" si="17"/>
        <v>276670.35186852934</v>
      </c>
      <c r="AM13" s="28">
        <f t="shared" si="17"/>
        <v>279741.83955144562</v>
      </c>
      <c r="AN13" s="28">
        <f t="shared" si="17"/>
        <v>297544.18216162821</v>
      </c>
      <c r="AO13" s="28">
        <f t="shared" si="17"/>
        <v>300782.66048688919</v>
      </c>
      <c r="AP13" s="28">
        <f t="shared" si="17"/>
        <v>304047.04663875233</v>
      </c>
      <c r="AQ13" s="28">
        <f t="shared" si="17"/>
        <v>307337.54787983035</v>
      </c>
      <c r="AR13" s="28">
        <f t="shared" si="17"/>
        <v>310654.37313083711</v>
      </c>
      <c r="AS13" s="28">
        <f t="shared" si="17"/>
        <v>313997.73298385181</v>
      </c>
      <c r="AT13" s="28">
        <f t="shared" si="17"/>
        <v>317367.83971569053</v>
      </c>
      <c r="AU13" s="28">
        <f t="shared" si="17"/>
        <v>320764.90730138402</v>
      </c>
      <c r="AV13" s="28">
        <f t="shared" si="17"/>
        <v>324189.15142776322</v>
      </c>
      <c r="AW13" s="28">
        <f t="shared" si="17"/>
        <v>327640.78950715333</v>
      </c>
      <c r="AX13" s="28">
        <f t="shared" ref="AX13:BB13" si="18">SUM(AX10:AX12)</f>
        <v>331120.04069117852</v>
      </c>
      <c r="AY13" s="28">
        <f t="shared" si="18"/>
        <v>334627.125884676</v>
      </c>
      <c r="AZ13" s="28">
        <f t="shared" si="18"/>
        <v>338162.26775972138</v>
      </c>
      <c r="BA13" s="28">
        <f t="shared" si="18"/>
        <v>341725.69076976721</v>
      </c>
      <c r="BB13" s="28">
        <f t="shared" si="18"/>
        <v>345317.62116389332</v>
      </c>
      <c r="BI13" s="2">
        <v>28777.343391779268</v>
      </c>
    </row>
    <row r="14" spans="1:61" x14ac:dyDescent="0.2">
      <c r="A14" s="2" t="s">
        <v>255</v>
      </c>
      <c r="B14" s="28">
        <f>B13*12</f>
        <v>1188</v>
      </c>
      <c r="D14" s="2" t="s">
        <v>193</v>
      </c>
      <c r="E14" s="28">
        <f>E7-E13</f>
        <v>291807.2037601879</v>
      </c>
      <c r="F14" s="28">
        <f t="shared" ref="F14:AW14" si="19">F7-F13</f>
        <v>294097.59175430133</v>
      </c>
      <c r="G14" s="28">
        <f t="shared" si="19"/>
        <v>307372.68056818319</v>
      </c>
      <c r="H14" s="28">
        <f t="shared" si="19"/>
        <v>309787.59237676073</v>
      </c>
      <c r="I14" s="28">
        <f t="shared" si="19"/>
        <v>312221.82347980677</v>
      </c>
      <c r="J14" s="28">
        <f t="shared" si="19"/>
        <v>314675.52843167714</v>
      </c>
      <c r="K14" s="28">
        <f t="shared" si="19"/>
        <v>328897.20233271841</v>
      </c>
      <c r="L14" s="28">
        <f t="shared" si="19"/>
        <v>331484.31031541212</v>
      </c>
      <c r="M14" s="28">
        <f t="shared" si="19"/>
        <v>334092.11516196741</v>
      </c>
      <c r="N14" s="28">
        <f t="shared" si="19"/>
        <v>336720.78244729515</v>
      </c>
      <c r="O14" s="28">
        <f t="shared" si="19"/>
        <v>351956.53803305473</v>
      </c>
      <c r="P14" s="28">
        <f t="shared" si="19"/>
        <v>354728.1207013512</v>
      </c>
      <c r="Q14" s="28">
        <f t="shared" si="19"/>
        <v>357521.87603099394</v>
      </c>
      <c r="R14" s="28">
        <f t="shared" si="19"/>
        <v>373714.48192160367</v>
      </c>
      <c r="S14" s="28">
        <f t="shared" si="19"/>
        <v>376660.12814100849</v>
      </c>
      <c r="T14" s="28">
        <f t="shared" si="19"/>
        <v>379629.33953016845</v>
      </c>
      <c r="U14" s="28">
        <f t="shared" si="19"/>
        <v>382622.3046104419</v>
      </c>
      <c r="V14" s="28">
        <f t="shared" si="19"/>
        <v>385639.21341135737</v>
      </c>
      <c r="W14" s="28">
        <f t="shared" si="19"/>
        <v>403125.2168214639</v>
      </c>
      <c r="X14" s="28">
        <f t="shared" si="19"/>
        <v>406306.14892006759</v>
      </c>
      <c r="Y14" s="28">
        <f t="shared" si="19"/>
        <v>409512.52847546013</v>
      </c>
      <c r="Z14" s="28">
        <f t="shared" si="19"/>
        <v>412744.55906729586</v>
      </c>
      <c r="AA14" s="28">
        <f t="shared" si="19"/>
        <v>430704.13125956256</v>
      </c>
      <c r="AB14" s="28">
        <f t="shared" si="19"/>
        <v>433300.38312167104</v>
      </c>
      <c r="AC14" s="28">
        <f t="shared" si="19"/>
        <v>435917.40499867639</v>
      </c>
      <c r="AD14" s="28">
        <f t="shared" si="19"/>
        <v>438555.36305069784</v>
      </c>
      <c r="AE14" s="28">
        <f t="shared" si="19"/>
        <v>441214.42476713541</v>
      </c>
      <c r="AF14" s="28">
        <f t="shared" si="19"/>
        <v>443894.75897730456</v>
      </c>
      <c r="AG14" s="28">
        <f t="shared" si="19"/>
        <v>446596.53586115502</v>
      </c>
      <c r="AH14" s="28">
        <f t="shared" si="19"/>
        <v>449319.92696007621</v>
      </c>
      <c r="AI14" s="28">
        <f t="shared" si="19"/>
        <v>452065.10518778884</v>
      </c>
      <c r="AJ14" s="28">
        <f t="shared" si="19"/>
        <v>454832.24484132323</v>
      </c>
      <c r="AK14" s="28">
        <f t="shared" si="19"/>
        <v>457621.52161208575</v>
      </c>
      <c r="AL14" s="28">
        <f t="shared" si="19"/>
        <v>460433.11259701452</v>
      </c>
      <c r="AM14" s="28">
        <f t="shared" si="19"/>
        <v>463267.19630982267</v>
      </c>
      <c r="AN14" s="28">
        <f t="shared" si="19"/>
        <v>479693.54550925858</v>
      </c>
      <c r="AO14" s="28">
        <f t="shared" si="19"/>
        <v>482681.71268536465</v>
      </c>
      <c r="AP14" s="28">
        <f t="shared" si="19"/>
        <v>485693.78519887954</v>
      </c>
      <c r="AQ14" s="28">
        <f t="shared" si="19"/>
        <v>488729.9542925026</v>
      </c>
      <c r="AR14" s="28">
        <f t="shared" si="19"/>
        <v>491790.41273887467</v>
      </c>
      <c r="AS14" s="28">
        <f t="shared" si="19"/>
        <v>494875.3548528176</v>
      </c>
      <c r="AT14" s="28">
        <f t="shared" si="19"/>
        <v>497984.97650367214</v>
      </c>
      <c r="AU14" s="28">
        <f t="shared" si="19"/>
        <v>501119.47512773355</v>
      </c>
      <c r="AV14" s="28">
        <f t="shared" si="19"/>
        <v>504279.04974078754</v>
      </c>
      <c r="AW14" s="28">
        <f t="shared" si="19"/>
        <v>507463.9009507458</v>
      </c>
      <c r="AX14" s="28">
        <f t="shared" ref="AX14:BB14" si="20">AX7-AX13</f>
        <v>510674.23097038374</v>
      </c>
      <c r="AY14" s="28">
        <f t="shared" si="20"/>
        <v>513910.24363017885</v>
      </c>
      <c r="AZ14" s="28">
        <f t="shared" si="20"/>
        <v>517172.14439125231</v>
      </c>
      <c r="BA14" s="28">
        <f t="shared" si="20"/>
        <v>520460.14035841433</v>
      </c>
      <c r="BB14" s="28">
        <f t="shared" si="20"/>
        <v>523774.44029331364</v>
      </c>
      <c r="BI14" s="2">
        <v>29010.156335916163</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30359.540160133638</v>
      </c>
    </row>
    <row r="16" spans="1:61" x14ac:dyDescent="0.2">
      <c r="D16" s="2" t="s">
        <v>267</v>
      </c>
      <c r="E16" s="28">
        <f>E14-E15</f>
        <v>282407.2037601879</v>
      </c>
      <c r="F16" s="28">
        <f t="shared" ref="F16:AW16" si="22">F14-F15</f>
        <v>284697.59175430133</v>
      </c>
      <c r="G16" s="28">
        <f t="shared" si="22"/>
        <v>297972.68056818319</v>
      </c>
      <c r="H16" s="28">
        <f t="shared" si="22"/>
        <v>300387.59237676073</v>
      </c>
      <c r="I16" s="28">
        <f t="shared" si="22"/>
        <v>302821.82347980677</v>
      </c>
      <c r="J16" s="28">
        <f t="shared" si="22"/>
        <v>305275.52843167714</v>
      </c>
      <c r="K16" s="28">
        <f t="shared" si="22"/>
        <v>319497.20233271841</v>
      </c>
      <c r="L16" s="28">
        <f t="shared" si="22"/>
        <v>322084.31031541212</v>
      </c>
      <c r="M16" s="28">
        <f t="shared" si="22"/>
        <v>324692.11516196741</v>
      </c>
      <c r="N16" s="28">
        <f t="shared" si="22"/>
        <v>327320.78244729515</v>
      </c>
      <c r="O16" s="28">
        <f t="shared" si="22"/>
        <v>342556.53803305473</v>
      </c>
      <c r="P16" s="28">
        <f t="shared" si="22"/>
        <v>345328.1207013512</v>
      </c>
      <c r="Q16" s="28">
        <f t="shared" si="22"/>
        <v>348121.87603099394</v>
      </c>
      <c r="R16" s="28">
        <f t="shared" si="22"/>
        <v>364314.48192160367</v>
      </c>
      <c r="S16" s="28">
        <f t="shared" si="22"/>
        <v>367260.12814100849</v>
      </c>
      <c r="T16" s="28">
        <f t="shared" si="22"/>
        <v>370229.33953016845</v>
      </c>
      <c r="U16" s="28">
        <f t="shared" si="22"/>
        <v>373222.3046104419</v>
      </c>
      <c r="V16" s="28">
        <f t="shared" si="22"/>
        <v>376239.21341135737</v>
      </c>
      <c r="W16" s="28">
        <f t="shared" si="22"/>
        <v>393725.2168214639</v>
      </c>
      <c r="X16" s="28">
        <f t="shared" si="22"/>
        <v>396906.14892006759</v>
      </c>
      <c r="Y16" s="28">
        <f t="shared" si="22"/>
        <v>400112.52847546013</v>
      </c>
      <c r="Z16" s="28">
        <f t="shared" si="22"/>
        <v>403344.55906729586</v>
      </c>
      <c r="AA16" s="28">
        <f t="shared" si="22"/>
        <v>421304.13125956256</v>
      </c>
      <c r="AB16" s="28">
        <f t="shared" si="22"/>
        <v>423900.38312167104</v>
      </c>
      <c r="AC16" s="28">
        <f t="shared" si="22"/>
        <v>426517.40499867639</v>
      </c>
      <c r="AD16" s="28">
        <f t="shared" si="22"/>
        <v>429155.36305069784</v>
      </c>
      <c r="AE16" s="28">
        <f t="shared" si="22"/>
        <v>431814.42476713541</v>
      </c>
      <c r="AF16" s="28">
        <f t="shared" si="22"/>
        <v>434494.75897730456</v>
      </c>
      <c r="AG16" s="28">
        <f t="shared" si="22"/>
        <v>437196.53586115502</v>
      </c>
      <c r="AH16" s="28">
        <f t="shared" si="22"/>
        <v>439919.92696007621</v>
      </c>
      <c r="AI16" s="28">
        <f t="shared" si="22"/>
        <v>442665.10518778884</v>
      </c>
      <c r="AJ16" s="28">
        <f t="shared" si="22"/>
        <v>445432.24484132323</v>
      </c>
      <c r="AK16" s="28">
        <f t="shared" si="22"/>
        <v>448221.52161208575</v>
      </c>
      <c r="AL16" s="28">
        <f t="shared" si="22"/>
        <v>451033.11259701452</v>
      </c>
      <c r="AM16" s="28">
        <f t="shared" si="22"/>
        <v>453867.19630982267</v>
      </c>
      <c r="AN16" s="28">
        <f t="shared" si="22"/>
        <v>470293.54550925858</v>
      </c>
      <c r="AO16" s="28">
        <f t="shared" si="22"/>
        <v>473281.71268536465</v>
      </c>
      <c r="AP16" s="28">
        <f t="shared" si="22"/>
        <v>476293.78519887954</v>
      </c>
      <c r="AQ16" s="28">
        <f t="shared" si="22"/>
        <v>479329.9542925026</v>
      </c>
      <c r="AR16" s="28">
        <f t="shared" si="22"/>
        <v>482390.41273887467</v>
      </c>
      <c r="AS16" s="28">
        <f t="shared" si="22"/>
        <v>485475.3548528176</v>
      </c>
      <c r="AT16" s="28">
        <f t="shared" si="22"/>
        <v>488584.97650367214</v>
      </c>
      <c r="AU16" s="28">
        <f t="shared" si="22"/>
        <v>491719.47512773355</v>
      </c>
      <c r="AV16" s="28">
        <f t="shared" si="22"/>
        <v>494879.04974078754</v>
      </c>
      <c r="AW16" s="28">
        <f t="shared" si="22"/>
        <v>498063.9009507458</v>
      </c>
      <c r="AX16" s="28">
        <f t="shared" ref="AX16:BB16" si="23">AX14-AX15</f>
        <v>501274.23097038374</v>
      </c>
      <c r="AY16" s="28">
        <f t="shared" si="23"/>
        <v>504510.24363017885</v>
      </c>
      <c r="AZ16" s="28">
        <f t="shared" si="23"/>
        <v>507772.14439125231</v>
      </c>
      <c r="BA16" s="28">
        <f t="shared" si="23"/>
        <v>511060.14035841433</v>
      </c>
      <c r="BB16" s="28">
        <f t="shared" si="23"/>
        <v>514374.44029331364</v>
      </c>
      <c r="BI16" s="2">
        <v>30605.010678417373</v>
      </c>
    </row>
    <row r="17" spans="4:61" x14ac:dyDescent="0.2">
      <c r="D17" s="2" t="s">
        <v>196</v>
      </c>
      <c r="E17" s="28">
        <f>E16/12</f>
        <v>23533.933646682326</v>
      </c>
      <c r="F17" s="28">
        <f t="shared" ref="F17:AW17" si="24">F16/12</f>
        <v>23724.799312858446</v>
      </c>
      <c r="G17" s="28">
        <f t="shared" si="24"/>
        <v>24831.056714015267</v>
      </c>
      <c r="H17" s="28">
        <f t="shared" si="24"/>
        <v>25032.299364730061</v>
      </c>
      <c r="I17" s="28">
        <f t="shared" si="24"/>
        <v>25235.151956650563</v>
      </c>
      <c r="J17" s="28">
        <f t="shared" si="24"/>
        <v>25439.627369306429</v>
      </c>
      <c r="K17" s="28">
        <f t="shared" si="24"/>
        <v>26624.766861059867</v>
      </c>
      <c r="L17" s="28">
        <f t="shared" si="24"/>
        <v>26840.359192951011</v>
      </c>
      <c r="M17" s="28">
        <f t="shared" si="24"/>
        <v>27057.676263497284</v>
      </c>
      <c r="N17" s="28">
        <f t="shared" si="24"/>
        <v>27276.731870607928</v>
      </c>
      <c r="O17" s="28">
        <f t="shared" si="24"/>
        <v>28546.378169421227</v>
      </c>
      <c r="P17" s="28">
        <f t="shared" si="24"/>
        <v>28777.343391779268</v>
      </c>
      <c r="Q17" s="28">
        <f t="shared" si="24"/>
        <v>29010.156335916163</v>
      </c>
      <c r="R17" s="28">
        <f t="shared" si="24"/>
        <v>30359.540160133638</v>
      </c>
      <c r="S17" s="28">
        <f t="shared" si="24"/>
        <v>30605.010678417373</v>
      </c>
      <c r="T17" s="28">
        <f t="shared" si="24"/>
        <v>30852.44496084737</v>
      </c>
      <c r="U17" s="28">
        <f t="shared" si="24"/>
        <v>31101.858717536827</v>
      </c>
      <c r="V17" s="28">
        <f t="shared" si="24"/>
        <v>31353.267784279782</v>
      </c>
      <c r="W17" s="28">
        <f t="shared" si="24"/>
        <v>32810.434735121991</v>
      </c>
      <c r="X17" s="28">
        <f t="shared" si="24"/>
        <v>33075.512410005635</v>
      </c>
      <c r="Y17" s="28">
        <f t="shared" si="24"/>
        <v>33342.710706288344</v>
      </c>
      <c r="Z17" s="28">
        <f t="shared" si="24"/>
        <v>33612.046588941324</v>
      </c>
      <c r="AA17" s="28">
        <f t="shared" si="24"/>
        <v>35108.677604963545</v>
      </c>
      <c r="AB17" s="28">
        <f t="shared" si="24"/>
        <v>35325.031926805917</v>
      </c>
      <c r="AC17" s="28">
        <f t="shared" si="24"/>
        <v>35543.117083223035</v>
      </c>
      <c r="AD17" s="28">
        <f t="shared" si="24"/>
        <v>35762.946920891489</v>
      </c>
      <c r="AE17" s="28">
        <f t="shared" si="24"/>
        <v>35984.535397261287</v>
      </c>
      <c r="AF17" s="28">
        <f t="shared" si="24"/>
        <v>36207.896581442044</v>
      </c>
      <c r="AG17" s="28">
        <f t="shared" si="24"/>
        <v>36433.044655096252</v>
      </c>
      <c r="AH17" s="28">
        <f t="shared" si="24"/>
        <v>36659.993913339684</v>
      </c>
      <c r="AI17" s="28">
        <f t="shared" si="24"/>
        <v>36888.758765649072</v>
      </c>
      <c r="AJ17" s="28">
        <f t="shared" si="24"/>
        <v>37119.353736776939</v>
      </c>
      <c r="AK17" s="28">
        <f t="shared" si="24"/>
        <v>37351.793467673815</v>
      </c>
      <c r="AL17" s="28">
        <f t="shared" si="24"/>
        <v>37586.092716417879</v>
      </c>
      <c r="AM17" s="28">
        <f t="shared" si="24"/>
        <v>37822.266359151887</v>
      </c>
      <c r="AN17" s="28">
        <f t="shared" si="24"/>
        <v>39191.128792438212</v>
      </c>
      <c r="AO17" s="28">
        <f t="shared" si="24"/>
        <v>39440.142723780387</v>
      </c>
      <c r="AP17" s="28">
        <f t="shared" si="24"/>
        <v>39691.148766573293</v>
      </c>
      <c r="AQ17" s="28">
        <f t="shared" si="24"/>
        <v>39944.16285770855</v>
      </c>
      <c r="AR17" s="28">
        <f t="shared" si="24"/>
        <v>40199.201061572887</v>
      </c>
      <c r="AS17" s="28">
        <f t="shared" si="24"/>
        <v>40456.279571068131</v>
      </c>
      <c r="AT17" s="28">
        <f t="shared" si="24"/>
        <v>40715.414708639342</v>
      </c>
      <c r="AU17" s="28">
        <f t="shared" si="24"/>
        <v>40976.622927311131</v>
      </c>
      <c r="AV17" s="28">
        <f t="shared" si="24"/>
        <v>41239.920811732292</v>
      </c>
      <c r="AW17" s="28">
        <f t="shared" si="24"/>
        <v>41505.325079228816</v>
      </c>
      <c r="AX17" s="28">
        <f t="shared" ref="AX17:BB17" si="25">AX16/12</f>
        <v>41772.852580865314</v>
      </c>
      <c r="AY17" s="28">
        <f t="shared" si="25"/>
        <v>42042.520302514902</v>
      </c>
      <c r="AZ17" s="28">
        <f t="shared" si="25"/>
        <v>42314.34536593769</v>
      </c>
      <c r="BA17" s="28">
        <f t="shared" si="25"/>
        <v>42588.345029867858</v>
      </c>
      <c r="BB17" s="28">
        <f t="shared" si="25"/>
        <v>42864.536691109468</v>
      </c>
      <c r="BI17" s="2">
        <v>30852.44496084737</v>
      </c>
    </row>
    <row r="18" spans="4:61" x14ac:dyDescent="0.2">
      <c r="BI18" s="2">
        <v>31101.858717536827</v>
      </c>
    </row>
    <row r="19" spans="4:61" x14ac:dyDescent="0.2">
      <c r="BI19" s="2">
        <v>31353.267784279782</v>
      </c>
    </row>
    <row r="20" spans="4:61" x14ac:dyDescent="0.2">
      <c r="D20" s="26"/>
      <c r="BI20" s="2">
        <v>32810.434735121991</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33075.512410005635</v>
      </c>
    </row>
    <row r="22" spans="4:61" x14ac:dyDescent="0.2">
      <c r="D22" s="2" t="s">
        <v>202</v>
      </c>
      <c r="E22" s="26">
        <f>'Pensions P1'!$B$18+'Pensions P1'!$B$22+'Pensions P1'!$B$31</f>
        <v>44829.348822839886</v>
      </c>
      <c r="F22" s="26">
        <f>'Pensions P1'!$B$18+'Pensions P1'!$B$22+'Pensions P1'!$B$31</f>
        <v>44829.348822839886</v>
      </c>
      <c r="G22" s="26">
        <f>'Pensions P1'!$B$18+'Pensions P1'!$B$22+'Pensions P1'!$B$31</f>
        <v>44829.348822839886</v>
      </c>
      <c r="H22" s="26">
        <f>'Pensions P1'!$B$18+'Pensions P1'!$B$22+'Pensions P1'!$B$31</f>
        <v>44829.348822839886</v>
      </c>
      <c r="I22" s="26">
        <f>'Pensions P1'!$B$18+'Pensions P1'!$B$22+'Pensions P1'!$B$31</f>
        <v>44829.348822839886</v>
      </c>
      <c r="J22" s="26">
        <f>'Pensions P1'!$B$18+'Pensions P1'!$B$22+'Pensions P1'!$B$31</f>
        <v>44829.348822839886</v>
      </c>
      <c r="K22" s="26">
        <f>'Pensions P1'!$B$18+'Pensions P1'!$B$22+'Pensions P1'!$B$31</f>
        <v>44829.348822839886</v>
      </c>
      <c r="L22" s="26">
        <f>'Pensions P1'!$B$18+'Pensions P1'!$B$22+'Pensions P1'!$B$31</f>
        <v>44829.348822839886</v>
      </c>
      <c r="M22" s="26">
        <f>'Pensions P1'!$B$18+'Pensions P1'!$B$22+'Pensions P1'!$B$31</f>
        <v>44829.348822839886</v>
      </c>
      <c r="N22" s="26">
        <f>'Pensions P1'!$B$18+'Pensions P1'!$B$22+'Pensions P1'!$B$31</f>
        <v>44829.348822839886</v>
      </c>
      <c r="O22" s="26">
        <f>'Pensions P1'!$B$18+'Pensions P1'!$B$22+'Pensions P1'!$B$31</f>
        <v>44829.348822839886</v>
      </c>
      <c r="P22" s="26">
        <f>'Pensions P1'!$B$18+'Pensions P1'!$B$22+'Pensions P1'!$B$31</f>
        <v>44829.348822839886</v>
      </c>
      <c r="Q22" s="26">
        <f>'Pensions P1'!$B$18+'Pensions P1'!$B$22+'Pensions P1'!$B$31</f>
        <v>44829.348822839886</v>
      </c>
      <c r="R22" s="26">
        <f>'Pensions P1'!$B$18+'Pensions P1'!$B$22+'Pensions P1'!$B$31</f>
        <v>44829.348822839886</v>
      </c>
      <c r="S22" s="26">
        <f>'Pensions P1'!$B$18+'Pensions P1'!$B$22+'Pensions P1'!$B$31</f>
        <v>44829.348822839886</v>
      </c>
      <c r="T22" s="26">
        <f>'Pensions P1'!$B$18+'Pensions P1'!$B$22+'Pensions P1'!$B$31</f>
        <v>44829.348822839886</v>
      </c>
      <c r="U22" s="26">
        <f>'Pensions P1'!$B$18+'Pensions P1'!$B$22+'Pensions P1'!$B$31</f>
        <v>44829.348822839886</v>
      </c>
      <c r="V22" s="26">
        <f>'Pensions P1'!$B$18+'Pensions P1'!$B$22+'Pensions P1'!$B$31</f>
        <v>44829.348822839886</v>
      </c>
      <c r="W22" s="26">
        <f>'Pensions P1'!$B$18+'Pensions P1'!$B$22+'Pensions P1'!$B$31</f>
        <v>44829.348822839886</v>
      </c>
      <c r="X22" s="26">
        <f>'Pensions P1'!$B$18+'Pensions P1'!$B$22+'Pensions P1'!$B$31</f>
        <v>44829.348822839886</v>
      </c>
      <c r="Y22" s="26">
        <f>'Pensions P1'!$B$18+'Pensions P1'!$B$22+'Pensions P1'!$B$31</f>
        <v>44829.348822839886</v>
      </c>
      <c r="Z22" s="26">
        <f>'Pensions P1'!$B$18+'Pensions P1'!$B$22+'Pensions P1'!$B$31</f>
        <v>44829.348822839886</v>
      </c>
      <c r="AA22" s="26">
        <f>'Pensions P1'!$B$18+'Pensions P1'!$B$22+'Pensions P1'!$B$31</f>
        <v>44829.348822839886</v>
      </c>
      <c r="AB22" s="26">
        <f>'Pensions P1'!$B$18+'Pensions P1'!$B$22+'Pensions P1'!$B$31</f>
        <v>44829.348822839886</v>
      </c>
      <c r="AC22" s="26">
        <f>'Pensions P1'!$B$18+'Pensions P1'!$B$22+'Pensions P1'!$B$31</f>
        <v>44829.348822839886</v>
      </c>
      <c r="BI22" s="2">
        <v>33342.710706288344</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33612.046588941324</v>
      </c>
    </row>
    <row r="24" spans="4:61" x14ac:dyDescent="0.2">
      <c r="D24" s="2" t="s">
        <v>203</v>
      </c>
      <c r="E24" s="26">
        <f>E22*12</f>
        <v>537952.18587407866</v>
      </c>
      <c r="F24" s="26">
        <f t="shared" ref="F24:AC24" si="26">F22*12</f>
        <v>537952.18587407866</v>
      </c>
      <c r="G24" s="26">
        <f t="shared" si="26"/>
        <v>537952.18587407866</v>
      </c>
      <c r="H24" s="26">
        <f t="shared" si="26"/>
        <v>537952.18587407866</v>
      </c>
      <c r="I24" s="26">
        <f t="shared" si="26"/>
        <v>537952.18587407866</v>
      </c>
      <c r="J24" s="26">
        <f t="shared" si="26"/>
        <v>537952.18587407866</v>
      </c>
      <c r="K24" s="26">
        <f t="shared" si="26"/>
        <v>537952.18587407866</v>
      </c>
      <c r="L24" s="26">
        <f t="shared" si="26"/>
        <v>537952.18587407866</v>
      </c>
      <c r="M24" s="26">
        <f t="shared" si="26"/>
        <v>537952.18587407866</v>
      </c>
      <c r="N24" s="26">
        <f t="shared" si="26"/>
        <v>537952.18587407866</v>
      </c>
      <c r="O24" s="26">
        <f t="shared" si="26"/>
        <v>537952.18587407866</v>
      </c>
      <c r="P24" s="26">
        <f t="shared" si="26"/>
        <v>537952.18587407866</v>
      </c>
      <c r="Q24" s="26">
        <f t="shared" si="26"/>
        <v>537952.18587407866</v>
      </c>
      <c r="R24" s="26">
        <f t="shared" si="26"/>
        <v>537952.18587407866</v>
      </c>
      <c r="S24" s="26">
        <f t="shared" si="26"/>
        <v>537952.18587407866</v>
      </c>
      <c r="T24" s="26">
        <f t="shared" si="26"/>
        <v>537952.18587407866</v>
      </c>
      <c r="U24" s="26">
        <f t="shared" si="26"/>
        <v>537952.18587407866</v>
      </c>
      <c r="V24" s="26">
        <f t="shared" si="26"/>
        <v>537952.18587407866</v>
      </c>
      <c r="W24" s="26">
        <f t="shared" si="26"/>
        <v>537952.18587407866</v>
      </c>
      <c r="X24" s="26">
        <f t="shared" si="26"/>
        <v>537952.18587407866</v>
      </c>
      <c r="Y24" s="26">
        <f t="shared" si="26"/>
        <v>537952.18587407866</v>
      </c>
      <c r="Z24" s="26">
        <f t="shared" si="26"/>
        <v>537952.18587407866</v>
      </c>
      <c r="AA24" s="26">
        <f t="shared" si="26"/>
        <v>537952.18587407866</v>
      </c>
      <c r="AB24" s="26">
        <f t="shared" si="26"/>
        <v>537952.18587407866</v>
      </c>
      <c r="AC24" s="26">
        <f t="shared" si="26"/>
        <v>537952.18587407866</v>
      </c>
      <c r="BI24" s="2">
        <v>35108.677604963545</v>
      </c>
    </row>
    <row r="25" spans="4:61" x14ac:dyDescent="0.2">
      <c r="D25" s="2" t="s">
        <v>189</v>
      </c>
      <c r="E25" s="26">
        <f>E24*$B$9</f>
        <v>134488.04646851966</v>
      </c>
      <c r="F25" s="26">
        <f t="shared" ref="F25:AC25" si="27">F24*$B$9</f>
        <v>134488.04646851966</v>
      </c>
      <c r="G25" s="26">
        <f t="shared" si="27"/>
        <v>134488.04646851966</v>
      </c>
      <c r="H25" s="26">
        <f t="shared" si="27"/>
        <v>134488.04646851966</v>
      </c>
      <c r="I25" s="26">
        <f t="shared" si="27"/>
        <v>134488.04646851966</v>
      </c>
      <c r="J25" s="26">
        <f t="shared" si="27"/>
        <v>134488.04646851966</v>
      </c>
      <c r="K25" s="26">
        <f t="shared" si="27"/>
        <v>134488.04646851966</v>
      </c>
      <c r="L25" s="26">
        <f t="shared" si="27"/>
        <v>134488.04646851966</v>
      </c>
      <c r="M25" s="26">
        <f t="shared" si="27"/>
        <v>134488.04646851966</v>
      </c>
      <c r="N25" s="26">
        <f t="shared" si="27"/>
        <v>134488.04646851966</v>
      </c>
      <c r="O25" s="26">
        <f t="shared" si="27"/>
        <v>134488.04646851966</v>
      </c>
      <c r="P25" s="26">
        <f t="shared" si="27"/>
        <v>134488.04646851966</v>
      </c>
      <c r="Q25" s="26">
        <f t="shared" si="27"/>
        <v>134488.04646851966</v>
      </c>
      <c r="R25" s="26">
        <f t="shared" si="27"/>
        <v>134488.04646851966</v>
      </c>
      <c r="S25" s="26">
        <f t="shared" si="27"/>
        <v>134488.04646851966</v>
      </c>
      <c r="T25" s="26">
        <f t="shared" si="27"/>
        <v>134488.04646851966</v>
      </c>
      <c r="U25" s="26">
        <f t="shared" si="27"/>
        <v>134488.04646851966</v>
      </c>
      <c r="V25" s="26">
        <f t="shared" si="27"/>
        <v>134488.04646851966</v>
      </c>
      <c r="W25" s="26">
        <f t="shared" si="27"/>
        <v>134488.04646851966</v>
      </c>
      <c r="X25" s="26">
        <f t="shared" si="27"/>
        <v>134488.04646851966</v>
      </c>
      <c r="Y25" s="26">
        <f t="shared" si="27"/>
        <v>134488.04646851966</v>
      </c>
      <c r="Z25" s="26">
        <f t="shared" si="27"/>
        <v>134488.04646851966</v>
      </c>
      <c r="AA25" s="26">
        <f t="shared" si="27"/>
        <v>134488.04646851966</v>
      </c>
      <c r="AB25" s="26">
        <f t="shared" si="27"/>
        <v>134488.04646851966</v>
      </c>
      <c r="AC25" s="26">
        <f t="shared" si="27"/>
        <v>134488.04646851966</v>
      </c>
      <c r="BI25" s="2">
        <v>35325.031926805917</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35543.117083223035</v>
      </c>
    </row>
    <row r="27" spans="4:61" x14ac:dyDescent="0.2">
      <c r="D27" s="2" t="s">
        <v>191</v>
      </c>
      <c r="E27" s="26">
        <f>E24*$B$6</f>
        <v>64608.057523476848</v>
      </c>
      <c r="F27" s="26">
        <f t="shared" ref="F27:AC27" si="29">F24*$B$6</f>
        <v>64608.057523476848</v>
      </c>
      <c r="G27" s="26">
        <f t="shared" si="29"/>
        <v>64608.057523476848</v>
      </c>
      <c r="H27" s="26">
        <f t="shared" si="29"/>
        <v>64608.057523476848</v>
      </c>
      <c r="I27" s="26">
        <f t="shared" si="29"/>
        <v>64608.057523476848</v>
      </c>
      <c r="J27" s="26">
        <f t="shared" si="29"/>
        <v>64608.057523476848</v>
      </c>
      <c r="K27" s="26">
        <f t="shared" si="29"/>
        <v>64608.057523476848</v>
      </c>
      <c r="L27" s="26">
        <f t="shared" si="29"/>
        <v>64608.057523476848</v>
      </c>
      <c r="M27" s="26">
        <f t="shared" si="29"/>
        <v>64608.057523476848</v>
      </c>
      <c r="N27" s="26">
        <f t="shared" si="29"/>
        <v>64608.057523476848</v>
      </c>
      <c r="O27" s="26">
        <f t="shared" si="29"/>
        <v>64608.057523476848</v>
      </c>
      <c r="P27" s="26">
        <f t="shared" si="29"/>
        <v>64608.057523476848</v>
      </c>
      <c r="Q27" s="26">
        <f t="shared" si="29"/>
        <v>64608.057523476848</v>
      </c>
      <c r="R27" s="26">
        <f t="shared" si="29"/>
        <v>64608.057523476848</v>
      </c>
      <c r="S27" s="26">
        <f t="shared" si="29"/>
        <v>64608.057523476848</v>
      </c>
      <c r="T27" s="26">
        <f t="shared" si="29"/>
        <v>64608.057523476848</v>
      </c>
      <c r="U27" s="26">
        <f t="shared" si="29"/>
        <v>64608.057523476848</v>
      </c>
      <c r="V27" s="26">
        <f t="shared" si="29"/>
        <v>64608.057523476848</v>
      </c>
      <c r="W27" s="26">
        <f t="shared" si="29"/>
        <v>64608.057523476848</v>
      </c>
      <c r="X27" s="26">
        <f t="shared" si="29"/>
        <v>64608.057523476848</v>
      </c>
      <c r="Y27" s="26">
        <f t="shared" si="29"/>
        <v>64608.057523476848</v>
      </c>
      <c r="Z27" s="26">
        <f t="shared" si="29"/>
        <v>64608.057523476848</v>
      </c>
      <c r="AA27" s="26">
        <f t="shared" si="29"/>
        <v>64608.057523476848</v>
      </c>
      <c r="AB27" s="26">
        <f t="shared" si="29"/>
        <v>64608.057523476848</v>
      </c>
      <c r="AC27" s="26">
        <f t="shared" si="29"/>
        <v>64608.057523476848</v>
      </c>
      <c r="BI27" s="2">
        <v>35762.946920891489</v>
      </c>
    </row>
    <row r="28" spans="4:61" x14ac:dyDescent="0.2">
      <c r="D28" s="2" t="s">
        <v>192</v>
      </c>
      <c r="E28" s="26">
        <f>SUM(E25:E27)</f>
        <v>199096.1039919965</v>
      </c>
      <c r="F28" s="26">
        <f>SUM(F25:F27)</f>
        <v>199096.1039919965</v>
      </c>
      <c r="G28" s="26">
        <f t="shared" ref="G28:AC28" si="30">SUM(G25:G27)</f>
        <v>199096.1039919965</v>
      </c>
      <c r="H28" s="26">
        <f t="shared" si="30"/>
        <v>199096.1039919965</v>
      </c>
      <c r="I28" s="26">
        <f t="shared" si="30"/>
        <v>199096.1039919965</v>
      </c>
      <c r="J28" s="26">
        <f t="shared" si="30"/>
        <v>199096.1039919965</v>
      </c>
      <c r="K28" s="26">
        <f t="shared" si="30"/>
        <v>199096.1039919965</v>
      </c>
      <c r="L28" s="26">
        <f t="shared" si="30"/>
        <v>199096.1039919965</v>
      </c>
      <c r="M28" s="26">
        <f t="shared" si="30"/>
        <v>199096.1039919965</v>
      </c>
      <c r="N28" s="26">
        <f t="shared" si="30"/>
        <v>199096.1039919965</v>
      </c>
      <c r="O28" s="26">
        <f t="shared" si="30"/>
        <v>199096.1039919965</v>
      </c>
      <c r="P28" s="26">
        <f t="shared" si="30"/>
        <v>199096.1039919965</v>
      </c>
      <c r="Q28" s="26">
        <f t="shared" si="30"/>
        <v>199096.1039919965</v>
      </c>
      <c r="R28" s="26">
        <f t="shared" si="30"/>
        <v>199096.1039919965</v>
      </c>
      <c r="S28" s="26">
        <f t="shared" si="30"/>
        <v>199096.1039919965</v>
      </c>
      <c r="T28" s="26">
        <f t="shared" si="30"/>
        <v>199096.1039919965</v>
      </c>
      <c r="U28" s="26">
        <f t="shared" si="30"/>
        <v>199096.1039919965</v>
      </c>
      <c r="V28" s="26">
        <f t="shared" si="30"/>
        <v>199096.1039919965</v>
      </c>
      <c r="W28" s="26">
        <f t="shared" si="30"/>
        <v>199096.1039919965</v>
      </c>
      <c r="X28" s="26">
        <f t="shared" si="30"/>
        <v>199096.1039919965</v>
      </c>
      <c r="Y28" s="26">
        <f t="shared" si="30"/>
        <v>199096.1039919965</v>
      </c>
      <c r="Z28" s="26">
        <f t="shared" si="30"/>
        <v>199096.1039919965</v>
      </c>
      <c r="AA28" s="26">
        <f t="shared" si="30"/>
        <v>199096.1039919965</v>
      </c>
      <c r="AB28" s="26">
        <f t="shared" si="30"/>
        <v>199096.1039919965</v>
      </c>
      <c r="AC28" s="26">
        <f t="shared" si="30"/>
        <v>199096.1039919965</v>
      </c>
      <c r="BI28" s="2">
        <v>35984.535397261287</v>
      </c>
    </row>
    <row r="29" spans="4:61" x14ac:dyDescent="0.2">
      <c r="D29" s="2" t="s">
        <v>193</v>
      </c>
      <c r="E29" s="26">
        <f>E24-E28</f>
        <v>338856.08188208216</v>
      </c>
      <c r="F29" s="26">
        <f t="shared" ref="F29:AC29" si="31">F24-F28</f>
        <v>338856.08188208216</v>
      </c>
      <c r="G29" s="26">
        <f t="shared" si="31"/>
        <v>338856.08188208216</v>
      </c>
      <c r="H29" s="26">
        <f t="shared" si="31"/>
        <v>338856.08188208216</v>
      </c>
      <c r="I29" s="26">
        <f t="shared" si="31"/>
        <v>338856.08188208216</v>
      </c>
      <c r="J29" s="26">
        <f t="shared" si="31"/>
        <v>338856.08188208216</v>
      </c>
      <c r="K29" s="26">
        <f t="shared" si="31"/>
        <v>338856.08188208216</v>
      </c>
      <c r="L29" s="26">
        <f t="shared" si="31"/>
        <v>338856.08188208216</v>
      </c>
      <c r="M29" s="26">
        <f t="shared" si="31"/>
        <v>338856.08188208216</v>
      </c>
      <c r="N29" s="26">
        <f t="shared" si="31"/>
        <v>338856.08188208216</v>
      </c>
      <c r="O29" s="26">
        <f t="shared" si="31"/>
        <v>338856.08188208216</v>
      </c>
      <c r="P29" s="26">
        <f t="shared" si="31"/>
        <v>338856.08188208216</v>
      </c>
      <c r="Q29" s="26">
        <f t="shared" si="31"/>
        <v>338856.08188208216</v>
      </c>
      <c r="R29" s="26">
        <f t="shared" si="31"/>
        <v>338856.08188208216</v>
      </c>
      <c r="S29" s="26">
        <f t="shared" si="31"/>
        <v>338856.08188208216</v>
      </c>
      <c r="T29" s="26">
        <f t="shared" si="31"/>
        <v>338856.08188208216</v>
      </c>
      <c r="U29" s="26">
        <f t="shared" si="31"/>
        <v>338856.08188208216</v>
      </c>
      <c r="V29" s="26">
        <f t="shared" si="31"/>
        <v>338856.08188208216</v>
      </c>
      <c r="W29" s="26">
        <f t="shared" si="31"/>
        <v>338856.08188208216</v>
      </c>
      <c r="X29" s="26">
        <f t="shared" si="31"/>
        <v>338856.08188208216</v>
      </c>
      <c r="Y29" s="26">
        <f t="shared" si="31"/>
        <v>338856.08188208216</v>
      </c>
      <c r="Z29" s="26">
        <f t="shared" si="31"/>
        <v>338856.08188208216</v>
      </c>
      <c r="AA29" s="26">
        <f t="shared" si="31"/>
        <v>338856.08188208216</v>
      </c>
      <c r="AB29" s="26">
        <f t="shared" si="31"/>
        <v>338856.08188208216</v>
      </c>
      <c r="AC29" s="26">
        <f t="shared" si="31"/>
        <v>338856.08188208216</v>
      </c>
      <c r="BI29" s="2">
        <v>36207.896581442044</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36433.044655096252</v>
      </c>
    </row>
    <row r="31" spans="4:61" x14ac:dyDescent="0.2">
      <c r="D31" s="2" t="s">
        <v>196</v>
      </c>
      <c r="E31" s="26">
        <f>(E29/12)+E30</f>
        <v>31407.371392140882</v>
      </c>
      <c r="F31" s="26">
        <f t="shared" ref="F31:AC31" si="32">(F29/12)+F30</f>
        <v>31407.371392140882</v>
      </c>
      <c r="G31" s="26">
        <f t="shared" si="32"/>
        <v>31407.371392140882</v>
      </c>
      <c r="H31" s="26">
        <f t="shared" si="32"/>
        <v>31407.371392140882</v>
      </c>
      <c r="I31" s="26">
        <f t="shared" si="32"/>
        <v>31407.371392140882</v>
      </c>
      <c r="J31" s="26">
        <f t="shared" si="32"/>
        <v>31407.371392140882</v>
      </c>
      <c r="K31" s="26">
        <f t="shared" si="32"/>
        <v>31407.371392140882</v>
      </c>
      <c r="L31" s="26">
        <f t="shared" si="32"/>
        <v>31407.371392140882</v>
      </c>
      <c r="M31" s="26">
        <f t="shared" si="32"/>
        <v>31407.371392140882</v>
      </c>
      <c r="N31" s="26">
        <f t="shared" si="32"/>
        <v>31407.371392140882</v>
      </c>
      <c r="O31" s="26">
        <f t="shared" si="32"/>
        <v>31407.371392140882</v>
      </c>
      <c r="P31" s="26">
        <f t="shared" si="32"/>
        <v>31407.371392140882</v>
      </c>
      <c r="Q31" s="26">
        <f t="shared" si="32"/>
        <v>31407.371392140882</v>
      </c>
      <c r="R31" s="26">
        <f t="shared" si="32"/>
        <v>31407.371392140882</v>
      </c>
      <c r="S31" s="26">
        <f t="shared" si="32"/>
        <v>31407.371392140882</v>
      </c>
      <c r="T31" s="26">
        <f t="shared" si="32"/>
        <v>31407.371392140882</v>
      </c>
      <c r="U31" s="26">
        <f t="shared" si="32"/>
        <v>31407.371392140882</v>
      </c>
      <c r="V31" s="26">
        <f t="shared" si="32"/>
        <v>31407.371392140882</v>
      </c>
      <c r="W31" s="26">
        <f t="shared" si="32"/>
        <v>31407.371392140882</v>
      </c>
      <c r="X31" s="26">
        <f t="shared" si="32"/>
        <v>31407.371392140882</v>
      </c>
      <c r="Y31" s="26">
        <f t="shared" si="32"/>
        <v>31407.371392140882</v>
      </c>
      <c r="Z31" s="26">
        <f t="shared" si="32"/>
        <v>31407.371392140882</v>
      </c>
      <c r="AA31" s="26">
        <f t="shared" si="32"/>
        <v>31407.371392140882</v>
      </c>
      <c r="AB31" s="26">
        <f t="shared" si="32"/>
        <v>31407.371392140882</v>
      </c>
      <c r="AC31" s="26">
        <f t="shared" si="32"/>
        <v>31407.371392140882</v>
      </c>
      <c r="BI31" s="2">
        <v>36659.993913339684</v>
      </c>
    </row>
    <row r="32" spans="4:61" x14ac:dyDescent="0.2">
      <c r="D32" s="2" t="s">
        <v>274</v>
      </c>
      <c r="E32" s="26">
        <f>Income!$K$52</f>
        <v>34291.629352887576</v>
      </c>
      <c r="F32" s="26">
        <f>Income!$K$52</f>
        <v>34291.629352887576</v>
      </c>
      <c r="G32" s="26">
        <f>Income!$K$52</f>
        <v>34291.629352887576</v>
      </c>
      <c r="H32" s="26">
        <f>Income!$K$52</f>
        <v>34291.629352887576</v>
      </c>
      <c r="I32" s="26">
        <f>Income!$K$52</f>
        <v>34291.629352887576</v>
      </c>
      <c r="J32" s="26">
        <f>Income!$K$52</f>
        <v>34291.629352887576</v>
      </c>
      <c r="K32" s="26">
        <f>Income!$K$52</f>
        <v>34291.629352887576</v>
      </c>
      <c r="L32" s="26">
        <f>Income!$K$52</f>
        <v>34291.629352887576</v>
      </c>
      <c r="M32" s="26">
        <f>Income!$K$52</f>
        <v>34291.629352887576</v>
      </c>
      <c r="N32" s="26">
        <f>Income!$K$52</f>
        <v>34291.629352887576</v>
      </c>
      <c r="O32" s="26">
        <f>Income!$K$52</f>
        <v>34291.629352887576</v>
      </c>
      <c r="P32" s="26">
        <f>Income!$K$52</f>
        <v>34291.629352887576</v>
      </c>
      <c r="Q32" s="26">
        <f>Income!$K$52</f>
        <v>34291.629352887576</v>
      </c>
      <c r="R32" s="26">
        <f>Income!$K$52</f>
        <v>34291.629352887576</v>
      </c>
      <c r="S32" s="26">
        <f>Income!$K$52</f>
        <v>34291.629352887576</v>
      </c>
      <c r="T32" s="26">
        <f>Income!$K$52</f>
        <v>34291.629352887576</v>
      </c>
      <c r="U32" s="26">
        <f>Income!$K$52</f>
        <v>34291.629352887576</v>
      </c>
      <c r="V32" s="26">
        <f>Income!$K$52</f>
        <v>34291.629352887576</v>
      </c>
      <c r="W32" s="26">
        <f>Income!$K$52</f>
        <v>34291.629352887576</v>
      </c>
      <c r="X32" s="26">
        <f>Income!$K$52</f>
        <v>34291.629352887576</v>
      </c>
      <c r="Y32" s="26">
        <f>Income!$K$52</f>
        <v>34291.629352887576</v>
      </c>
      <c r="Z32" s="26">
        <f>Income!$K$52</f>
        <v>34291.629352887576</v>
      </c>
      <c r="AA32" s="26">
        <f>Income!$K$52</f>
        <v>34291.629352887576</v>
      </c>
      <c r="AB32" s="26">
        <f>Income!$K$52</f>
        <v>34291.629352887576</v>
      </c>
      <c r="AC32" s="26">
        <f>Income!$K$52</f>
        <v>34291.629352887576</v>
      </c>
      <c r="BI32" s="2">
        <v>36888.758765649072</v>
      </c>
    </row>
    <row r="33" spans="4:61" x14ac:dyDescent="0.2">
      <c r="D33" s="2" t="s">
        <v>204</v>
      </c>
      <c r="E33" s="26">
        <f>E32-E31</f>
        <v>2884.2579607466942</v>
      </c>
      <c r="F33" s="26">
        <f t="shared" ref="F33:AC33" si="33">F32-F31</f>
        <v>2884.2579607466942</v>
      </c>
      <c r="G33" s="26">
        <f t="shared" si="33"/>
        <v>2884.2579607466942</v>
      </c>
      <c r="H33" s="26">
        <f t="shared" si="33"/>
        <v>2884.2579607466942</v>
      </c>
      <c r="I33" s="26">
        <f t="shared" si="33"/>
        <v>2884.2579607466942</v>
      </c>
      <c r="J33" s="26">
        <f t="shared" si="33"/>
        <v>2884.2579607466942</v>
      </c>
      <c r="K33" s="26">
        <f t="shared" si="33"/>
        <v>2884.2579607466942</v>
      </c>
      <c r="L33" s="26">
        <f t="shared" si="33"/>
        <v>2884.2579607466942</v>
      </c>
      <c r="M33" s="26">
        <f t="shared" si="33"/>
        <v>2884.2579607466942</v>
      </c>
      <c r="N33" s="26">
        <f t="shared" si="33"/>
        <v>2884.2579607466942</v>
      </c>
      <c r="O33" s="26">
        <f t="shared" si="33"/>
        <v>2884.2579607466942</v>
      </c>
      <c r="P33" s="26">
        <f t="shared" si="33"/>
        <v>2884.2579607466942</v>
      </c>
      <c r="Q33" s="26">
        <f t="shared" si="33"/>
        <v>2884.2579607466942</v>
      </c>
      <c r="R33" s="26">
        <f t="shared" si="33"/>
        <v>2884.2579607466942</v>
      </c>
      <c r="S33" s="26">
        <f t="shared" si="33"/>
        <v>2884.2579607466942</v>
      </c>
      <c r="T33" s="26">
        <f t="shared" si="33"/>
        <v>2884.2579607466942</v>
      </c>
      <c r="U33" s="26">
        <f t="shared" si="33"/>
        <v>2884.2579607466942</v>
      </c>
      <c r="V33" s="26">
        <f t="shared" si="33"/>
        <v>2884.2579607466942</v>
      </c>
      <c r="W33" s="26">
        <f t="shared" si="33"/>
        <v>2884.2579607466942</v>
      </c>
      <c r="X33" s="26">
        <f t="shared" si="33"/>
        <v>2884.2579607466942</v>
      </c>
      <c r="Y33" s="26">
        <f t="shared" si="33"/>
        <v>2884.2579607466942</v>
      </c>
      <c r="Z33" s="26">
        <f t="shared" si="33"/>
        <v>2884.2579607466942</v>
      </c>
      <c r="AA33" s="26">
        <f t="shared" si="33"/>
        <v>2884.2579607466942</v>
      </c>
      <c r="AB33" s="26">
        <f t="shared" si="33"/>
        <v>2884.2579607466942</v>
      </c>
      <c r="AC33" s="26">
        <f t="shared" si="33"/>
        <v>2884.2579607466942</v>
      </c>
      <c r="BI33" s="2">
        <v>37119.353736776939</v>
      </c>
    </row>
    <row r="34" spans="4:61" x14ac:dyDescent="0.2">
      <c r="D34" s="2" t="s">
        <v>264</v>
      </c>
      <c r="E34" s="26">
        <f>E33*(1+$B$10)</f>
        <v>3663.0076101483014</v>
      </c>
      <c r="F34" s="26">
        <f t="shared" ref="F34:AC34" si="34">F33*(1+$B$10)</f>
        <v>3663.0076101483014</v>
      </c>
      <c r="G34" s="26">
        <f t="shared" si="34"/>
        <v>3663.0076101483014</v>
      </c>
      <c r="H34" s="26">
        <f t="shared" si="34"/>
        <v>3663.0076101483014</v>
      </c>
      <c r="I34" s="26">
        <f t="shared" si="34"/>
        <v>3663.0076101483014</v>
      </c>
      <c r="J34" s="26">
        <f t="shared" si="34"/>
        <v>3663.0076101483014</v>
      </c>
      <c r="K34" s="26">
        <f t="shared" si="34"/>
        <v>3663.0076101483014</v>
      </c>
      <c r="L34" s="26">
        <f t="shared" si="34"/>
        <v>3663.0076101483014</v>
      </c>
      <c r="M34" s="26">
        <f t="shared" si="34"/>
        <v>3663.0076101483014</v>
      </c>
      <c r="N34" s="26">
        <f t="shared" si="34"/>
        <v>3663.0076101483014</v>
      </c>
      <c r="O34" s="26">
        <f t="shared" si="34"/>
        <v>3663.0076101483014</v>
      </c>
      <c r="P34" s="26">
        <f t="shared" si="34"/>
        <v>3663.0076101483014</v>
      </c>
      <c r="Q34" s="26">
        <f t="shared" si="34"/>
        <v>3663.0076101483014</v>
      </c>
      <c r="R34" s="26">
        <f t="shared" si="34"/>
        <v>3663.0076101483014</v>
      </c>
      <c r="S34" s="26">
        <f t="shared" si="34"/>
        <v>3663.0076101483014</v>
      </c>
      <c r="T34" s="26">
        <f t="shared" si="34"/>
        <v>3663.0076101483014</v>
      </c>
      <c r="U34" s="26">
        <f t="shared" si="34"/>
        <v>3663.0076101483014</v>
      </c>
      <c r="V34" s="26">
        <f t="shared" si="34"/>
        <v>3663.0076101483014</v>
      </c>
      <c r="W34" s="26">
        <f t="shared" si="34"/>
        <v>3663.0076101483014</v>
      </c>
      <c r="X34" s="26">
        <f t="shared" si="34"/>
        <v>3663.0076101483014</v>
      </c>
      <c r="Y34" s="26">
        <f t="shared" si="34"/>
        <v>3663.0076101483014</v>
      </c>
      <c r="Z34" s="26">
        <f t="shared" si="34"/>
        <v>3663.0076101483014</v>
      </c>
      <c r="AA34" s="26">
        <f t="shared" si="34"/>
        <v>3663.0076101483014</v>
      </c>
      <c r="AB34" s="26">
        <f t="shared" si="34"/>
        <v>3663.0076101483014</v>
      </c>
      <c r="AC34" s="26">
        <f t="shared" si="34"/>
        <v>3663.0076101483014</v>
      </c>
      <c r="BI34" s="2">
        <v>37351.793467673815</v>
      </c>
    </row>
    <row r="35" spans="4:61" x14ac:dyDescent="0.2">
      <c r="D35" s="2" t="s">
        <v>265</v>
      </c>
      <c r="E35" s="26">
        <f>E34*12</f>
        <v>43956.091321779619</v>
      </c>
      <c r="F35" s="26">
        <f t="shared" ref="F35:AC35" si="35">F34*12</f>
        <v>43956.091321779619</v>
      </c>
      <c r="G35" s="26">
        <f t="shared" si="35"/>
        <v>43956.091321779619</v>
      </c>
      <c r="H35" s="26">
        <f t="shared" si="35"/>
        <v>43956.091321779619</v>
      </c>
      <c r="I35" s="26">
        <f t="shared" si="35"/>
        <v>43956.091321779619</v>
      </c>
      <c r="J35" s="26">
        <f t="shared" si="35"/>
        <v>43956.091321779619</v>
      </c>
      <c r="K35" s="26">
        <f t="shared" si="35"/>
        <v>43956.091321779619</v>
      </c>
      <c r="L35" s="26">
        <f t="shared" si="35"/>
        <v>43956.091321779619</v>
      </c>
      <c r="M35" s="26">
        <f t="shared" si="35"/>
        <v>43956.091321779619</v>
      </c>
      <c r="N35" s="26">
        <f t="shared" si="35"/>
        <v>43956.091321779619</v>
      </c>
      <c r="O35" s="26">
        <f t="shared" si="35"/>
        <v>43956.091321779619</v>
      </c>
      <c r="P35" s="26">
        <f t="shared" si="35"/>
        <v>43956.091321779619</v>
      </c>
      <c r="Q35" s="26">
        <f t="shared" si="35"/>
        <v>43956.091321779619</v>
      </c>
      <c r="R35" s="26">
        <f t="shared" si="35"/>
        <v>43956.091321779619</v>
      </c>
      <c r="S35" s="26">
        <f t="shared" si="35"/>
        <v>43956.091321779619</v>
      </c>
      <c r="T35" s="26">
        <f t="shared" si="35"/>
        <v>43956.091321779619</v>
      </c>
      <c r="U35" s="26">
        <f t="shared" si="35"/>
        <v>43956.091321779619</v>
      </c>
      <c r="V35" s="26">
        <f t="shared" si="35"/>
        <v>43956.091321779619</v>
      </c>
      <c r="W35" s="26">
        <f t="shared" si="35"/>
        <v>43956.091321779619</v>
      </c>
      <c r="X35" s="26">
        <f t="shared" si="35"/>
        <v>43956.091321779619</v>
      </c>
      <c r="Y35" s="26">
        <f t="shared" si="35"/>
        <v>43956.091321779619</v>
      </c>
      <c r="Z35" s="26">
        <f t="shared" si="35"/>
        <v>43956.091321779619</v>
      </c>
      <c r="AA35" s="26">
        <f t="shared" si="35"/>
        <v>43956.091321779619</v>
      </c>
      <c r="AB35" s="26">
        <f t="shared" si="35"/>
        <v>43956.091321779619</v>
      </c>
      <c r="AC35" s="26">
        <f t="shared" si="35"/>
        <v>43956.091321779619</v>
      </c>
      <c r="BI35" s="2">
        <v>37586.092716417879</v>
      </c>
    </row>
    <row r="36" spans="4:61" x14ac:dyDescent="0.2">
      <c r="BI36" s="2">
        <v>37822.266359151887</v>
      </c>
    </row>
    <row r="37" spans="4:61" x14ac:dyDescent="0.2">
      <c r="D37" s="2" t="s">
        <v>205</v>
      </c>
      <c r="E37" s="27">
        <f>SUM(E35:AC35)</f>
        <v>1098902.283044491</v>
      </c>
      <c r="BI37" s="2">
        <v>39191.128792438212</v>
      </c>
    </row>
    <row r="38" spans="4:61" x14ac:dyDescent="0.2">
      <c r="E38" s="26"/>
      <c r="BI38" s="2">
        <v>39440.142723780387</v>
      </c>
    </row>
    <row r="39" spans="4:61" x14ac:dyDescent="0.2">
      <c r="E39" s="57">
        <f>1500000</f>
        <v>1500000</v>
      </c>
      <c r="F39" s="57">
        <f>E39/25</f>
        <v>60000</v>
      </c>
      <c r="BI39" s="2">
        <v>39691.148766573293</v>
      </c>
    </row>
    <row r="40" spans="4:61" x14ac:dyDescent="0.2">
      <c r="BI40" s="2">
        <v>39944.16285770855</v>
      </c>
    </row>
    <row r="41" spans="4:61" x14ac:dyDescent="0.2">
      <c r="BI41" s="2">
        <v>40199.201061572887</v>
      </c>
    </row>
    <row r="42" spans="4:61" x14ac:dyDescent="0.2">
      <c r="BI42" s="2">
        <v>40456.279571068131</v>
      </c>
    </row>
    <row r="43" spans="4:61" x14ac:dyDescent="0.2">
      <c r="E43" s="28"/>
      <c r="BI43" s="2">
        <v>40715.414708639342</v>
      </c>
    </row>
    <row r="44" spans="4:61" x14ac:dyDescent="0.2">
      <c r="E44" s="28"/>
      <c r="BI44" s="2">
        <v>40976.622927311131</v>
      </c>
    </row>
    <row r="45" spans="4:61" x14ac:dyDescent="0.2">
      <c r="E45" s="26"/>
      <c r="BI45" s="2">
        <v>41239.920811732292</v>
      </c>
    </row>
    <row r="46" spans="4:61" x14ac:dyDescent="0.2">
      <c r="E46" s="26"/>
      <c r="BI46" s="2">
        <v>41505.325079228816</v>
      </c>
    </row>
    <row r="47" spans="4:61" x14ac:dyDescent="0.2">
      <c r="E47" s="26"/>
      <c r="BI47" s="2">
        <v>41772.852580865314</v>
      </c>
    </row>
    <row r="48" spans="4:61" x14ac:dyDescent="0.2">
      <c r="E48" s="26"/>
      <c r="BI48" s="2">
        <v>42042.520302514902</v>
      </c>
    </row>
    <row r="49" spans="5:61" x14ac:dyDescent="0.2">
      <c r="E49" s="26"/>
      <c r="BI49" s="2">
        <v>42314.34536593769</v>
      </c>
    </row>
    <row r="50" spans="5:61" x14ac:dyDescent="0.2">
      <c r="E50" s="26"/>
      <c r="BI50" s="2">
        <v>42588.345029867858</v>
      </c>
    </row>
    <row r="51" spans="5:61" x14ac:dyDescent="0.2">
      <c r="E51" s="26"/>
      <c r="BI51" s="2">
        <v>42864.536691109468</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Y</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Y</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Y</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Y</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Y</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tabSelected="1" workbookViewId="0">
      <selection activeCell="C9" sqref="C9"/>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1098902.283044491</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v>4212659.32</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56481.440752037583</v>
      </c>
      <c r="D2" s="67">
        <v>56939.518350860271</v>
      </c>
      <c r="E2" s="67">
        <v>59594.536113636641</v>
      </c>
      <c r="F2" s="67">
        <v>60077.518475352146</v>
      </c>
      <c r="G2" s="67">
        <v>60564.364695961354</v>
      </c>
      <c r="H2" s="67">
        <v>61055.105686335432</v>
      </c>
      <c r="I2" s="67">
        <v>63899.440466543689</v>
      </c>
      <c r="J2" s="67">
        <v>64416.86206308243</v>
      </c>
      <c r="K2" s="67">
        <v>64938.423032393483</v>
      </c>
      <c r="L2" s="67">
        <v>65464.156489459034</v>
      </c>
      <c r="M2" s="67">
        <v>68511.30760661095</v>
      </c>
      <c r="N2" s="67">
        <v>69065.624140270244</v>
      </c>
      <c r="O2" s="67">
        <v>69624.375206198791</v>
      </c>
      <c r="P2" s="67">
        <v>72862.896384320731</v>
      </c>
      <c r="Q2" s="67">
        <v>73452.025628201707</v>
      </c>
      <c r="R2" s="67">
        <v>74045.867906033687</v>
      </c>
      <c r="S2" s="67">
        <v>74644.460922088387</v>
      </c>
      <c r="T2" s="67">
        <v>75247.842682271483</v>
      </c>
      <c r="U2" s="67">
        <v>78745.043364292782</v>
      </c>
      <c r="V2" s="67">
        <v>79381.229784013529</v>
      </c>
      <c r="W2" s="67">
        <v>80022.505695092026</v>
      </c>
      <c r="X2" s="67">
        <v>80668.911813459184</v>
      </c>
      <c r="Y2" s="67">
        <v>84260.826251912513</v>
      </c>
      <c r="Z2" s="67">
        <v>84780.076624334208</v>
      </c>
      <c r="AA2" s="67">
        <v>85303.480999735286</v>
      </c>
      <c r="AB2" s="67">
        <v>85831.07261013957</v>
      </c>
      <c r="AC2" s="67">
        <v>86362.884953427085</v>
      </c>
      <c r="AD2" s="67">
        <v>86898.951795460918</v>
      </c>
      <c r="AE2" s="67">
        <v>87439.307172231012</v>
      </c>
      <c r="AF2" s="67">
        <v>87983.985392015253</v>
      </c>
      <c r="AG2" s="67">
        <v>88533.021037557774</v>
      </c>
      <c r="AH2" s="67">
        <v>89086.448968264653</v>
      </c>
      <c r="AI2" s="67">
        <v>89644.304322417156</v>
      </c>
      <c r="AJ2" s="67">
        <v>90206.62251940291</v>
      </c>
      <c r="AK2" s="67">
        <v>90773.439261964522</v>
      </c>
      <c r="AL2" s="67">
        <v>94058.709101851709</v>
      </c>
      <c r="AM2" s="67">
        <v>94656.342537072938</v>
      </c>
      <c r="AN2" s="67">
        <v>95258.757039775912</v>
      </c>
      <c r="AO2" s="67">
        <v>95865.990858500532</v>
      </c>
      <c r="AP2" s="67">
        <v>96478.082547774946</v>
      </c>
      <c r="AQ2" s="67">
        <v>97095.070970563524</v>
      </c>
      <c r="AR2" s="67">
        <v>97716.995300734416</v>
      </c>
      <c r="AS2" s="67">
        <v>98343.895025546721</v>
      </c>
      <c r="AT2" s="67">
        <v>98975.809948157505</v>
      </c>
      <c r="AU2" s="67">
        <v>99612.780190149162</v>
      </c>
      <c r="AV2" s="67">
        <v>100254.84619407676</v>
      </c>
      <c r="AW2" s="67">
        <v>100902.04872603578</v>
      </c>
      <c r="AX2" s="67">
        <v>101554.42887825047</v>
      </c>
      <c r="AY2" s="67">
        <v>102212.02807168286</v>
      </c>
      <c r="AZ2" s="67">
        <v>102874.88805866272</v>
      </c>
      <c r="BA2">
        <v>0</v>
      </c>
    </row>
    <row r="3" spans="1:53" x14ac:dyDescent="0.2">
      <c r="A3" s="67" t="s">
        <v>74</v>
      </c>
      <c r="B3" s="69">
        <v>200000</v>
      </c>
      <c r="C3" s="67" cm="1">
        <f t="array" ref="C3:BA3">TRANSPOSE(TableIncome[InvestmentP2])</f>
        <v>92569.249583801167</v>
      </c>
      <c r="D3" s="67">
        <v>93154.967342877979</v>
      </c>
      <c r="E3" s="67">
        <v>96549.787474487166</v>
      </c>
      <c r="F3" s="67">
        <v>97167.349536689464</v>
      </c>
      <c r="G3" s="67">
        <v>97789.852095389389</v>
      </c>
      <c r="H3" s="67">
        <v>98417.334674558908</v>
      </c>
      <c r="I3" s="67">
        <v>102054.22370342544</v>
      </c>
      <c r="J3" s="67">
        <v>102715.82125545922</v>
      </c>
      <c r="K3" s="67">
        <v>103382.71158790932</v>
      </c>
      <c r="L3" s="67">
        <v>104054.93704301899</v>
      </c>
      <c r="M3" s="67">
        <v>107951.15578083467</v>
      </c>
      <c r="N3" s="67">
        <v>108659.92878948772</v>
      </c>
      <c r="O3" s="67">
        <v>109374.37198221004</v>
      </c>
      <c r="P3" s="67">
        <v>113515.28472722849</v>
      </c>
      <c r="Q3" s="67">
        <v>114268.57076745274</v>
      </c>
      <c r="R3" s="67">
        <v>115027.88309599877</v>
      </c>
      <c r="S3" s="67">
        <v>115793.26992317318</v>
      </c>
      <c r="T3" s="67">
        <v>116564.77984496496</v>
      </c>
      <c r="U3" s="67">
        <v>121036.45135167014</v>
      </c>
      <c r="V3" s="67">
        <v>121849.90672488988</v>
      </c>
      <c r="W3" s="67">
        <v>122669.86974109542</v>
      </c>
      <c r="X3" s="67">
        <v>123496.39246143057</v>
      </c>
      <c r="Y3" s="67">
        <v>128286.91814849319</v>
      </c>
      <c r="Z3" s="67">
        <v>129158.37725608755</v>
      </c>
      <c r="AA3" s="67">
        <v>130036.8080365426</v>
      </c>
      <c r="AB3" s="67">
        <v>130922.26626324137</v>
      </c>
      <c r="AC3" s="67">
        <v>131814.80815575371</v>
      </c>
      <c r="AD3" s="67">
        <v>132714.49038340614</v>
      </c>
      <c r="AE3" s="67">
        <v>133621.37006887977</v>
      </c>
      <c r="AF3" s="67">
        <v>134535.50479183721</v>
      </c>
      <c r="AG3" s="67">
        <v>135456.95259257831</v>
      </c>
      <c r="AH3" s="67">
        <v>136385.77197572534</v>
      </c>
      <c r="AI3" s="67">
        <v>137322.02191393755</v>
      </c>
      <c r="AJ3" s="67">
        <v>138265.76185165546</v>
      </c>
      <c r="AK3" s="67">
        <v>139217.05170887508</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56481.440752037583</v>
      </c>
      <c r="C2" s="71">
        <f>SUMIF(TableIncome[Year], "&lt;=" &amp; C1, TableIncome[InvestmentP1])</f>
        <v>113420.95910289785</v>
      </c>
      <c r="D2" s="71">
        <f>SUMIF(TableIncome[Year], "&lt;=" &amp; D1, TableIncome[InvestmentP1])</f>
        <v>173015.49521653447</v>
      </c>
      <c r="E2" s="71">
        <f>SUMIF(TableIncome[Year], "&lt;=" &amp; E1, TableIncome[InvestmentP1])</f>
        <v>233093.01369188662</v>
      </c>
      <c r="F2" s="71">
        <f>SUMIF(TableIncome[Year], "&lt;=" &amp; F1, TableIncome[InvestmentP1])</f>
        <v>293657.37838784797</v>
      </c>
      <c r="G2" s="71">
        <f>SUMIF(TableIncome[Year], "&lt;=" &amp; G1, TableIncome[InvestmentP1])</f>
        <v>354712.48407418339</v>
      </c>
      <c r="H2" s="71">
        <f>SUMIF(TableIncome[Year], "&lt;=" &amp; H1, TableIncome[InvestmentP1])</f>
        <v>418611.92454072705</v>
      </c>
      <c r="I2" s="71">
        <f>SUMIF(TableIncome[Year], "&lt;=" &amp; I1, TableIncome[InvestmentP1])</f>
        <v>483028.78660380945</v>
      </c>
      <c r="J2" s="71">
        <f>SUMIF(TableIncome[Year], "&lt;=" &amp; J1, TableIncome[InvestmentP1])</f>
        <v>547967.2096362029</v>
      </c>
      <c r="K2" s="71">
        <f>SUMIF(TableIncome[Year], "&lt;=" &amp; K1, TableIncome[InvestmentP1])</f>
        <v>613431.36612566188</v>
      </c>
      <c r="L2" s="71">
        <f>SUMIF(TableIncome[Year], "&lt;=" &amp; L1, TableIncome[InvestmentP1])</f>
        <v>681942.67373227281</v>
      </c>
      <c r="M2" s="71">
        <f>SUMIF(TableIncome[Year], "&lt;=" &amp; M1, TableIncome[InvestmentP1])</f>
        <v>751008.2978725431</v>
      </c>
      <c r="N2" s="71">
        <f>SUMIF(TableIncome[Year], "&lt;=" &amp; N1, TableIncome[InvestmentP1])</f>
        <v>820632.67307874188</v>
      </c>
      <c r="O2" s="71">
        <f>SUMIF(TableIncome[Year], "&lt;=" &amp; O1, TableIncome[InvestmentP1])</f>
        <v>893495.56946306257</v>
      </c>
      <c r="P2" s="71">
        <f>SUMIF(TableIncome[Year], "&lt;=" &amp; P1, TableIncome[InvestmentP1])</f>
        <v>966947.59509126423</v>
      </c>
      <c r="Q2" s="71">
        <f>SUMIF(TableIncome[Year], "&lt;=" &amp; Q1, TableIncome[InvestmentP1])</f>
        <v>1040993.4629972979</v>
      </c>
      <c r="R2" s="71">
        <f>SUMIF(TableIncome[Year], "&lt;=" &amp; R1, TableIncome[InvestmentP1])</f>
        <v>1115637.9239193862</v>
      </c>
      <c r="S2" s="71">
        <f>SUMIF(TableIncome[Year], "&lt;=" &amp; S1, TableIncome[InvestmentP1])</f>
        <v>1190885.7666016577</v>
      </c>
      <c r="T2" s="71">
        <f>SUMIF(TableIncome[Year], "&lt;=" &amp; T1, TableIncome[InvestmentP1])</f>
        <v>1269630.8099659504</v>
      </c>
      <c r="U2" s="71">
        <f>SUMIF(TableIncome[Year], "&lt;=" &amp; U1, TableIncome[InvestmentP1])</f>
        <v>1349012.0397499639</v>
      </c>
      <c r="V2" s="71">
        <f>SUMIF(TableIncome[Year], "&lt;=" &amp; V1, TableIncome[InvestmentP1])</f>
        <v>1429034.5454450559</v>
      </c>
      <c r="W2" s="71">
        <f>SUMIF(TableIncome[Year], "&lt;=" &amp; W1, TableIncome[InvestmentP1])</f>
        <v>1509703.4572585151</v>
      </c>
      <c r="X2" s="71">
        <f>SUMIF(TableIncome[Year], "&lt;=" &amp; X1, TableIncome[InvestmentP1])</f>
        <v>1593964.2835104275</v>
      </c>
      <c r="Y2" s="71">
        <f>SUMIF(TableIncome[Year], "&lt;=" &amp; Y1, TableIncome[InvestmentP1])</f>
        <v>1678744.3601347618</v>
      </c>
      <c r="Z2" s="71">
        <f>SUMIF(TableIncome[Year], "&lt;=" &amp; Z1, TableIncome[InvestmentP1])</f>
        <v>1764047.841134497</v>
      </c>
      <c r="AA2" s="71">
        <f>SUMIF(TableIncome[Year], "&lt;=" &amp; AA1, TableIncome[InvestmentP1])</f>
        <v>1849878.9137446366</v>
      </c>
      <c r="AB2" s="71">
        <f>SUMIF(TableIncome[Year], "&lt;=" &amp; AB1, TableIncome[InvestmentP1])</f>
        <v>1936241.7986980637</v>
      </c>
      <c r="AC2" s="71">
        <f>SUMIF(TableIncome[Year], "&lt;=" &amp; AC1, TableIncome[InvestmentP1])</f>
        <v>2023140.7504935246</v>
      </c>
      <c r="AD2" s="71">
        <f>SUMIF(TableIncome[Year], "&lt;=" &amp; AD1, TableIncome[InvestmentP1])</f>
        <v>2110580.0576657555</v>
      </c>
      <c r="AE2" s="71">
        <f>SUMIF(TableIncome[Year], "&lt;=" &amp; AE1, TableIncome[InvestmentP1])</f>
        <v>2198564.0430577709</v>
      </c>
      <c r="AF2" s="71">
        <f>SUMIF(TableIncome[Year], "&lt;=" &amp; AF1, TableIncome[InvestmentP1])</f>
        <v>2287097.0640953286</v>
      </c>
      <c r="AG2" s="71">
        <f>SUMIF(TableIncome[Year], "&lt;=" &amp; AG1, TableIncome[InvestmentP1])</f>
        <v>2376183.5130635933</v>
      </c>
      <c r="AH2" s="71">
        <f>SUMIF(TableIncome[Year], "&lt;=" &amp; AH1, TableIncome[InvestmentP1])</f>
        <v>2465827.8173860107</v>
      </c>
      <c r="AI2" s="71">
        <f>SUMIF(TableIncome[Year], "&lt;=" &amp; AI1, TableIncome[InvestmentP1])</f>
        <v>2556034.4399054134</v>
      </c>
      <c r="AJ2" s="71">
        <f>SUMIF(TableIncome[Year], "&lt;=" &amp; AJ1, TableIncome[InvestmentP1])</f>
        <v>2646807.8791673779</v>
      </c>
      <c r="AK2" s="71">
        <f>SUMIF(TableIncome[Year], "&lt;=" &amp; AK1, TableIncome[InvestmentP1])</f>
        <v>2740866.5882692295</v>
      </c>
      <c r="AL2" s="71">
        <f>SUMIF(TableIncome[Year], "&lt;=" &amp; AL1, TableIncome[InvestmentP1])</f>
        <v>2835522.9308063025</v>
      </c>
      <c r="AM2" s="71">
        <f>SUMIF(TableIncome[Year], "&lt;=" &amp; AM1, TableIncome[InvestmentP1])</f>
        <v>2930781.6878460785</v>
      </c>
      <c r="AN2" s="71">
        <f>SUMIF(TableIncome[Year], "&lt;=" &amp; AN1, TableIncome[InvestmentP1])</f>
        <v>3026647.6787045789</v>
      </c>
      <c r="AO2" s="71">
        <f>SUMIF(TableIncome[Year], "&lt;=" &amp; AO1, TableIncome[InvestmentP1])</f>
        <v>3123125.7612523539</v>
      </c>
      <c r="AP2" s="71">
        <f>SUMIF(TableIncome[Year], "&lt;=" &amp; AP1, TableIncome[InvestmentP1])</f>
        <v>3220220.8322229176</v>
      </c>
      <c r="AQ2" s="71">
        <f>SUMIF(TableIncome[Year], "&lt;=" &amp; AQ1, TableIncome[InvestmentP1])</f>
        <v>3317937.827523652</v>
      </c>
      <c r="AR2" s="71">
        <f>SUMIF(TableIncome[Year], "&lt;=" &amp; AR1, TableIncome[InvestmentP1])</f>
        <v>3416281.7225491987</v>
      </c>
      <c r="AS2" s="71">
        <f>SUMIF(TableIncome[Year], "&lt;=" &amp; AS1, TableIncome[InvestmentP1])</f>
        <v>3515257.5324973562</v>
      </c>
      <c r="AT2" s="71">
        <f>SUMIF(TableIncome[Year], "&lt;=" &amp; AT1, TableIncome[InvestmentP1])</f>
        <v>3614870.3126875055</v>
      </c>
      <c r="AU2" s="71">
        <f>SUMIF(TableIncome[Year], "&lt;=" &amp; AU1, TableIncome[InvestmentP1])</f>
        <v>3715125.1588815823</v>
      </c>
      <c r="AV2" s="71">
        <f>SUMIF(TableIncome[Year], "&lt;=" &amp; AV1, TableIncome[InvestmentP1])</f>
        <v>3816027.2076076181</v>
      </c>
      <c r="AW2" s="71">
        <f>SUMIF(TableIncome[Year], "&lt;=" &amp; AW1, TableIncome[InvestmentP1])</f>
        <v>3917581.6364858686</v>
      </c>
      <c r="AX2" s="71">
        <f>SUMIF(TableIncome[Year], "&lt;=" &amp; AX1, TableIncome[InvestmentP1])</f>
        <v>4019793.6645575515</v>
      </c>
      <c r="AY2" s="71">
        <f>SUMIF(TableIncome[Year], "&lt;=" &amp; AY1, TableIncome[InvestmentP1])</f>
        <v>4122668.5526162144</v>
      </c>
      <c r="AZ2" s="71">
        <f>SUMIF(TableIncome[Year], "&lt;=" &amp; AZ1, TableIncome[InvestmentP1])</f>
        <v>4122668.5526162144</v>
      </c>
    </row>
    <row r="3" spans="1:52" x14ac:dyDescent="0.2">
      <c r="A3" s="67" t="s">
        <v>74</v>
      </c>
      <c r="B3" s="71">
        <f>SUMIF(TableIncome[Year], "&lt;=" &amp; B1, TableIncome[InvestmentP2])</f>
        <v>92569.249583801167</v>
      </c>
      <c r="C3" s="71">
        <f>SUMIF(TableIncome[Year], "&lt;=" &amp; C1, TableIncome[InvestmentP2])</f>
        <v>185724.21692667913</v>
      </c>
      <c r="D3" s="71">
        <f>SUMIF(TableIncome[Year], "&lt;=" &amp; D1, TableIncome[InvestmentP2])</f>
        <v>282274.00440116628</v>
      </c>
      <c r="E3" s="71">
        <f>SUMIF(TableIncome[Year], "&lt;=" &amp; E1, TableIncome[InvestmentP2])</f>
        <v>379441.35393785575</v>
      </c>
      <c r="F3" s="71">
        <f>SUMIF(TableIncome[Year], "&lt;=" &amp; F1, TableIncome[InvestmentP2])</f>
        <v>477231.20603324514</v>
      </c>
      <c r="G3" s="71">
        <f>SUMIF(TableIncome[Year], "&lt;=" &amp; G1, TableIncome[InvestmentP2])</f>
        <v>575648.54070780403</v>
      </c>
      <c r="H3" s="71">
        <f>SUMIF(TableIncome[Year], "&lt;=" &amp; H1, TableIncome[InvestmentP2])</f>
        <v>677702.76441122941</v>
      </c>
      <c r="I3" s="71">
        <f>SUMIF(TableIncome[Year], "&lt;=" &amp; I1, TableIncome[InvestmentP2])</f>
        <v>780418.58566668862</v>
      </c>
      <c r="J3" s="71">
        <f>SUMIF(TableIncome[Year], "&lt;=" &amp; J1, TableIncome[InvestmentP2])</f>
        <v>883801.297254598</v>
      </c>
      <c r="K3" s="71">
        <f>SUMIF(TableIncome[Year], "&lt;=" &amp; K1, TableIncome[InvestmentP2])</f>
        <v>987856.23429761699</v>
      </c>
      <c r="L3" s="71">
        <f>SUMIF(TableIncome[Year], "&lt;=" &amp; L1, TableIncome[InvestmentP2])</f>
        <v>1095807.3900784517</v>
      </c>
      <c r="M3" s="71">
        <f>SUMIF(TableIncome[Year], "&lt;=" &amp; M1, TableIncome[InvestmentP2])</f>
        <v>1204467.3188679395</v>
      </c>
      <c r="N3" s="71">
        <f>SUMIF(TableIncome[Year], "&lt;=" &amp; N1, TableIncome[InvestmentP2])</f>
        <v>1313841.6908501496</v>
      </c>
      <c r="O3" s="71">
        <f>SUMIF(TableIncome[Year], "&lt;=" &amp; O1, TableIncome[InvestmentP2])</f>
        <v>1427356.9755773782</v>
      </c>
      <c r="P3" s="71">
        <f>SUMIF(TableIncome[Year], "&lt;=" &amp; P1, TableIncome[InvestmentP2])</f>
        <v>1541625.5463448309</v>
      </c>
      <c r="Q3" s="71">
        <f>SUMIF(TableIncome[Year], "&lt;=" &amp; Q1, TableIncome[InvestmentP2])</f>
        <v>1656653.4294408297</v>
      </c>
      <c r="R3" s="71">
        <f>SUMIF(TableIncome[Year], "&lt;=" &amp; R1, TableIncome[InvestmentP2])</f>
        <v>1772446.6993640028</v>
      </c>
      <c r="S3" s="71">
        <f>SUMIF(TableIncome[Year], "&lt;=" &amp; S1, TableIncome[InvestmentP2])</f>
        <v>1889011.4792089676</v>
      </c>
      <c r="T3" s="71">
        <f>SUMIF(TableIncome[Year], "&lt;=" &amp; T1, TableIncome[InvestmentP2])</f>
        <v>2010047.9305606377</v>
      </c>
      <c r="U3" s="71">
        <f>SUMIF(TableIncome[Year], "&lt;=" &amp; U1, TableIncome[InvestmentP2])</f>
        <v>2131897.8372855275</v>
      </c>
      <c r="V3" s="71">
        <f>SUMIF(TableIncome[Year], "&lt;=" &amp; V1, TableIncome[InvestmentP2])</f>
        <v>2254567.7070266227</v>
      </c>
      <c r="W3" s="71">
        <f>SUMIF(TableIncome[Year], "&lt;=" &amp; W1, TableIncome[InvestmentP2])</f>
        <v>2378064.0994880535</v>
      </c>
      <c r="X3" s="71">
        <f>SUMIF(TableIncome[Year], "&lt;=" &amp; X1, TableIncome[InvestmentP2])</f>
        <v>2506351.0176365469</v>
      </c>
      <c r="Y3" s="71">
        <f>SUMIF(TableIncome[Year], "&lt;=" &amp; Y1, TableIncome[InvestmentP2])</f>
        <v>2635509.3948926344</v>
      </c>
      <c r="Z3" s="71">
        <f>SUMIF(TableIncome[Year], "&lt;=" &amp; Z1, TableIncome[InvestmentP2])</f>
        <v>2765546.2029291769</v>
      </c>
      <c r="AA3" s="71">
        <f>SUMIF(TableIncome[Year], "&lt;=" &amp; AA1, TableIncome[InvestmentP2])</f>
        <v>2896468.4691924183</v>
      </c>
      <c r="AB3" s="71">
        <f>SUMIF(TableIncome[Year], "&lt;=" &amp; AB1, TableIncome[InvestmentP2])</f>
        <v>3028283.2773481719</v>
      </c>
      <c r="AC3" s="71">
        <f>SUMIF(TableIncome[Year], "&lt;=" &amp; AC1, TableIncome[InvestmentP2])</f>
        <v>3160997.7677315781</v>
      </c>
      <c r="AD3" s="71">
        <f>SUMIF(TableIncome[Year], "&lt;=" &amp; AD1, TableIncome[InvestmentP2])</f>
        <v>3294619.1378004579</v>
      </c>
      <c r="AE3" s="71">
        <f>SUMIF(TableIncome[Year], "&lt;=" &amp; AE1, TableIncome[InvestmentP2])</f>
        <v>3429154.6425922951</v>
      </c>
      <c r="AF3" s="71">
        <f>SUMIF(TableIncome[Year], "&lt;=" &amp; AF1, TableIncome[InvestmentP2])</f>
        <v>3564611.5951848733</v>
      </c>
      <c r="AG3" s="71">
        <f>SUMIF(TableIncome[Year], "&lt;=" &amp; AG1, TableIncome[InvestmentP2])</f>
        <v>3700997.3671605987</v>
      </c>
      <c r="AH3" s="71">
        <f>SUMIF(TableIncome[Year], "&lt;=" &amp; AH1, TableIncome[InvestmentP2])</f>
        <v>3838319.3890745365</v>
      </c>
      <c r="AI3" s="71">
        <f>SUMIF(TableIncome[Year], "&lt;=" &amp; AI1, TableIncome[InvestmentP2])</f>
        <v>3976585.1509261918</v>
      </c>
      <c r="AJ3" s="71">
        <f>SUMIF(TableIncome[Year], "&lt;=" &amp; AJ1, TableIncome[InvestmentP2])</f>
        <v>4115802.202635067</v>
      </c>
      <c r="AK3" s="71">
        <f>SUMIF(TableIncome[Year], "&lt;=" &amp; AK1, TableIncome[InvestmentP2])</f>
        <v>4115802.202635067</v>
      </c>
      <c r="AL3" s="71">
        <f>SUMIF(TableIncome[Year], "&lt;=" &amp; AL1, TableIncome[InvestmentP2])</f>
        <v>4115802.202635067</v>
      </c>
      <c r="AM3" s="71">
        <f>SUMIF(TableIncome[Year], "&lt;=" &amp; AM1, TableIncome[InvestmentP2])</f>
        <v>4115802.202635067</v>
      </c>
      <c r="AN3" s="71">
        <f>SUMIF(TableIncome[Year], "&lt;=" &amp; AN1, TableIncome[InvestmentP2])</f>
        <v>4115802.202635067</v>
      </c>
      <c r="AO3" s="71">
        <f>SUMIF(TableIncome[Year], "&lt;=" &amp; AO1, TableIncome[InvestmentP2])</f>
        <v>4115802.202635067</v>
      </c>
      <c r="AP3" s="71">
        <f>SUMIF(TableIncome[Year], "&lt;=" &amp; AP1, TableIncome[InvestmentP2])</f>
        <v>4115802.202635067</v>
      </c>
      <c r="AQ3" s="71">
        <f>SUMIF(TableIncome[Year], "&lt;=" &amp; AQ1, TableIncome[InvestmentP2])</f>
        <v>4115802.202635067</v>
      </c>
      <c r="AR3" s="71">
        <f>SUMIF(TableIncome[Year], "&lt;=" &amp; AR1, TableIncome[InvestmentP2])</f>
        <v>4115802.202635067</v>
      </c>
      <c r="AS3" s="71">
        <f>SUMIF(TableIncome[Year], "&lt;=" &amp; AS1, TableIncome[InvestmentP2])</f>
        <v>4115802.202635067</v>
      </c>
      <c r="AT3" s="71">
        <f>SUMIF(TableIncome[Year], "&lt;=" &amp; AT1, TableIncome[InvestmentP2])</f>
        <v>4115802.202635067</v>
      </c>
      <c r="AU3" s="71">
        <f>SUMIF(TableIncome[Year], "&lt;=" &amp; AU1, TableIncome[InvestmentP2])</f>
        <v>4115802.202635067</v>
      </c>
      <c r="AV3" s="71">
        <f>SUMIF(TableIncome[Year], "&lt;=" &amp; AV1, TableIncome[InvestmentP2])</f>
        <v>4115802.202635067</v>
      </c>
      <c r="AW3" s="71">
        <f>SUMIF(TableIncome[Year], "&lt;=" &amp; AW1, TableIncome[InvestmentP2])</f>
        <v>4115802.202635067</v>
      </c>
      <c r="AX3" s="71">
        <f>SUMIF(TableIncome[Year], "&lt;=" &amp; AX1, TableIncome[InvestmentP2])</f>
        <v>4115802.202635067</v>
      </c>
      <c r="AY3" s="71">
        <f>SUMIF(TableIncome[Year], "&lt;=" &amp; AY1, TableIncome[InvestmentP2])</f>
        <v>4115802.202635067</v>
      </c>
      <c r="AZ3" s="71">
        <f>SUMIF(TableIncome[Year], "&lt;=" &amp; AZ1, TableIncome[InvestmentP2])</f>
        <v>4115802.202635067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5E06E7C1-9404-4A4A-B964-A85FD9F3B2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2025-05-08T12:20:56Z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