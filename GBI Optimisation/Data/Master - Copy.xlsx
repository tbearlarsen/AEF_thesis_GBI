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202300"/>
  <mc:AlternateContent xmlns:mc="http://schemas.openxmlformats.org/markup-compatibility/2006">
    <mc:Choice Requires="x15">
      <x15ac:absPath xmlns:x15ac="http://schemas.microsoft.com/office/spreadsheetml/2010/11/ac" url="C:\Users\admin\Desktop\Thesis New\AEF_thesis_GBI\GBI Optimisation\Data\"/>
    </mc:Choice>
  </mc:AlternateContent>
  <xr:revisionPtr revIDLastSave="0" documentId="13_ncr:1_{212061C2-CEBF-49B3-85FB-FA84546BC94C}" xr6:coauthVersionLast="47" xr6:coauthVersionMax="47" xr10:uidLastSave="{00000000-0000-0000-0000-000000000000}"/>
  <bookViews>
    <workbookView xWindow="-110" yWindow="-110" windowWidth="19420" windowHeight="10300" firstSheet="2" activeTab="7" xr2:uid="{31CD02D4-91DC-4A3F-AC52-23F22D133229}"/>
  </bookViews>
  <sheets>
    <sheet name="Index" sheetId="7" r:id="rId1"/>
    <sheet name="Loop" sheetId="1" r:id="rId2"/>
    <sheet name="Sheet2" sheetId="42" r:id="rId3"/>
    <sheet name="Sheet1" sheetId="41" r:id="rId4"/>
    <sheet name="Aktiesparekonto Increase" sheetId="43" r:id="rId5"/>
    <sheet name="Goals" sheetId="10" r:id="rId6"/>
    <sheet name="GBI Goals P1" sheetId="27" r:id="rId7"/>
    <sheet name="FinalWealth" sheetId="40" r:id="rId8"/>
    <sheet name="Salary" sheetId="30" r:id="rId9"/>
    <sheet name="Wealth" sheetId="33" r:id="rId10"/>
    <sheet name="GBI Allocations P1" sheetId="26" r:id="rId11"/>
    <sheet name="GBI Allocations P2" sheetId="28" r:id="rId12"/>
    <sheet name="notes next time talk" sheetId="18" state="hidden" r:id="rId13"/>
    <sheet name="GBI Goals P2" sheetId="29" r:id="rId14"/>
    <sheet name="Returns" sheetId="23" r:id="rId15"/>
    <sheet name="BasisPointCost" sheetId="38" r:id="rId16"/>
    <sheet name="Returns2" sheetId="39" r:id="rId17"/>
    <sheet name="Volatilities" sheetId="20" r:id="rId18"/>
    <sheet name="Volatilities2" sheetId="24" r:id="rId19"/>
    <sheet name="Correlation" sheetId="22" r:id="rId20"/>
    <sheet name="Correlation2" sheetId="25" r:id="rId21"/>
    <sheet name="Income" sheetId="2" r:id="rId22"/>
    <sheet name="Job Hopping" sheetId="8" r:id="rId23"/>
    <sheet name="Djøf Finance Workers" sheetId="5" r:id="rId24"/>
    <sheet name="Djøf Finance Hoppers" sheetId="6"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__FDS_HYPERLINK_TOGGLE_STATE__" hidden="1">"ON"</definedName>
    <definedName name="_DLX1">[1]Rates!#REF!</definedName>
    <definedName name="_DLX1.INC">'[2]Car Air'!#REF!</definedName>
    <definedName name="_DLX10.INC">'[3]US&amp;Europe'!#REF!</definedName>
    <definedName name="_DLX10_INC">#REF!</definedName>
    <definedName name="_DLX100.INC">'[3]Bonds Data BIS'!#REF!</definedName>
    <definedName name="_DLX14.INC">#REF!</definedName>
    <definedName name="_DLX15.INC">'[3]Bonds Data BIS'!#REF!</definedName>
    <definedName name="_DLX16.INC">'[3]Bonds Data BIS'!#REF!</definedName>
    <definedName name="_DLX2.INC">#REF!</definedName>
    <definedName name="_DLX20.INC">#REF!</definedName>
    <definedName name="_DLX3.INC">#REF!</definedName>
    <definedName name="_DLX4.INC">#REF!</definedName>
    <definedName name="_DLX5.INC">#REF!</definedName>
    <definedName name="_DLX5_INC">#REF!</definedName>
    <definedName name="_DLX50.INC">'[3]US&amp;Europe'!#REF!</definedName>
    <definedName name="_DLX52.INC">#REF!</definedName>
    <definedName name="_DLX53.INC">'[3]US&amp;Europe'!#REF!</definedName>
    <definedName name="_DLX54.INC">'[3]US&amp;Europe'!#REF!</definedName>
    <definedName name="_DLX56.INC">'[3]US&amp;Europe'!#REF!</definedName>
    <definedName name="_DLX6.INC">#REF!</definedName>
    <definedName name="_DLX60.INC">#REF!</definedName>
    <definedName name="_DLX7.INC">'[3]US&amp;Europe'!#REF!</definedName>
    <definedName name="_DLX8.INC">'[3]US&amp;Europe'!#REF!</definedName>
    <definedName name="_DLX80.INC">'[3]Bonds Data BIS'!#REF!</definedName>
    <definedName name="_DLX9.INC">'[3]US&amp;Europe'!#REF!</definedName>
    <definedName name="_Regression_Int" hidden="1">1</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hidden="1">{#N/A,#N/A,FALSE,"One Pager";#N/A,#N/A,FALSE,"Technical"}</definedName>
    <definedName name="_wrn2" hidden="1">{#N/A,#N/A,TRUE,"Financials";#N/A,#N/A,TRUE,"Operating Statistics";#N/A,#N/A,TRUE,"Capex &amp; Depreciation";#N/A,#N/A,TRUE,"Debt"}</definedName>
    <definedName name="_wrn3" hidden="1">{#N/A,#N/A,FALSE,"One Pager";#N/A,#N/A,FALSE,"Technical"}</definedName>
    <definedName name="AUD_Nom">#REF!</definedName>
    <definedName name="AUD_Tenor">#REF!</definedName>
    <definedName name="AUD_yr">#REF!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CAD_Nom">#REF!</definedName>
    <definedName name="CAD_Tenor">#REF!</definedName>
    <definedName name="CAD_yr">#REF!</definedName>
    <definedName name="CHF_Nom">#REF!</definedName>
    <definedName name="CHF_Tenor">#REF!</definedName>
    <definedName name="CHF_yr">#REF!</definedName>
    <definedName name="CIQWBGuid" hidden="1">"b0891d4e-ba28-4aca-aa83-e3df72dfeb1c"</definedName>
    <definedName name="CIQWBInfo" hidden="1">"{ ""CIQVersion"":""9.45.614.5792"" }"</definedName>
    <definedName name="cn_asia">[4]Weights!$J$5</definedName>
    <definedName name="code">[5]CONSTANT!#REF!</definedName>
    <definedName name="Currency_cusip">'[6]Currency bucketing mapping'!$B$35:$B$160</definedName>
    <definedName name="Currency_name">'[6]Currency bucketing mapping'!$B$35:$BF$35</definedName>
    <definedName name="Currency_table">'[6]Currency bucketing mapping'!$B$35:$BF$160</definedName>
    <definedName name="D_0">#REF!</definedName>
    <definedName name="D_0_DE">#REF!</definedName>
    <definedName name="D_0_FR">#REF!</definedName>
    <definedName name="D_0_IT">#REF!</definedName>
    <definedName name="D_0_JP">#REF!</definedName>
    <definedName name="D_0_UK">#REF!</definedName>
    <definedName name="DaysInYear">[7]C!$B$29</definedName>
    <definedName name="DE_gwth">#REF!</definedName>
    <definedName name="DE_S">#REF!</definedName>
    <definedName name="ERP">[8]CF20!$C$18</definedName>
    <definedName name="EUR_Nom">#REF!</definedName>
    <definedName name="EUR_Tenor">#REF!</definedName>
    <definedName name="EUR_yr">#REF!</definedName>
    <definedName name="FR_gwth">#REF!</definedName>
    <definedName name="FR_S">#REF!</definedName>
    <definedName name="GBP_Nom">#REF!</definedName>
    <definedName name="GBP_Tenor">#REF!</definedName>
    <definedName name="GBP_yr">#REF!</definedName>
    <definedName name="gGDP">[8]CF20!$C$14</definedName>
    <definedName name="gls_ACT_EST_ROW" hidden="1">#REF!</definedName>
    <definedName name="gls_ACT_FORM_OFFSET" hidden="1">#REF!</definedName>
    <definedName name="gls_ADMIN" hidden="1">[9]_Control!$D$30</definedName>
    <definedName name="gls_ALLOW_BOTH_PC" hidden="1">[9]_Control!$D$52</definedName>
    <definedName name="gls_ALLOW_PARENT_OR_CONSOLIDATED" hidden="1">[9]_Control!$D$41</definedName>
    <definedName name="gls_ALLOW_PUBLISH" hidden="1">[9]_Control!$D$27</definedName>
    <definedName name="gls_AnalystEmpNoHeading" hidden="1">#REF!</definedName>
    <definedName name="gls_AnalystNameHeading" hidden="1">#REF!</definedName>
    <definedName name="gls_CF_BEGINS" hidden="1">[9]_Control!$D$38</definedName>
    <definedName name="gls_CFD_CHANGEACT" hidden="1">[9]_Control!$D$45</definedName>
    <definedName name="gls_CFD_CHANGEEST" hidden="1">[9]_Control!$D$46</definedName>
    <definedName name="gls_CFD_FIRSTAVAIL" hidden="1">[9]_Control!$D$47</definedName>
    <definedName name="gls_CFD_LISTAVAIL" hidden="1">[9]_Control!$D$48</definedName>
    <definedName name="gls_CFD_SELECTED" hidden="1">[9]_Control!$D$44</definedName>
    <definedName name="gls_CHANGED_NAMES" hidden="1">[9]_Control!$D$25</definedName>
    <definedName name="gls_CHG_KEY_USER" hidden="1">[9]_Control!$D$10</definedName>
    <definedName name="gls_CHG_SEL_ONLY" hidden="1">[9]_Control!$D$9</definedName>
    <definedName name="gls_COMPANY_WORKBOOK_ID" hidden="1">[9]_Control!$D$17</definedName>
    <definedName name="gls_DELETED_PERIODS" hidden="1">[9]_Control!$J$1</definedName>
    <definedName name="gls_EST_FORM_OFFSET" hidden="1">#REF!</definedName>
    <definedName name="gls_EXC_NOT_EXT" hidden="1">[9]_Control!$D$35</definedName>
    <definedName name="gls_EXISTING_PERIODS" hidden="1">[9]_Control!$G$1</definedName>
    <definedName name="gls_EXT_BELOW_PBT" hidden="1">[9]_Control!$D$39</definedName>
    <definedName name="gls_EXT_LINK_GLOSS" hidden="1">[9]_Control!$D$50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GLOSS_MONTHS" hidden="1">[9]_Control!$A$1:$A$12</definedName>
    <definedName name="gls_GW_IN" hidden="1">[9]_Control!$D$36</definedName>
    <definedName name="gls_IIAA_IN" hidden="1">[9]_Control!$D$37</definedName>
    <definedName name="gls_InterimValue" hidden="1">[9]_Control!$D$22</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LANGUAGE" hidden="1">[9]_Control!$D$23</definedName>
    <definedName name="gls_NEXT_PK" hidden="1">[9]_Control!$D$21</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PROFILE_NAME" hidden="1">[9]_Control!$D$19</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aveBeforePublish" hidden="1">[9]_Control!$D$26</definedName>
    <definedName name="gls_SaveWkbForNewPeriodCodes" hidden="1">[9]_Control!$D$28</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HOW_CONTROL_VALUE" hidden="1">[9]_Control!$D$1</definedName>
    <definedName name="gls_SHOW_KEY_VAL_COLUMN" hidden="1">[9]_Control!$D$11</definedName>
    <definedName name="gls_SHOW_KEY_VALUES" hidden="1">[9]_Control!$D$8</definedName>
    <definedName name="gls_SHOW_LINKED_ITEMS" hidden="1">[9]_Control!$D$6</definedName>
    <definedName name="gls_SHOW_LOCAL_NAMES" hidden="1">[9]_Control!$D$2</definedName>
    <definedName name="gls_SHOW_MULTIPLIERS" hidden="1">[9]_Control!$D$7</definedName>
    <definedName name="gls_SHOW_PK_COLUMN" hidden="1">[9]_Control!$D$5</definedName>
    <definedName name="gls_SHOW_STATUS_INFORMATION" hidden="1">[9]_Control!$D$3</definedName>
    <definedName name="gls_SHOW_UNITS" hidden="1">[9]_Control!$D$4</definedName>
    <definedName name="gls_SPARE_YEARS" hidden="1">#REF!</definedName>
    <definedName name="gls_SPECIAL_DIALOG" hidden="1">[9]_Control!$D$49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hidden="1">[9]_Control!$D$20</definedName>
    <definedName name="gls_TEMP_PERIOD_CODE" hidden="1">#REF!</definedName>
    <definedName name="gls_THISWORKBOOK_NAME" hidden="1">[9]_Control!$D$18</definedName>
    <definedName name="gls_UNUSUAL_POS" hidden="1">[9]_Control!$D$40</definedName>
    <definedName name="gls_USER_CELL_FORMAT" hidden="1">[9]_Control!$D$51</definedName>
    <definedName name="gls_USING_CONSOLIDATED" hidden="1">[9]_Control!$D$34</definedName>
    <definedName name="gls_YEAR_AE_CONTROL" hidden="1">#REF!</definedName>
    <definedName name="gls_YEAR_END_ROW" hidden="1">#REF!</definedName>
    <definedName name="gls_YetToRunStartupWizard" hidden="1">[9]_Control!$D$29</definedName>
    <definedName name="hk_asia">[4]Weights!$J$6</definedName>
    <definedName name="hk_nie">[4]Weights!$K$6</definedName>
    <definedName name="id_asean">[4]Weights!$L$8</definedName>
    <definedName name="id_asean5">[4]Weights!$M$8</definedName>
    <definedName name="id_asia">[4]Weights!$J$8</definedName>
    <definedName name="in_asia">[4]Weights!$J$7</definedName>
    <definedName name="Index_PRICE">[8]CF20!$C$12</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43872.5396759259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T_gwth">#REF!</definedName>
    <definedName name="IT_S">#REF!</definedName>
    <definedName name="JP_gwth">#REF!</definedName>
    <definedName name="JP_S">#REF!</definedName>
    <definedName name="JPY_Nom">#REF!</definedName>
    <definedName name="JPY_Tenor">#REF!</definedName>
    <definedName name="JPY_yr">#REF!</definedName>
    <definedName name="k">#REF!</definedName>
    <definedName name="kr_asia">[4]Weights!$J$9</definedName>
    <definedName name="kr_nie">[4]Weights!$K$9</definedName>
    <definedName name="M_PlaceofPath" hidden="1">"\\SNYCEQT0100\HOME\LZURLO\DATA\TELMEX\Models\tmx_vdf.xls"</definedName>
    <definedName name="MKT_5yFWD">#REF!</definedName>
    <definedName name="MKT_5yFWD_ccy">#REF!</definedName>
    <definedName name="MKT_5yFWD_tenor">#REF!</definedName>
    <definedName name="my_asean">[4]Weights!$L$10</definedName>
    <definedName name="my_asean5">[4]Weights!$M$10</definedName>
    <definedName name="my_asia">[4]Weights!$J$10</definedName>
    <definedName name="OMO_RRR">#REF!</definedName>
    <definedName name="Page_0026">#N/A</definedName>
    <definedName name="Page_0027">#N/A</definedName>
    <definedName name="ph_asean">[4]Weights!$L$11</definedName>
    <definedName name="ph_asean5">[4]Weights!$M$11</definedName>
    <definedName name="ph_asia">[4]Weights!$J$11</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_xlnm.Print_Area">#N/A</definedName>
    <definedName name="sg_asean5">[4]Weights!$M$12</definedName>
    <definedName name="sg_asia">[4]Weights!$J$12</definedName>
    <definedName name="sg_nie">[4]Weights!$K$12</definedName>
    <definedName name="SolvedReturn">[10]CF20!$F$50</definedName>
    <definedName name="SolvedReturn2">[8]CF20!$F$59</definedName>
    <definedName name="spd_EUR_linkers">#REF!</definedName>
    <definedName name="SpreadsheetBuilder_1" hidden="1">#REF!</definedName>
    <definedName name="SpreadsheetBuilder_2" hidden="1">#REF!</definedName>
    <definedName name="SpreadsheetBuilder_3" hidden="1">#REF!</definedName>
    <definedName name="SpreadsheetBuilder_4" hidden="1">#REF!</definedName>
    <definedName name="SpreadsheetBuilder_5" hidden="1">#REF!</definedName>
    <definedName name="SpreadsheetBuilder_7" hidden="1">#REF!</definedName>
    <definedName name="th_asean">[4]Weights!$L$14</definedName>
    <definedName name="th_asean5">[4]Weights!$M$14</definedName>
    <definedName name="th_asia">[4]Weights!$J$14</definedName>
    <definedName name="Tigr_Exhibit052c116f_fa03_453e_98be_14a9d0dd2058" hidden="1">#REF!</definedName>
    <definedName name="Tigr_Exhibit1113a9ef_7b01_4439_86db_1d2bbe7df0ac" hidden="1">#REF!</definedName>
    <definedName name="Tigr_Exhibit35b4bd78_d1e7_47d7_9864_956742c3e774" hidden="1">#REF!</definedName>
    <definedName name="Tigr_Exhibit397f6bfd_406c_40a1_9009_f5d98b80386f" hidden="1">[11]table!#REF!</definedName>
    <definedName name="Tigr_Exhibit5170b4cc_c7f3_46f9_904a_3aacaf1d7bdc" hidden="1">#REF!</definedName>
    <definedName name="Tigr_Exhibit54d8a2f4_eba6_4aec_9e5b_245ab3dbf58e" hidden="1">#REF!</definedName>
    <definedName name="Tigr_Exhibit576261f4_88db_4080_ae87_1b1914c9adb3" hidden="1">#REF!</definedName>
    <definedName name="Tigr_Exhibit5a33439a_d266_4ce7_8f98_be0140951553" hidden="1">[11]table!#REF!</definedName>
    <definedName name="Tigr_Exhibit624067c3_9ca8_4b04_8f5d_e3af8e62f374" hidden="1">#REF!</definedName>
    <definedName name="Tigr_Exhibit85fa87ab_c172_44b2_864d_78796004dd90" hidden="1">#REF!</definedName>
    <definedName name="Tigr_Exhibit9344d486_5b89_4b33_b900_19a7edd4aa3c" hidden="1">#REF!</definedName>
    <definedName name="Tigr_Exhibit9e9e0bd5_38bb_463b_bac6_e3b8e4b25555" hidden="1">#REF!</definedName>
    <definedName name="Tigr_Exhibitad91ea03_81cd_48cb_8b2b_0aa43c450efa" hidden="1">#REF!</definedName>
    <definedName name="Tigr_Exhibitb4317050_8e37_410d_9395_60290cc834c2" hidden="1">[11]table!#REF!</definedName>
    <definedName name="Tigr_Exhibitb6a2f72d_5780_438a_bc18_ddfdc55327ab" hidden="1">#REF!</definedName>
    <definedName name="Tigr_Exhibitc2fe1ca1_6833_4470_a00b_0b31a20ce419" hidden="1">[11]table!#REF!</definedName>
    <definedName name="Tigr_Exhibitc72ef51d_f40f_4f26_bc18_214f1da98272" hidden="1">#REF!</definedName>
    <definedName name="Tigr_Exhibitcb4442e9_d113_4670_8b2e_72dc16ff2245" hidden="1">#REF!</definedName>
    <definedName name="Tigr_Exhibitd07d21f6_e7c1_4c44_aec5_80a56b5e291b" hidden="1">#REF!</definedName>
    <definedName name="Tigr_Exhibitd128574e_653f_4165_8efb_b0bfc8e0b363" hidden="1">[11]table!#REF!</definedName>
    <definedName name="Tigr_Exhibitdab8e344_3648_43b7_bd5c_cb0212370d7d" hidden="1">#REF!</definedName>
    <definedName name="Tigr_Exhibitdcbc2a45_f882_40e3_aa68_e89f64f59b5f" hidden="1">#REF!</definedName>
    <definedName name="Tigr_Exhibitf5f21f65_69c7_4860_bb92_d262bba1f1bb" hidden="1">#REF!</definedName>
    <definedName name="Tigr_Exhibitf687f29e_825f_4649_b503_90666490e5ac" hidden="1">#REF!</definedName>
    <definedName name="Tigr_Exhibitfb02c44d_a8a5_4bd9_aaba_19b80c5a8f22" hidden="1">#REF!</definedName>
    <definedName name="TRNR_0022038504de447abd8a933ff7ebe766_1_2" hidden="1">#REF!</definedName>
    <definedName name="TRNR_009f5003b0f74013b8a5778bf8c40b5e_114_4" hidden="1" xml:space="preserve">    '[12]25 energy performance'!$B$7</definedName>
    <definedName name="TRNR_01e02471d7604ee88f2e36cadd8f094d_354_2" hidden="1">#REF!</definedName>
    <definedName name="TRNR_023df90456774c4babbeba2a51298872_184_0" hidden="1">'[13]Price move from peak'!#REF!</definedName>
    <definedName name="TRNR_02571366124c4be8a90baec84b360a6f_808_4" hidden="1" xml:space="preserve">                        '[14]Front end repricing'!$E$2</definedName>
    <definedName name="TRNR_02c5ed77fc674760bb39ca5f1999a853_131_3" hidden="1" xml:space="preserve">                        '[15]Forward Earnings'!$A$1</definedName>
    <definedName name="TRNR_02d9f7785fc240e3b9f78371ef301d31_184_0" hidden="1">'[13]Price move from peak'!#REF!</definedName>
    <definedName name="TRNR_02fb48280ee148ea8ce5a53d1af52471_133_1" hidden="1" xml:space="preserve">                        '[14]Core PCE YoY'!$A$1</definedName>
    <definedName name="TRNR_03330a6294b94741b7463e8bd998c237_132_0" hidden="1">'[13]Price move from peak'!#REF!</definedName>
    <definedName name="TRNR_033bc21edfbf433095a7619eb48b7b2a_2_6" hidden="1">#REF!</definedName>
    <definedName name="TRNR_03a8e3d59832403581e4d9ffffa5a9dc_52_2" hidden="1" xml:space="preserve">                                                                                        '[16]2 equity bond scatter'!$B$7</definedName>
    <definedName name="TRNR_03b5b758e87049098cfea1146a22f2bb_262_2" hidden="1">#REF!</definedName>
    <definedName name="TRNR_03d2d266c69d48cc8a1af23df1ad8ad8_713_3" hidden="1" xml:space="preserve">                        '[17]Yield breakdown'!$B$4</definedName>
    <definedName name="TRNR_03e4f5a9f94f4b3a927a7d0aae8e0ac7_3653_2" hidden="1">#REF!</definedName>
    <definedName name="TRNR_058badf99ad740458bdc9600b19b0357_3_2" hidden="1">#REF!</definedName>
    <definedName name="TRNR_05d4ea35cf254312a5a029d3c300bf41_51_3" hidden="1">#REF!</definedName>
    <definedName name="TRNR_05d8e688f8be4c29a2b24f7f2bc4323d_1_1" hidden="1" xml:space="preserve">                                                                                                                                '[16]2 equity bond scatter'!$Q$5</definedName>
    <definedName name="TRNR_06452938cc28454d8730b4afd5d8a300_52_2" hidden="1" xml:space="preserve">                                        '[16]2 equity bond scatter'!$B$7</definedName>
    <definedName name="TRNR_0695b177738b4d2bbe532564186a8d63_42_0" hidden="1">'[13]Price move from peak'!#REF!</definedName>
    <definedName name="TRNR_069d482229be49c3a4454968e8b95def_2611_3" hidden="1">#REF!</definedName>
    <definedName name="TRNR_06b69a8c01b6485aabbb4da7f45496a8_131_4" hidden="1" xml:space="preserve">                        '[18]Forward Earnings'!$A$1</definedName>
    <definedName name="TRNR_06fc6e6aefeb461d88957e02f07fc87a_354_2" hidden="1">#REF!</definedName>
    <definedName name="TRNR_06fcd81e21b249c1b9179115cbc8c7ae_204_11" hidden="1">[19]Yields!#REF!</definedName>
    <definedName name="TRNR_08b994993ca74a6997af161f4e3028ed_285_0" hidden="1">#REF!</definedName>
    <definedName name="TRNR_0927a714a696439f883008e70eac0026_132_0" hidden="1">'[13]Price move from peak'!#REF!</definedName>
    <definedName name="TRNR_0952e1325265498e822e7671e5b52f14_24_2" hidden="1">#REF!</definedName>
    <definedName name="TRNR_09961c64069d405e8fc7af5e7050e754_86_3" hidden="1" xml:space="preserve">                          '[20]P9 Margins'!$B$9</definedName>
    <definedName name="TRNR_09ec4f68ed5c4963a85fd07d7ac370a3_354_2" hidden="1">#REF!</definedName>
    <definedName name="TRNR_0a528f8b24f94d04882519bcd4c4c374_53_3" hidden="1" xml:space="preserve">                                                                                    '[16]2 equity bond scatter'!$G$7</definedName>
    <definedName name="TRNR_0a90e5cf5ef44b68bda7723c7a7132e7_184_1" hidden="1">'[13]Price move from peak'!#REF!</definedName>
    <definedName name="TRNR_0ab50ac2f96d4e829dfe727b4fe80dbb_3_2" hidden="1">#REF!</definedName>
    <definedName name="TRNR_0ad002cd71bc48fc918f597e0f5c0dc0_69_12" hidden="1">#REF!</definedName>
    <definedName name="TRNR_0af661a046b545098b61d5b679753138_22_1" hidden="1">#REF!</definedName>
    <definedName name="TRNR_0b3c1f9db42e4d0dad7f651d8481426e_1364_4" hidden="1">#REF!</definedName>
    <definedName name="TRNR_0b9e5a0c11414b5c96ebf68ca1a51260_1_1" hidden="1" xml:space="preserve">                                                                                                                                                                                                  '[21]P3 Equity Bond returns'!$N$5</definedName>
    <definedName name="TRNR_0bcc0200341b4c3d891a3a123cd005ad_713_3" hidden="1" xml:space="preserve">                        '[17]Yield breakdown'!$B$4</definedName>
    <definedName name="TRNR_0c58e63d6a4c485e84ffca15697d6014_22_1" hidden="1">#REF!</definedName>
    <definedName name="TRNR_0c60889b11054055862c351b15269474_152_1" hidden="1">#REF!</definedName>
    <definedName name="TRNR_0c77e8b20404444693cd1c8ccfba92f8_109_2" hidden="1">#REF!</definedName>
    <definedName name="TRNR_0d04f28dd6b24959af4624b234968264_122_1" hidden="1" xml:space="preserve">                                                                                        '[22]19 earnings'!$N$1</definedName>
    <definedName name="TRNR_0db19cfbf27a4998b9e6810a85292ff8_522_25" hidden="1">#REF!</definedName>
    <definedName name="TRNR_0dc5eb7bc071459d95a50387909e81a3_1_1" hidden="1" xml:space="preserve">                                                                                        '[16]2 equity bond scatter'!$Q$5</definedName>
    <definedName name="TRNR_0dd083e5f2eb483f934fa1e3a5cfe0a8_103_22" hidden="1">#REF!</definedName>
    <definedName name="TRNR_0e2928f722444093be5ca2f5aa65e453_1_1" hidden="1" xml:space="preserve">                        '[23]US rate paths'!$C$5</definedName>
    <definedName name="TRNR_0e4e8dcdf25c4ee386e8ecc609aed7cf_9767_2" hidden="1">#REF!</definedName>
    <definedName name="TRNR_0e9f7e2b95934d50b7c9202e6ae70d7d_1_1" hidden="1" xml:space="preserve">                                                                                                                '[16]2 equity bond scatter'!$Q$5</definedName>
    <definedName name="TRNR_0ed1d890895747f0b9abb31352e06e25_1_2" hidden="1">#REF!</definedName>
    <definedName name="TRNR_0eed335a95da4e5b84dfaab8cd3ed9f4_7159_1" hidden="1">#REF!</definedName>
    <definedName name="TRNR_0f42e7950da8458ca981da53f3783240_2_1" hidden="1" xml:space="preserve">                            '[12]25 energy performance'!#REF!</definedName>
    <definedName name="TRNR_0f8192d927ed431994b4120977d394be_1_16" hidden="1">#REF!</definedName>
    <definedName name="TRNR_0fe186b5c0684094a7a449ad8601a4c9_53_3" hidden="1" xml:space="preserve">                                                                                        '[16]2 equity bond scatter'!$G$7</definedName>
    <definedName name="TRNR_103fade85aad429c9392d37a18c76ba1_329_4" hidden="1">'[24]Regional PE Ratios'!#REF!</definedName>
    <definedName name="TRNR_10b2608a99094f93aa41152cbeedad10_1_1" hidden="1">#REF!</definedName>
    <definedName name="TRNR_10f04cf0bfba47a4bca7c2d95e860da7_1_32" hidden="1">#REF!</definedName>
    <definedName name="TRNR_10f460ca41dd4d11b0c837622463a4e2_2_1" hidden="1">#REF!</definedName>
    <definedName name="TRNR_110f9d2dbc194b60a96303eba513e802_109_2" hidden="1">#REF!</definedName>
    <definedName name="TRNR_112bf0614b2f4b7182d0baaff78b9d3b_635_1" hidden="1">#REF!</definedName>
    <definedName name="TRNR_1204ec8b2ebd4e0994a27f2ea91c3079_0_0" hidden="1">#REF!</definedName>
    <definedName name="TRNR_1248fe869bb54a06bb44f19171fdf55a_5_3" hidden="1" xml:space="preserve">                                                                                                                '[22]20 earnings growth'!$C$124</definedName>
    <definedName name="TRNR_124e6eaf16444d1389b5b24d758b019f_284_1" hidden="1" xml:space="preserve">                                                '[16]5 reallocation'!$R$3</definedName>
    <definedName name="TRNR_125ce7401f1543fbac73bc256f412311_1_16" hidden="1">#REF!</definedName>
    <definedName name="TRNR_1280b6f2ae74488aaee39c5b4e9648e8_3_0" hidden="1">#REF!</definedName>
    <definedName name="TRNR_12ad6a2b00024bfeb3a250aa0fb21094_3_0" hidden="1" xml:space="preserve">                                                                                                                                                                        '[21]P8 Commodity prices'!$AK$4</definedName>
    <definedName name="TRNR_12c0872c497549b9ae9a51a419d63128_522_9" hidden="1">#REF!</definedName>
    <definedName name="TRNR_12d9cc4dcadd4985865f8ff44f76cc97_99_2" hidden="1">#REF!</definedName>
    <definedName name="TRNR_131228f3dd29455cbc85f609d1d7a1c6_2_5" hidden="1">#REF!</definedName>
    <definedName name="TRNR_1348913699b549c9a461c17555e758f6_42_0" hidden="1">'[13]Price move from peak'!#REF!</definedName>
    <definedName name="TRNR_13bafd09ca3a449cab60a2022fd43149_53_3" hidden="1" xml:space="preserve">                                                                                      '[16]2 equity bond scatter'!$G$7</definedName>
    <definedName name="TRNR_13ec0d2f069c4a9aa65b9439650fc51c_131_3" hidden="1">#REF!</definedName>
    <definedName name="TRNR_140f9f9e576e4f649d45f06fea5daf48_357_1" hidden="1">#REF!</definedName>
    <definedName name="TRNR_143ffb9adef64df09d9388195e4de716_52_22" hidden="1">#REF!</definedName>
    <definedName name="TRNR_147e2e6abdf04a2c8090927bd1927ca2_1_2" hidden="1">#REF!</definedName>
    <definedName name="TRNR_1483c6a70b2e487e9687f420a8dedca3_354_2" hidden="1">#REF!</definedName>
    <definedName name="TRNR_14cf539c69b844c4ae464e59c87a7ba0_24_2" hidden="1">#REF!</definedName>
    <definedName name="TRNR_15a5553da3ce45cdaa1fbae61b47b4de_1135_4" hidden="1">#REF!</definedName>
    <definedName name="TRNR_15ce99caacdf457298fff89919e623d3_3_0" hidden="1">#REF!</definedName>
    <definedName name="TRNR_162c9677ce1b432dad60cfd39512918c_52_2" hidden="1" xml:space="preserve">                                            '[16]2 equity bond scatter'!$B$7</definedName>
    <definedName name="TRNR_163d4ba639b147229f9c1f8d4bf21c77_56_2" hidden="1">#REF!</definedName>
    <definedName name="TRNR_16491ea54b384106be905505a488a34c_56_2" hidden="1">#REF!</definedName>
    <definedName name="TRNR_1654c5c8811948ca978777d3a599c835_1826_4" hidden="1">#REF!</definedName>
    <definedName name="TRNR_16634befd77747e1a3c2db3f69d6ecfd_9_1" hidden="1">#REF!</definedName>
    <definedName name="TRNR_16c2411c5c744737ace3fc4dc374c84e_522_3" hidden="1">#REF!</definedName>
    <definedName name="TRNR_16ffc2601da94412bb02f45e71af0cea_472_25" hidden="1">#REF!</definedName>
    <definedName name="TRNR_171a341da3d9490aae75825a25c24ae1_52_2" hidden="1" xml:space="preserve">                                  '[16]2 equity bond scatter'!$B$7</definedName>
    <definedName name="TRNR_1755142f0d224eab894d1142698ebb70_444_25" hidden="1">#REF!</definedName>
    <definedName name="TRNR_176c27c646744197badfd0c40eefd110_1826_4" hidden="1">#REF!</definedName>
    <definedName name="TRNR_179cea9620474640acc1ce8a704f89bc_1_32" hidden="1">#REF!</definedName>
    <definedName name="TRNR_188f382276504567996caf1401f83a08_1_1" hidden="1" xml:space="preserve">                                            '[16]2 equity bond scatter'!$N$5</definedName>
    <definedName name="TRNR_1901f7631c054956846696055358198c_1_1" hidden="1" xml:space="preserve">                              '[20]P9 Margins'!$I$2</definedName>
    <definedName name="TRNR_19033554cf8e4903926214cc052aeea0_1464_1" hidden="1">'[25]Market Overview'!#REF!</definedName>
    <definedName name="TRNR_194ba81d102f41d3bccbd07c26674d0d_52_2" hidden="1" xml:space="preserve">                                            '[16]2 equity bond scatter'!$B$7</definedName>
    <definedName name="TRNR_198d2498a5c649bf857c9860e6cefb20_109_2" hidden="1">#REF!</definedName>
    <definedName name="TRNR_19b02aba1ccf475a976fcc4261897ad0_132_0" hidden="1">'[13]Price move from peak'!#REF!</definedName>
    <definedName name="TRNR_1a76fc0d6eee4af98ea855de11850adc_630_1" hidden="1">'[26]Consumer confidence'!#REF!</definedName>
    <definedName name="TRNR_1a923f58b83d4c67ba99fd5e918b0e1e_522_1" hidden="1">#REF!</definedName>
    <definedName name="TRNR_1ab45169b7dd45d3bb3b69f865cb617d_184_0" hidden="1">'[13]Price move from peak'!#REF!</definedName>
    <definedName name="TRNR_1b32cca261544e789ac267db2f3c49ce_7_1" hidden="1" xml:space="preserve">                                                 '[16]7 Bev curve'!$B$9</definedName>
    <definedName name="TRNR_1b3c45ab744d4797b983e899653536b7_354_2" hidden="1">#REF!</definedName>
    <definedName name="TRNR_1beb6a5d42c04c09bfb28d77f79095cb_93_3" hidden="1">#REF!</definedName>
    <definedName name="TRNR_1c150b7ffd3343a1a5180452e07d1f8c_627_2" hidden="1">#REF!</definedName>
    <definedName name="TRNR_1c4109679f1f43f9af2d8545cdaa31a6_662_2" hidden="1">#REF!</definedName>
    <definedName name="TRNR_1e1a605c109644a28df4b279a05d0d0a_13_1" hidden="1" xml:space="preserve">                                                                                                                                                                                  '[21]P6 Cutting through confusion'!#REF!</definedName>
    <definedName name="TRNR_1e3b0befaeab4f8389cd09bb0e5d6f3f_3_2" hidden="1">#REF!</definedName>
    <definedName name="TRNR_1e6a5b9761ae489c89ad6cd7b6cf88d9_69_22" hidden="1">#REF!</definedName>
    <definedName name="TRNR_1eb8a91826e543798b067ef406cdfdac_2_6" hidden="1">#REF!</definedName>
    <definedName name="TRNR_1f939ccb531b469faf56ea779834a189_52_3" hidden="1" xml:space="preserve">                        '[16]2 equity bond scatter'!$G$7</definedName>
    <definedName name="TRNR_2059bde9c69942cfbd049b7421f84890_568_2" hidden="1">#REF!</definedName>
    <definedName name="TRNR_212e1c448bfc4d8fabfd9774f6ee3e2b_56_2" hidden="1">#REF!</definedName>
    <definedName name="TRNR_21387fb04754483b8151c05acd2b35f3_1_2" hidden="1">#REF!</definedName>
    <definedName name="TRNR_217ac1c0c91c44ac8c6f53af799977b4_30_4" hidden="1">#REF!</definedName>
    <definedName name="TRNR_21b9cfe68abd4cbcb534a928ba242268_3_0" hidden="1">#REF!</definedName>
    <definedName name="TRNR_22328570d3864970a2f59fb840e0b45c_42_0" hidden="1">'[13]Price move from peak'!#REF!</definedName>
    <definedName name="TRNR_23261311fe5942b2be66ea7f6dcb0278_522_3" hidden="1">#REF!</definedName>
    <definedName name="TRNR_241fc6fb835d44a2aa611200013ff0f7_0_0" hidden="1">#REF!</definedName>
    <definedName name="TRNR_2422538fb9fb4294ab1e0d641fc5bebe_88_7" hidden="1">#REF!</definedName>
    <definedName name="TRNR_243824d937714a64ae3c57be84508484_1_1" hidden="1" xml:space="preserve">                                                                                                                '[16]2 equity bond scatter'!$Q$5</definedName>
    <definedName name="TRNR_2439fe4aa3144cb4a4cc6adb96f26233_354_2" hidden="1">#REF!</definedName>
    <definedName name="TRNR_244b156d402d401d9dfce4d1c006eaa3_628_2" hidden="1">#REF!</definedName>
    <definedName name="TRNR_248c102b648c4f90bef605312dbab57f_569_2" hidden="1">#REF!</definedName>
    <definedName name="TRNR_2499ea3221df4855918db5e1744c7f04_23_3" hidden="1">#REF!</definedName>
    <definedName name="TRNR_25509cab880c4b9caea7561f12ab51a6_662_2" hidden="1">#REF!</definedName>
    <definedName name="TRNR_25bd1612ee9543c2863d524a25b3b90b_16_6" hidden="1">#REF!</definedName>
    <definedName name="TRNR_25deafa667464b479e4983b7a1fdc306_86_2" hidden="1">#REF!</definedName>
    <definedName name="TRNR_264bb6388a7349a299e0328bf4b2764f_1135_5" hidden="1">#REF!</definedName>
    <definedName name="TRNR_269ee402894640b286824878af79dd82_266_2" hidden="1" xml:space="preserve">                                                                                                                '[22]14 US unemployment'!$A$6</definedName>
    <definedName name="TRNR_26fed1823d48472b8319729a82598fbf_109_2" hidden="1">#REF!</definedName>
    <definedName name="TRNR_270da73763444de48994778ed1d564a1_119_1" hidden="1" xml:space="preserve">                        '[22]19 earnings'!$A$1</definedName>
    <definedName name="TRNR_271dd887607742dd888fad30d697f595_1_1" hidden="1">#REF!</definedName>
    <definedName name="TRNR_271eaa364249408e8821342c725888ec_22_1" hidden="1">#REF!</definedName>
    <definedName name="TRNR_2767db6ad56e4ea492b4f07884f4f382_56_2" hidden="1">#REF!</definedName>
    <definedName name="TRNR_278c636e7f2143d29ec5a43e7d71a6d8_1_1" hidden="1" xml:space="preserve">                                                  '[16]2 equity bond scatter'!$Q$5</definedName>
    <definedName name="TRNR_27b5b925622f4ae2affdcbf6ee7d3e5c_3_2" hidden="1">#REF!</definedName>
    <definedName name="TRNR_27d86fbd3c2b4378b05a9a13a80da44b_3_2" hidden="1">#REF!</definedName>
    <definedName name="TRNR_280e7e69613f4b2e99987b422ef6900c_1305_1" hidden="1" xml:space="preserve">                        '[23]US rate paths'!$C$5</definedName>
    <definedName name="TRNR_2834186cf2e541dcbf43fad5c57937f0_875_3" hidden="1">#REF!</definedName>
    <definedName name="TRNR_2869fb90a1ad45b582b2ce3f2fc0c556_18_1" hidden="1">#REF!</definedName>
    <definedName name="TRNR_289b92a3f251448aafc0efa562de6b17_1_32" hidden="1">#REF!</definedName>
    <definedName name="TRNR_28b1f0ae048f4a408153aaece20f3bcd_1397_5" hidden="1">#REF!</definedName>
    <definedName name="TRNR_290d399556e64950a9b2ecde80939fc1_1_32" hidden="1">#REF!</definedName>
    <definedName name="TRNR_29198288034e41a58aac8ec8a3571f5f_264_2" hidden="1" xml:space="preserve">                                                                                                                '[22]22 5y5y inflation vs  10y'!$BF$6</definedName>
    <definedName name="TRNR_294f83ab00fc48149300a65a899e91f7_192_2" hidden="1">#REF!</definedName>
    <definedName name="TRNR_2a696123317a41e29034659c22f501a3_132_3" hidden="1" xml:space="preserve">                                            '[16]23 EM perf'!$C$8</definedName>
    <definedName name="TRNR_2a7528d46a39412c9fd5070d25f30b31_7757_1" hidden="1" xml:space="preserve">                        '[17]US rate path'!$B$4</definedName>
    <definedName name="TRNR_2a9a0ba3e2c54844a59756b7fc8d8828_187_2" hidden="1">#REF!</definedName>
    <definedName name="TRNR_2ab2a9fb79504fbf9ea0b594f8675fca_623_3" hidden="1">#REF!</definedName>
    <definedName name="TRNR_2adff21ca4a24ba1a50de13720887930_3_0" hidden="1">#REF!</definedName>
    <definedName name="TRNR_2b3d985f7e7d41ecb20362f7f6f856bc_485_3" hidden="1">#REF!</definedName>
    <definedName name="TRNR_2b53265c98684c0e905ec95f0f1b5911_1_1" hidden="1" xml:space="preserve">                                                                        '[16]2 equity bond scatter'!$N$5</definedName>
    <definedName name="TRNR_2b67df83cf7940c4b962ab45fa198f2a_132_0" hidden="1">'[13]Price move from peak'!#REF!</definedName>
    <definedName name="TRNR_2b6e5039832743fd974a2f04c0fd10b5_132_0" hidden="1">'[13]Price move from peak'!#REF!</definedName>
    <definedName name="TRNR_2bb90b0fcd824806a0cbb2df13e6b733_1_1" hidden="1" xml:space="preserve">                                '[16]2 equity bond scatter'!$Q$5</definedName>
    <definedName name="TRNR_2bdd2c04bcd248898d2c0cd90bbb5168_128_1" hidden="1" xml:space="preserve">                                                                                                                                                                          '[21]P6 Cutting through confusion'!#REF!</definedName>
    <definedName name="TRNR_2c6d8d93a4ba4952bfd1db3f7d33d432_1_2" hidden="1">#REF!</definedName>
    <definedName name="TRNR_2ca21ab43de245eeb1fae09e0b883ebe_629_2" hidden="1">#REF!</definedName>
    <definedName name="TRNR_2cba9cf7785e4db8bbdd10d9ddd1b478_53_3" hidden="1" xml:space="preserve">                                                                                      '[16]2 equity bond scatter'!$G$7</definedName>
    <definedName name="TRNR_2d1fa54fe8a14643a5fd5ae6e6be3c78_1_1" hidden="1" xml:space="preserve">                                            '[16]2 equity bond scatter'!$Q$5</definedName>
    <definedName name="TRNR_2d2afd9413aa48fb948263f718b766ad_264_2" hidden="1" xml:space="preserve">                                                                                                                '[22]22 5y5y inflation vs  10y'!$BA$6</definedName>
    <definedName name="TRNR_2d6d5bbcee404431bfaf5e9707f29e3f_919_3" hidden="1" xml:space="preserve">                             '[16]21 yield breakdown'!$C$5</definedName>
    <definedName name="TRNR_2dd106e25d4644ebb2fe0459e60c5f7c_131_3" hidden="1">#REF!</definedName>
    <definedName name="TRNR_2e9c842a04e64cb1a3a190f7c7700194_1527_1" hidden="1" xml:space="preserve">                        '[27]One-week repo'!$B$4</definedName>
    <definedName name="TRNR_2e9fc950c23849f8be768bad7f9ff89c_90_3" hidden="1">#REF!</definedName>
    <definedName name="TRNR_2f1b5d01d85c4161a1da8c5f371478d7_662_2" hidden="1">#REF!</definedName>
    <definedName name="TRNR_2f38b40639e645ecaf794fb567b737b0_97_2" hidden="1">#REF!</definedName>
    <definedName name="TRNR_2f53ed21e70c4de182b646a277fdf9cd_187_2" hidden="1">#REF!</definedName>
    <definedName name="TRNR_2f6666c16fc04e93b700cd252295a15b_3_2" hidden="1">#REF!</definedName>
    <definedName name="TRNR_2f6cf7c3e5e040be89495bff9e403669_51_2" hidden="1" xml:space="preserve">                                                                                                                                                                                          '[21]P3 Equity Bond returns'!$B$7</definedName>
    <definedName name="TRNR_2f92e24ed1ae4c5fad38fa07f8dfe33a_98_2" hidden="1">#REF!</definedName>
    <definedName name="TRNR_2f934da538394633ba64d1273323c587_3_0" hidden="1">#REF!</definedName>
    <definedName name="TRNR_2f96b2b7e8494556b38d2d960b6fb36e_1_5" hidden="1">#REF!</definedName>
    <definedName name="TRNR_2fd4f8a6f5864cf28fd3bb6110e85361_627_3" hidden="1" xml:space="preserve">                                                '[14]UW US Treasuries'!$B$6</definedName>
    <definedName name="TRNR_30070d0fe59b4abfa879c284e02ddb26_3_2" hidden="1">#REF!</definedName>
    <definedName name="TRNR_30742d257990456395b2ef7ac651c384_184_0" hidden="1">'[13]Price move from peak'!#REF!</definedName>
    <definedName name="TRNR_3076cc4e0d7349728097981da1da70be_192_1" hidden="1" xml:space="preserve">                                                                                                                                                              '[21]P5 Living with inflation'!$S$2</definedName>
    <definedName name="TRNR_30e265b973044369b1c1a4b6f5cff15c_5_3" hidden="1" xml:space="preserve">                                                                                                                '[22]20 earnings growth'!$C$124</definedName>
    <definedName name="TRNR_316abb6abe04402d826aba4b30e591aa_147_4" hidden="1" xml:space="preserve">                                                                                        '[22]10 US PCE'!$A$2</definedName>
    <definedName name="TRNR_326ad92fab894aff896e9a5b5e5dd4ea_372_2" hidden="1">#REF!</definedName>
    <definedName name="TRNR_329c7461baed4e75b47f8e4288e27ee0_3_2" hidden="1">#REF!</definedName>
    <definedName name="TRNR_33dc2efc94684e34a8fda0661eedba77_86_4" hidden="1">#REF!</definedName>
    <definedName name="TRNR_3457a2703fb245ad9f4d7504143e7b5e_132_0" hidden="1">'[13]Price move from peak'!#REF!</definedName>
    <definedName name="TRNR_348d230be3ae41bd9b60f16efee103da_99_2" hidden="1">#REF!</definedName>
    <definedName name="TRNR_3513c489eb294b329fba20cc97972897_1_32" hidden="1">#REF!</definedName>
    <definedName name="TRNR_355091f948b34062b7dca7762466a9e9_50_2" hidden="1" xml:space="preserve">                                                                                                                '[22]13 Labor market'!$A$6</definedName>
    <definedName name="TRNR_3555682d4fa14f9d8e6c8c70b111846a_42_0" hidden="1">'[13]Price move from peak'!#REF!</definedName>
    <definedName name="TRNR_35662209cddb49af9f783649386e3d7d_97_2" hidden="1">#REF!</definedName>
    <definedName name="TRNR_359639a6556c405984880945ab66261d_3_2" hidden="1">#REF!</definedName>
    <definedName name="TRNR_362b95ac3b294a1e8c67a6461f96718c_634_1" hidden="1">#REF!</definedName>
    <definedName name="TRNR_374d28037bf24ad086df32e2fe402fb3_131_6" hidden="1" xml:space="preserve">                        '[22]20 earnings growth'!$R$1</definedName>
    <definedName name="TRNR_37c7dffb11a44814b835c0be79db784b_52_2" hidden="1" xml:space="preserve">                                  '[16]2 equity bond scatter'!$B$7</definedName>
    <definedName name="TRNR_37d14926bbe84cd7a5b01f0f71a64f3d_97_2" hidden="1">#REF!</definedName>
    <definedName name="TRNR_37fd508a95f64726b2b48a16e5488d27_662_2" hidden="1">#REF!</definedName>
    <definedName name="TRNR_384a04b2920c443cb310c774cc9b5189_3_0" hidden="1">#REF!</definedName>
    <definedName name="TRNR_392828ec508746a8a823359d22dc50ea_1_16" hidden="1">#REF!</definedName>
    <definedName name="TRNR_3ab4b67339d942c19655e555adec1079_1_1" hidden="1">#REF!</definedName>
    <definedName name="TRNR_3aef964708a541caadaacac75ab1af07_23_3" hidden="1">'[28]Gov. Bond Returns YTD'!#REF!</definedName>
    <definedName name="TRNR_3b45c693a95b4f78acb6c94ea7b1ecee_26_1" hidden="1">#REF!</definedName>
    <definedName name="TRNR_3b4bc04d41a74750bcfd76421bf75593_53_3" hidden="1" xml:space="preserve">                                                                                      '[16]2 equity bond scatter'!$G$7</definedName>
    <definedName name="TRNR_3bde59b2284441dcb1169c9f2d8f6379_60_3" hidden="1">#REF!</definedName>
    <definedName name="TRNR_3c1df4fbc5cd45ceabef05a02cb8f522_6091_1" hidden="1">#REF!</definedName>
    <definedName name="TRNR_3c243511dc33479fb9c2d93ad45380b2_612_3" hidden="1">#REF!</definedName>
    <definedName name="TRNR_3c59622afec24c70beb314e80cf9dbe1_1_4" hidden="1">#REF!</definedName>
    <definedName name="TRNR_3caec76bcea645c09a727fb817ac6b43_50_2" hidden="1" xml:space="preserve">                                                                                                                '[22]13 Labor market'!$A$6</definedName>
    <definedName name="TRNR_3cc26214bbd349508b589d4757e02d29_7756_1" hidden="1" xml:space="preserve">                        '[23]US rate paths'!$N$6</definedName>
    <definedName name="TRNR_3cdd1fcbb7a3440d9fec564aae4e83e8_198_3" hidden="1">#REF!</definedName>
    <definedName name="TRNR_3d04cad8e52a4d18ba2b433ffa97dc3c_2_1" hidden="1">#REF!</definedName>
    <definedName name="TRNR_3d369e897c0a449294786058f79fb54d_132_0" hidden="1">'[13]Price move from peak'!#REF!</definedName>
    <definedName name="TRNR_3db93553dbbc4699b1940078f798f2a3_3_2" hidden="1">#REF!</definedName>
    <definedName name="TRNR_3dc268b817ad4f4cb661080963a7cc27_53_3" hidden="1" xml:space="preserve">                                            '[16]2 equity bond scatter'!$G$7</definedName>
    <definedName name="TRNR_3e58bba7bdf0464e9599ead80862155a_2610_3" hidden="1">#REF!</definedName>
    <definedName name="TRNR_3e5da22a202543d881e0fb0ad7405842_109_2" hidden="1" xml:space="preserve">                                                  '[16]3 Timeline'!$D$4</definedName>
    <definedName name="TRNR_3e907f26e53143908b36d5686a4a5729_3_0" hidden="1" xml:space="preserve">            '[21]P8 Commodity prices'!$AJ$4</definedName>
    <definedName name="TRNR_3f087541a281442ba63b49b8240389f6_45_1" hidden="1">#REF!</definedName>
    <definedName name="TRNR_3fd2ad8bb314468d8510e4bd51674ff9_1_4" hidden="1">#REF!</definedName>
    <definedName name="TRNR_402e2ae01c1549a2a1eaf16c6023aabe_52_3" hidden="1">#REF!</definedName>
    <definedName name="TRNR_405a023172b64d34aeeb596afa353f01_1_2" hidden="1">#REF!</definedName>
    <definedName name="TRNR_4069bb8c5add4bbb8febc1fe8b50e50e_132_0" hidden="1">'[13]Price move from peak'!#REF!</definedName>
    <definedName name="TRNR_40f3ee76557647bb829777943fce1711_662_2" hidden="1">#REF!</definedName>
    <definedName name="TRNR_40f9f34501ae4db7b269a859c8307996_24_2" hidden="1">#REF!</definedName>
    <definedName name="TRNR_41243149c5d6487d9276ae7d1e2477d4_50_2" hidden="1" xml:space="preserve">                                                                                                                '[22]13 Labor market'!$A$6</definedName>
    <definedName name="TRNR_41b21af8a2b84d8181f63e7c7b4b5540_15_4" hidden="1">#REF!</definedName>
    <definedName name="TRNR_4209b003d10144d28ddf347586540bc1_2_6" hidden="1">#REF!</definedName>
    <definedName name="TRNR_42491f0dc74b4b07bb0ee4d47db3c3f9_1145_18" hidden="1">#REF!</definedName>
    <definedName name="TRNR_425035760b43421fb3afe02d85e5faaf_1_1" hidden="1" xml:space="preserve">                                                  '[16]2 equity bond scatter'!$Q$5</definedName>
    <definedName name="TRNR_42b85146d90b48fbb4a8c9e3e418d2ed_109_2" hidden="1">#REF!</definedName>
    <definedName name="TRNR_42ccd2e2f1c74a05be6746233ddd20de_629_2" hidden="1">#REF!</definedName>
    <definedName name="TRNR_4317d9b7efa943369e573338e5c4a174_253_1" hidden="1">#REF!</definedName>
    <definedName name="TRNR_439e1c4a378d4706957408d02fab8818_3_2" hidden="1">#REF!</definedName>
    <definedName name="TRNR_43c4edd405cd4220ae59178fdb30e8f2_100_2" hidden="1">#REF!</definedName>
    <definedName name="TRNR_43cdc442ec00411793b7e9a51995d1a3_1_1" hidden="1" xml:space="preserve">                                                                                                                '[16]2 equity bond scatter'!$N$5</definedName>
    <definedName name="TRNR_43fbbb80c0cb49859f5b9d1f44f515d4_62_2" hidden="1" xml:space="preserve">                                                                                                                '[22]22 5y5y inflation vs  10y'!$BA$6</definedName>
    <definedName name="TRNR_4411c8e1497d46b4b77e605ac969dfa8_0_0" hidden="1">#REF!</definedName>
    <definedName name="TRNR_44ec4a67e4574c2d9a0d53b79d7eb94a_81_3" hidden="1">#REF!</definedName>
    <definedName name="TRNR_44ffff8e964e42a2999288e39b75fda1_46_1" hidden="1">#REF!</definedName>
    <definedName name="TRNR_45367014747a4fac9a4bfa1c672d4f7e_109_2" hidden="1">#REF!</definedName>
    <definedName name="TRNR_455fdb3b7d734167ad47bf9aa561cf13_185_4" hidden="1">#REF!</definedName>
    <definedName name="TRNR_45c262c7e40e4e9996cfb192b3ae6adf_184_0" hidden="1">'[13]Price move from peak'!#REF!</definedName>
    <definedName name="TRNR_4644f0c9bb7e46b78523452b78c1d2ea_329_4" hidden="1">'[24]Regional PE Ratios'!#REF!</definedName>
    <definedName name="TRNR_46889d88e84f4b4787c95eb494953ed2_3_2" hidden="1" xml:space="preserve">                                                '[21]P8 Commodity prices'!$AG$4</definedName>
    <definedName name="TRNR_46c0c0f770a14473a6160e5ae28f53d7_634_1" hidden="1">#REF!</definedName>
    <definedName name="TRNR_4783304536c44c19b10448628d3c2eeb_52_2" hidden="1" xml:space="preserve">                                  '[16]2 equity bond scatter'!$B$7</definedName>
    <definedName name="TRNR_481c3a7ec56340c198eb1d01040ce086_662_2" hidden="1">#REF!</definedName>
    <definedName name="TRNR_48cdf9bdd4fd499c865d3017ae78f7dc_1_32" hidden="1">#REF!</definedName>
    <definedName name="TRNR_48e7ee12c90049048681b548a1f49948_1_5" hidden="1">#REF!</definedName>
    <definedName name="TRNR_4ac2a7f0eab64692a92bc18b07a0bee8_50_1" hidden="1" xml:space="preserve">                                                                                                                '[22]13 Labor market'!$A$6</definedName>
    <definedName name="TRNR_4b7a7b2d8617470c8487d9a011b16fd0_1388_5" hidden="1">#REF!</definedName>
    <definedName name="TRNR_4b99625cbf3b45cdbfdb03ce3202ae3a_181_3" hidden="1">'[29]Chart of the week'!$C$9</definedName>
    <definedName name="TRNR_4c0bc3da268c4b3cb79adf5484d27a0b_3_2" hidden="1">#REF!</definedName>
    <definedName name="TRNR_4c5de5a3e1eb4800829d3221c18df623_99_2" hidden="1">#REF!</definedName>
    <definedName name="TRNR_4c6897a8a5fc4815b03a00d1fdbd0b6f_136_2" hidden="1" xml:space="preserve">                                                  '[16]3 Timeline'!$D$4</definedName>
    <definedName name="TRNR_4c6cc8b0d4bc4f8780d2ca1c9549a125_354_2" hidden="1">#REF!</definedName>
    <definedName name="TRNR_4c97241b6eff4cda84d4c53bf43978cb_808_4" hidden="1" xml:space="preserve">                                '[14]Front end repricing'!$E$2</definedName>
    <definedName name="TRNR_4c9d18419c5d49c09a64f306b94ec58f_857_2" hidden="1">#REF!</definedName>
    <definedName name="TRNR_4d2676638fd34119acee6fb860250ade_56_2" hidden="1">#REF!</definedName>
    <definedName name="TRNR_4d41e2affe934858a6148cb48c1b8491_25_1" hidden="1">#REF!</definedName>
    <definedName name="TRNR_4d646242afa940c4a8c16793e5007f06_3_0" hidden="1">#REF!</definedName>
    <definedName name="TRNR_4e04c9efc7c84ba59d0e9ca6c30fde04_71_20" hidden="1">#REF!</definedName>
    <definedName name="TRNR_4e4d50783a9140dea2e0f61ec690a188_1693_1" hidden="1">[30]Spreads!#REF!</definedName>
    <definedName name="TRNR_50273989263d4d04a0df1e1bfffa23b1_679_3" hidden="1" xml:space="preserve">                                                '[14]UW US Treasuries'!$B$6</definedName>
    <definedName name="TRNR_50568117ba1e4b4cbb62c28ec353a9a6_192_2" hidden="1">#REF!</definedName>
    <definedName name="TRNR_507c08c9ace540379f5d934f2fab48bb_1_5" hidden="1">#REF!</definedName>
    <definedName name="TRNR_50de05d70863437aaec96158805a2370_1_1" hidden="1">#REF!</definedName>
    <definedName name="TRNR_50e915b2db304e04adc7beca66a11680_3_2" hidden="1">#REF!</definedName>
    <definedName name="TRNR_510497f369604e9ba832a17b5c7248eb_1_2" hidden="1">#REF!</definedName>
    <definedName name="TRNR_5196330dbea745a794a91b03a2e69f74_109_2" hidden="1">#REF!</definedName>
    <definedName name="TRNR_51a90b60a8004681838cd6e877b1c4a8_109_2" hidden="1">#REF!</definedName>
    <definedName name="TRNR_51ee9576c07a46ee9181f89f0f5c94cf_3_2" hidden="1">#REF!</definedName>
    <definedName name="TRNR_51f6eb9e327c45368e4061a45db9c5ac_1394_4" hidden="1">#REF!</definedName>
    <definedName name="TRNR_5228f17d28fc45c29d68ed3df673a0bd_342_3" hidden="1">#REF!</definedName>
    <definedName name="TRNR_52af26229f174bfd83af5b8446dfc876_7984_22" hidden="1">#REF!</definedName>
    <definedName name="TRNR_52d7eef0ca3c465785f175acded02de8_56_2" hidden="1">#REF!</definedName>
    <definedName name="TRNR_530d3b4010b04f52832c91c0f40590f4_192_2" hidden="1">#REF!</definedName>
    <definedName name="TRNR_5316ed3f588a4732b91aaa046d24a402_305_9" hidden="1">'[24]US Earnings Estimates'!#REF!</definedName>
    <definedName name="TRNR_53271935cdc142e7ad1798973d4146af_1042_0" hidden="1">'[13]Price move from peak'!#REF!</definedName>
    <definedName name="TRNR_5352a53cfa474fce967ded6690969db2_1_1" hidden="1" xml:space="preserve">                                                                                        '[16]2 equity bond scatter'!$Q$5</definedName>
    <definedName name="TRNR_53981416a6094f62902fb40f68fc9daa_2_6" hidden="1">#REF!</definedName>
    <definedName name="TRNR_54919ce6f8c7429c9ff69583cca160cc_1_2" hidden="1">#REF!</definedName>
    <definedName name="TRNR_5571c4d46f5648f5b786febeba23afb9_1_1" hidden="1" xml:space="preserve">                                                            '[16]2 equity bond scatter'!$N$5</definedName>
    <definedName name="TRNR_5585735d3e284ffdb6d2775407812d41_192_2" hidden="1">#REF!</definedName>
    <definedName name="TRNR_55bc11e12eeb43038e273441026a97f7_3_0" hidden="1">#REF!</definedName>
    <definedName name="TRNR_56ce972487284728b644db58955f89b7_192_2" hidden="1">#REF!</definedName>
    <definedName name="TRNR_57075dc238f94dbca69320e9f40dcc95_1_1" hidden="1" xml:space="preserve">                                                  '[16]2 equity bond scatter'!$Q$5</definedName>
    <definedName name="TRNR_571d65367c1545de993ce780a4d1f631_7757_1" hidden="1">#REF!</definedName>
    <definedName name="TRNR_5723066f32a4484d80cd75ef61112f9b_24_2" hidden="1">#REF!</definedName>
    <definedName name="TRNR_5730b404b11e4e1f9475a8ef5d504ea2_184_0" hidden="1">'[13]Price move from peak'!#REF!</definedName>
    <definedName name="TRNR_5824ffb397ac409aa77a78485d39a370_266_3" hidden="1" xml:space="preserve">                                                                                                                '[22]14 US unemployment'!$A$6</definedName>
    <definedName name="TRNR_5888df9673de4b8e838cf561ecebde3a_56_2" hidden="1">#REF!</definedName>
    <definedName name="TRNR_5902378b498344ac9e9d6a083181ac26_1_32" hidden="1">#REF!</definedName>
    <definedName name="TRNR_59281e9e1c914bf1b8e93bf6d1186be6_1_2" hidden="1">#REF!</definedName>
    <definedName name="TRNR_59c1c6edeb5a4e9ea45a923e6209de29_253_3" hidden="1" xml:space="preserve">              '[20]P9 Margins'!$B$9</definedName>
    <definedName name="TRNR_59fbab36b9c242078f59dfa447062ca8_122_4" hidden="1" xml:space="preserve">                '[22]19 earnings'!$T$1</definedName>
    <definedName name="TRNR_5a27c4831e3e47728ab646fa7ed7a582_6091_1" hidden="1">#REF!</definedName>
    <definedName name="TRNR_5a373dd62cdc4fa89d9d5575cfe044ea_6061_1" hidden="1">#REF!</definedName>
    <definedName name="TRNR_5b33a746ef1d4dd181a684a866bcc609_3_2" hidden="1">#REF!</definedName>
    <definedName name="TRNR_5b6f105978844c279e8e6333cd30931d_522_25" hidden="1">#REF!</definedName>
    <definedName name="TRNR_5bdca5adb5fa42c28a740cb83258cfb1_1_2" hidden="1">#REF!</definedName>
    <definedName name="TRNR_5c2c984d1e3d43c681a69de17dfef63c_1305_1" hidden="1" xml:space="preserve">                        '[23]US rate paths'!$C$5</definedName>
    <definedName name="TRNR_5c52da01777c43b5ba1c7886223f5e16_192_2" hidden="1">#REF!</definedName>
    <definedName name="TRNR_5c902287249148739bdbbd1d1e2a1ceb_232_1" hidden="1" xml:space="preserve">  '[20]P10 FF Geopolitics'!$A$8</definedName>
    <definedName name="TRNR_5ca5cda8eb9949248e1956b9b1748256_56_2" hidden="1">#REF!</definedName>
    <definedName name="TRNR_5ce8d7bd09214bea8a28adbdd04772f1_99_2" hidden="1">#REF!</definedName>
    <definedName name="TRNR_5d5a2ccea16442cab243464e52ff4835_144_2" hidden="1" xml:space="preserve">                                                  '[16]3 Timeline'!$D$4</definedName>
    <definedName name="TRNR_5dd4777b8d9e4755af62fcd6697fb896_305_5" hidden="1">'[24]US Earnings Estimates'!#REF!</definedName>
    <definedName name="TRNR_5f2c83c7772d4fc986bba8bbfe5fd511_1573_2" hidden="1" xml:space="preserve">                                                                                                                '[22]19 RealYields'!$V$3</definedName>
    <definedName name="TRNR_5f4c6d73522d4d4c94f7ce932d526605_662_2" hidden="1">#REF!</definedName>
    <definedName name="TRNR_5f6a732d58474870a5e08cb4d4ff73d0_522_1" hidden="1" xml:space="preserve">                        '[22]19 earnings'!$A$1</definedName>
    <definedName name="TRNR_5f9a6ae8d34f4cc8bef205acae00ac9d_662_2" hidden="1">#REF!</definedName>
    <definedName name="TRNR_5f9fc73478c34eee9612820cba0999d6_1_32" hidden="1">#REF!</definedName>
    <definedName name="TRNR_60359aeac038487aa49cfdf251470bf7_1826_4" hidden="1">#REF!</definedName>
    <definedName name="TRNR_6036627395b14131a58ce16ea7cdc2f9_264_2" hidden="1" xml:space="preserve">                                                                                                                '[22]22 5y5y inflation vs  10y'!$BF$6</definedName>
    <definedName name="TRNR_60dc8520a2b9481e9ce828c1319baf7a_52_3" hidden="1" xml:space="preserve">                                                                                            '[21]P3 Equity Bond returns'!$G$7</definedName>
    <definedName name="TRNR_6173c6fe96eb46569f25d8c44a91132d_635_1" hidden="1">#REF!</definedName>
    <definedName name="TRNR_617f6c497a2c493eafcba2eb588b4ad6_95_22" hidden="1">#REF!</definedName>
    <definedName name="TRNR_61aa0f3446a04342ae4596710b8f54e3_98_22" hidden="1">#REF!</definedName>
    <definedName name="TRNR_629ad3f6ebfe46ada057684f5efb8a63_0_0" hidden="1">#REF!</definedName>
    <definedName name="TRNR_62a46143fd364139a8faeabc2557922e_1_2" hidden="1">#REF!</definedName>
    <definedName name="TRNR_63113377dc094b879b0ec2fcec9ce337_87_3" hidden="1">#REF!</definedName>
    <definedName name="TRNR_63cdc67117d24d7fae088f0e1398f4c0_184_0" hidden="1">'[13]Price move from peak'!#REF!</definedName>
    <definedName name="TRNR_64374df0ec264481900650681dc3b1c3_132_0" hidden="1">'[13]Price move from peak'!#REF!</definedName>
    <definedName name="TRNR_6450fc4e7928425185b5df312e1c6af0_24_2" hidden="1">#REF!</definedName>
    <definedName name="TRNR_64902412772f46af8f0221301483c56e_1_1" hidden="1" xml:space="preserve">                                                                                            '[21]P3 Equity Bond returns'!$Q$5</definedName>
    <definedName name="TRNR_64999fb5e7004eebaab12e10631e99fc_3_0" hidden="1">#REF!</definedName>
    <definedName name="TRNR_655634f7d8354b3fb37b18a78fa9b1e7_1_1" hidden="1" xml:space="preserve">                                                  '[16]2 equity bond scatter'!$Q$5</definedName>
    <definedName name="TRNR_65b3cce11c524f16a44df6348311387b_919_3" hidden="1" xml:space="preserve">                             '[16]21 yield breakdown'!$C$5</definedName>
    <definedName name="TRNR_66516c68cba948019b85e0aaa556a605_1135_4" hidden="1">#REF!</definedName>
    <definedName name="TRNR_66739097a9c546e4851d9619ce3d89b9_339_2" hidden="1">#REF!</definedName>
    <definedName name="TRNR_667b848e76404babb901050956c043ca_72_12" hidden="1">#REF!</definedName>
    <definedName name="TRNR_678b2b4f7eee49a4b83c1fa286488383_120_1" hidden="1">#REF!</definedName>
    <definedName name="TRNR_67ced6ea3580423f996025b23cda311f_112_4" hidden="1" xml:space="preserve">    '[12]25 energy performance'!$B$7</definedName>
    <definedName name="TRNR_680c9228ec2343bda2b8bd2373bc84ac_1_1" hidden="1" xml:space="preserve">                                                                                        '[16]2 equity bond scatter'!$N$5</definedName>
    <definedName name="TRNR_682ffe6358e642c5a7dc88ccc56a23cd_9767_3" hidden="1">#REF!</definedName>
    <definedName name="TRNR_695f025cad13405e8b6005607e58cadd_1_2" hidden="1">#REF!</definedName>
    <definedName name="TRNR_69a3cbdf23d14126bece4ff15e51021d_354_2" hidden="1">#REF!</definedName>
    <definedName name="TRNR_6a17e3a051924c399fe0d2e1bdb9452b_357_1" hidden="1" xml:space="preserve">                        '[23]US rate paths'!$AC$5</definedName>
    <definedName name="TRNR_6a61dcbc638a42c591e0b55b4746b5c3_42_0" hidden="1">'[13]Price move from peak'!#REF!</definedName>
    <definedName name="TRNR_6a6a3ec3632344d7a1faa07a4fcc9a38_179_22" hidden="1">[31]Weights!#REF!</definedName>
    <definedName name="TRNR_6add998e74364ddd872fb4ad322eea11_1_1" hidden="1" xml:space="preserve">                                                                                            '[21]P3 Equity Bond returns'!$N$5</definedName>
    <definedName name="TRNR_6c711747849447bd922369891c55b2b5_1_42" hidden="1">#REF!</definedName>
    <definedName name="TRNR_6c85ce12118a4216bd07e059c72cefba_1_1" hidden="1" xml:space="preserve">                                                                                            '[21]P3 Equity Bond returns'!$N$5</definedName>
    <definedName name="TRNR_6ca7948aced1410098d27bdb8b0ee930_1_32" hidden="1">#REF!</definedName>
    <definedName name="TRNR_6cc057c180264f25a47141a3edb9444c_1_3" hidden="1">#REF!</definedName>
    <definedName name="TRNR_6d0b9c375a0b4ca1b8aaf04223dbf3d6_2_1" hidden="1">#REF!</definedName>
    <definedName name="TRNR_6d93389898de4d858eb009f67aa89a9e_1826_4" hidden="1">#REF!</definedName>
    <definedName name="TRNR_6d965aa59af340afb9a3344f1150346f_329_4" hidden="1">'[24]Regional PE Ratios'!#REF!</definedName>
    <definedName name="TRNR_6df2400bee874d62a0680d23cc3787a6_131_3" hidden="1" xml:space="preserve">                        '[22]20 earnings growth'!$R$1</definedName>
    <definedName name="TRNR_6f70faec2ef2458a8105a70a43a9947f_95_22" hidden="1">#REF!</definedName>
    <definedName name="TRNR_6f7ccf4b5e4d4d5ebe831159f2ccf167_132_2" hidden="1" xml:space="preserve">                                            '[16]18 S&amp;P 2Yr'!$B$10</definedName>
    <definedName name="TRNR_6f9e5815820f4887a1c6bc495b04e3e2_114_4" hidden="1" xml:space="preserve">    '[12]25 energy performance'!$B$7</definedName>
    <definedName name="TRNR_6fbc607a2bca42b1a27a7a3a548ab5ed_68_20" hidden="1">#REF!</definedName>
    <definedName name="TRNR_70d42860d5f6410d862ab4093f7abdc6_1_16" hidden="1">#REF!</definedName>
    <definedName name="TRNR_71008636fba644809264811ed87104e5_357_1" hidden="1" xml:space="preserve">                        '[23]US rate paths'!$AC$5</definedName>
    <definedName name="TRNR_71362e39f24d419c942d28d3fa40f223_339_2" hidden="1">#REF!</definedName>
    <definedName name="TRNR_715c57b33d3a447da63bbd75b71d6e2e_354_2" hidden="1">#REF!</definedName>
    <definedName name="TRNR_7304df2a7a824765920c0bccbcef1731_3_0" hidden="1" xml:space="preserve">                                                                                                                                                                                                '[21]P8 Commodity prices'!$AJ$4</definedName>
    <definedName name="TRNR_73410f1a86c24ec5b705ea6364235048_1_1" hidden="1" xml:space="preserve">                                                                                                                                                                        '[16]2 equity bond scatter'!$N$5</definedName>
    <definedName name="TRNR_73aa6707034747d1b445cfa5e86a7933_121_1" hidden="1" xml:space="preserve">                                                                                                                                                            '[22]19 earnings'!$A$1</definedName>
    <definedName name="TRNR_73c6c15d8ef4411994e43b322ec2ed23_3_0" hidden="1">#REF!</definedName>
    <definedName name="TRNR_73ee80a3f19b45209233a62389025ec2_69_1" hidden="1">#REF!</definedName>
    <definedName name="TRNR_744832c72d094981bd44502a7ce5a8b8_56_2" hidden="1">#REF!</definedName>
    <definedName name="TRNR_74abd1a2669d4f2384b380a77856c256_9322_1" hidden="1" xml:space="preserve">                        '[17]US rate path'!$B$4</definedName>
    <definedName name="TRNR_74f07cf141a74fbeba0eb353c54f6417_120_4" hidden="1" xml:space="preserve">                        '[22]19 earnings'!$T$1</definedName>
    <definedName name="TRNR_7535e262fe72484f8ad08716ce2b993a_132_0" hidden="1">'[13]Price move from peak'!#REF!</definedName>
    <definedName name="TRNR_7545d7d910da449b945823632a34c880_46_1" hidden="1">#REF!</definedName>
    <definedName name="TRNR_7561981422384efaae265109c7aa0a24_3_2" hidden="1">#REF!</definedName>
    <definedName name="TRNR_759563a552c949ac89ce7f75be2ed1a8_100_2" hidden="1" xml:space="preserve">                                                  '[16]3 Timeline'!$D$4</definedName>
    <definedName name="TRNR_76184850b03447dab481eeaf54a10332_132_1" hidden="1">'[13]Price move from peak'!#REF!</definedName>
    <definedName name="TRNR_764c5d595a3942aaae1f1d8a2dd918a9_1_32" hidden="1">#REF!</definedName>
    <definedName name="TRNR_76d9281d27a14640bde79f267fb7b103_1826_4" hidden="1">#REF!</definedName>
    <definedName name="TRNR_76f7453905054d3eaa8fec5f228f05a2_2_4" hidden="1">#REF!</definedName>
    <definedName name="TRNR_77017b32d169451eab1c09c12019f525_38_1" hidden="1">#REF!</definedName>
    <definedName name="TRNR_775da72ce0a34d1094966f80ab42bea0_567_2" hidden="1">#REF!</definedName>
    <definedName name="TRNR_77c4d409cb9c4fcc818d7d6c843cc519_1_1" hidden="1" xml:space="preserve">                                                                        '[16]2 equity bond scatter'!$N$5</definedName>
    <definedName name="TRNR_77fc3407ae364e918ee165e33fab1e9e_1_2" hidden="1">#REF!</definedName>
    <definedName name="TRNR_78ba38c2b1694ab28f87482086671e5d_1_42" hidden="1">#REF!</definedName>
    <definedName name="TRNR_78e114c2ce084befb97e14c25866f676_24_2" hidden="1">#REF!</definedName>
    <definedName name="TRNR_794a0e86fed846f9b39aa0f092328922_1_32" hidden="1">#REF!</definedName>
    <definedName name="TRNR_79c7f224e8c846ac86e3e1450e5fefec_3_2" hidden="1" xml:space="preserve">                                          '[20]P9 Margins'!$I$2</definedName>
    <definedName name="TRNR_79f06be8afab4a7485c8dfd245cc8958_3_2" hidden="1">#REF!</definedName>
    <definedName name="TRNR_7a729fde92ba4d2196156d2274193bd8_264_2" hidden="1" xml:space="preserve">                                                                                                                '[22]22 5y5y inflation vs  10y'!$BA$6</definedName>
    <definedName name="TRNR_7a8fc1d01c5e40eaaa4f04130959eddd_68_1" hidden="1">[32]Summary!#REF!</definedName>
    <definedName name="TRNR_7b24b1e1cd3040c19054a6320fd5463e_1_2" hidden="1">#REF!</definedName>
    <definedName name="TRNR_7b9af8235e6d4bbca08160a86c416bda_23_3" hidden="1">#REF!</definedName>
    <definedName name="TRNR_7bb1f9407d044d469c6cfc06b045579b_6091_1" hidden="1">#REF!</definedName>
    <definedName name="TRNR_7bf4ba2b6b7e4f1ebf45d7dac5a26dc5_1_2" hidden="1">'[28]Index Performance'!#REF!</definedName>
    <definedName name="TRNR_7c1263c036f4421eaa5baeaca96ef2c6_0_0" hidden="1">#REF!</definedName>
    <definedName name="TRNR_7c263e8322484f83b753625b751a8fdd_1574_2" hidden="1" xml:space="preserve">                                                                                                                '[22]19 RealYields'!$V$3</definedName>
    <definedName name="TRNR_7cf04fb65a46415c8f6ec910c031e17e_22_2" hidden="1">#REF!</definedName>
    <definedName name="TRNR_7d20cdf9b3f24ec4831902afd823a09f_184_0" hidden="1">'[13]Price move from peak'!#REF!</definedName>
    <definedName name="TRNR_7e5e87df27444d8aa5a0042913a79e09_192_2" hidden="1">#REF!</definedName>
    <definedName name="TRNR_7e862245246942bc99ac7f42de6385ad_1_32" hidden="1">#REF!</definedName>
    <definedName name="TRNR_7eb17b99920b46ee95971865048f4477_142_2" hidden="1" xml:space="preserve">                                                  '[16]3 Timeline'!$D$4</definedName>
    <definedName name="TRNR_7eb6bc1625d14f0bb0824ef792bf31eb_9767_2" hidden="1">#REF!</definedName>
    <definedName name="TRNR_7ec5ea530ba34a06a89e0f9fb228ad92_198_2" hidden="1">#REF!</definedName>
    <definedName name="TRNR_7f47d685ae4a43cab43d056fbc63af2d_662_2" hidden="1">#REF!</definedName>
    <definedName name="TRNR_7f4fdb92db814345a53729de5616e2cb_109_2" hidden="1">#REF!</definedName>
    <definedName name="TRNR_7f666f4ca9fc40da933eb81c16e91280_62_2" hidden="1" xml:space="preserve">                                                                                                                '[22]22 5y5y inflation vs  10y'!$BA$6</definedName>
    <definedName name="TRNR_7f9219ab46e44f5d828d8bf4c11db965_629_2" hidden="1">#REF!</definedName>
    <definedName name="TRNR_801c7da7fa2240758cfbd90d7f07b39d_124_22" hidden="1">#REF!</definedName>
    <definedName name="TRNR_8059242153054eba9c4808285a27feb7_1_3" hidden="1" xml:space="preserve">                  '[20]P9 Margins'!$B$9</definedName>
    <definedName name="TRNR_806d6911fb624bafaf28ab48b39b2563_262_2" hidden="1">#REF!</definedName>
    <definedName name="TRNR_80ab426a435f49d188467bd78541389a_1_32" hidden="1">#REF!</definedName>
    <definedName name="TRNR_80abbb4797c249758ba7154556d6fc75_51_2" hidden="1">#REF!</definedName>
    <definedName name="TRNR_813aa90693a743c7ae777f41121da7f2_418_22" hidden="1">#REF!</definedName>
    <definedName name="TRNR_81929c8e818f4eae8ccd768d91db2b00_3_2" hidden="1">#REF!</definedName>
    <definedName name="TRNR_81c22df0c07346b3984267451fd57389_1826_4" hidden="1">#REF!</definedName>
    <definedName name="TRNR_81cb5ff995644fab95ab437103ad19cc_866_3" hidden="1">#REF!</definedName>
    <definedName name="TRNR_82fae25497434d84b9d95f10f205ffc5_1_2" hidden="1">#REF!</definedName>
    <definedName name="TRNR_83709723f65647c88264e88d0ac5df82_331_1" hidden="1">#REF!</definedName>
    <definedName name="TRNR_8372a73ebfef43b3a3d354e68025a0ee_109_2" hidden="1">#REF!</definedName>
    <definedName name="TRNR_83870769baf14352a316f47bf932a490_132_0" hidden="1">'[13]Price move from peak'!#REF!</definedName>
    <definedName name="TRNR_83bd85d8bee34efa892a3f9afb671245_132_0" hidden="1">'[13]Price move from peak'!#REF!</definedName>
    <definedName name="TRNR_83f4f44c3ee94e90a2fe316f35a55e36_112_4" hidden="1" xml:space="preserve">    '[12]25 energy performance'!$B$7</definedName>
    <definedName name="TRNR_83f550419bd34bbda792ade3235c395e_3_0" hidden="1">#REF!</definedName>
    <definedName name="TRNR_84593304212d422ca403231fc0ccbbf5_42_0" hidden="1">'[13]Price move from peak'!#REF!</definedName>
    <definedName name="TRNR_847d48d4b44140d3ae535d1c052ee42f_98_2" hidden="1">#REF!</definedName>
    <definedName name="TRNR_84ebd70eda6f401fa0b73a09f39770ba_26_1" hidden="1">#REF!</definedName>
    <definedName name="TRNR_867eff8035874e02983f8a7692084c90_52_3" hidden="1">#REF!</definedName>
    <definedName name="TRNR_869560dffbc249bfa575c899df992516_273_3" hidden="1">#REF!</definedName>
    <definedName name="TRNR_86e68248fc4f4d3a9eb8b43f38d698d6_633_1" hidden="1">#REF!</definedName>
    <definedName name="TRNR_871f3a219b264fe09b2811de6177bc25_2_6" hidden="1">#REF!</definedName>
    <definedName name="TRNR_87421f6bc9be4ee4b4838e71c5324b48_437_8" hidden="1">'[24]US Earnings Estimates'!#REF!</definedName>
    <definedName name="TRNR_874cf5f955604ec892fa0ff9a22acaae_26_1" hidden="1">#REF!</definedName>
    <definedName name="TRNR_880c0ca222be4376a5957a8ce3e52e76_184_0" hidden="1">'[13]Price move from peak'!#REF!</definedName>
    <definedName name="TRNR_88f3561ff59e40ebaa7fa157c6f20635_1_1" hidden="1" xml:space="preserve">                                            '[16]2 equity bond scatter'!$Q$5</definedName>
    <definedName name="TRNR_8972bf9f4a1b48989d8ac30ed2666e5d_132_0" hidden="1">'[13]Price move from peak'!#REF!</definedName>
    <definedName name="TRNR_89a12d9e7f48431d927b29fb600cfde5_1_2" hidden="1">#REF!</definedName>
    <definedName name="TRNR_89e7b064ae524ce1976f3e2a2b5c55a6_42_0" hidden="1">'[13]Price move from peak'!#REF!</definedName>
    <definedName name="TRNR_89f6386890b34737a43ddc6f7544d913_1_1" hidden="1" xml:space="preserve">                                                                                        '[16]2 equity bond scatter'!$Q$5</definedName>
    <definedName name="TRNR_8a0302d9ff5d4976a63cb4ab99ef0b4c_179_22" hidden="1">#REF!</definedName>
    <definedName name="TRNR_8b0e7630dfd741ec83ae44af0ce47662_53_3" hidden="1" xml:space="preserve">                                                        '[16]2 equity bond scatter'!$G$7</definedName>
    <definedName name="TRNR_8b66125c386141889b657dc95470e9a2_1826_3" hidden="1" xml:space="preserve">                                                                                                                                                                                                                '[21]P8 Commodity prices'!$S$5</definedName>
    <definedName name="TRNR_8b98b87e135346a6835ce5d53b0476bc_30_4" hidden="1">#REF!</definedName>
    <definedName name="TRNR_8bb751cc7d4840a4aa0afc6a99efcb1d_1700_3" hidden="1" xml:space="preserve">                             '[16]21 yield breakdown'!$J$5</definedName>
    <definedName name="TRNR_8bbdccee077e41239e6685bc47028624_132_2" hidden="1" xml:space="preserve">                                            '[16]23 EM perf'!$C$8</definedName>
    <definedName name="TRNR_8bce15d242114938a408ee2c318f6cce_53_3" hidden="1" xml:space="preserve">                                            '[16]2 equity bond scatter'!$G$7</definedName>
    <definedName name="TRNR_8d3d87a0e84e4f0dac9df4649b0df511_889_1" hidden="1" xml:space="preserve">                                '[22]14 U.S. LFPR'!$B$2</definedName>
    <definedName name="TRNR_8d5d951ca2e841b0a3b3ccd5795acbfd_350_3" hidden="1">#REF!</definedName>
    <definedName name="TRNR_8d99cd2cc5aa48a7a67fc7d1008f76dc_1042_0" hidden="1">'[13]Price move from peak'!#REF!</definedName>
    <definedName name="TRNR_8df96939a5b7420496c72803d593d465_47_1" hidden="1">#REF!</definedName>
    <definedName name="TRNR_8e6c0a60c8fd41be8815e3020e2e1c3d_662_2" hidden="1">#REF!</definedName>
    <definedName name="TRNR_8e780bc1c8004c6482a1696735967d99_1_2" hidden="1">#REF!</definedName>
    <definedName name="TRNR_8ed25378778f43a394b8d40bd4c50d33_1_1" hidden="1">#REF!</definedName>
    <definedName name="TRNR_8f021144510440718e70ddcc63d345ed_24_2" hidden="1">#REF!</definedName>
    <definedName name="TRNR_8f1495bd988440bcb4ddc98912fa93df_0_0" hidden="1">#REF!</definedName>
    <definedName name="TRNR_8f55eaaadc5b49e1b622e4a9942b2aed_7176_2" hidden="1">#REF!</definedName>
    <definedName name="TRNR_901c17219f9449a5864b4155cee13adb_111_1" hidden="1">#REF!</definedName>
    <definedName name="TRNR_9062143fe9bc456e9eef453928cd6c49_354_2" hidden="1">#REF!</definedName>
    <definedName name="TRNR_908eae7da7ac4ad6a230b098a738394a_152_2" hidden="1">#REF!</definedName>
    <definedName name="TRNR_90b9b0e46d5a4aa98190be7dc2330cf6_7756_1" hidden="1" xml:space="preserve">                        '[23]US rate paths'!$N$6</definedName>
    <definedName name="TRNR_911f64ffb1334b33a79f38a21dc84ee0_384_1" hidden="1" xml:space="preserve">                                                                                                                                                                      '[21]P6 Cutting through confusion'!#REF!</definedName>
    <definedName name="TRNR_914eab87e1bb40ae93ff2892ad8bd185_26_1" hidden="1">#REF!</definedName>
    <definedName name="TRNR_91b0350baa8a4b4ea4b12542a9bc9c53_56_2" hidden="1">#REF!</definedName>
    <definedName name="TRNR_91dea32dc9894171a53c1c9155223bfd_7756_1" hidden="1" xml:space="preserve">                        '[23]US rate paths'!$N$6</definedName>
    <definedName name="TRNR_91f82895110b437681d9cf7b0e2acb29_0_0" hidden="1">#REF!</definedName>
    <definedName name="TRNR_92358a36b82f4333a541c8c8d2e7d3c3_119_5" hidden="1" xml:space="preserve">    '[12]25 energy performance'!$B$7</definedName>
    <definedName name="TRNR_9259dba599f14db6a613bb6c44312f19_9767_3" hidden="1">#REF!</definedName>
    <definedName name="TRNR_92a886c5c8eb4e24afbb58b55d00bf8d_1_1" hidden="1" xml:space="preserve">                                                        '[16]2 equity bond scatter'!$Q$5</definedName>
    <definedName name="TRNR_92d0bf58d514493f8febd80d36fd65b1_1397_5" hidden="1">#REF!</definedName>
    <definedName name="TRNR_92d0f90bf4c2464fa262cece5b2b04e0_3_2" hidden="1" xml:space="preserve">                                            '[21]P8 Commodity prices'!$AG$4</definedName>
    <definedName name="TRNR_92d56fd4222145d2a39b06f7d036749e_132_0" hidden="1">'[13]Price move from peak'!#REF!</definedName>
    <definedName name="TRNR_930e915e4a81481ab6f40c3e21b8ca46_1_1" hidden="1" xml:space="preserve">                            '[12]25 energy performance'!#REF!</definedName>
    <definedName name="TRNR_93a00ec23d7944f3aecfa74002e03d50_122_1" hidden="1" xml:space="preserve">                                                                                        '[22]19 earnings'!$A$1</definedName>
    <definedName name="TRNR_93a012bb2c544145af1be3941d0c601a_121_4" hidden="1">#REF!</definedName>
    <definedName name="TRNR_93f54ba0a83741aaa0a4735a79d58ca8_1_1" hidden="1">#REF!</definedName>
    <definedName name="TRNR_942876f7f44a4b26a810b605e0f790ee_1_16" hidden="1">#REF!</definedName>
    <definedName name="TRNR_9453e19841aa49a58996fbc489b2135f_132_0" hidden="1">'[13]Price move from peak'!#REF!</definedName>
    <definedName name="TRNR_948cf9e85c2d42b1b47e8dd6a88d0fab_184_0" hidden="1">'[13]Price move from peak'!#REF!</definedName>
    <definedName name="TRNR_94d057b8c4984a1f9ec8c4c7fb7f3b94_132_0" hidden="1">'[13]Price move from peak'!#REF!</definedName>
    <definedName name="TRNR_94e77f46a7bb4b89b642e916711ee4ee_53_3" hidden="1" xml:space="preserve">                                                                                                                                                                                                            '[16]2 equity bond scatter'!$G$7</definedName>
    <definedName name="TRNR_952743eeaba14837abba390ee55e0b9a_266_3" hidden="1" xml:space="preserve">                                                                                                                '[22]14 US unemployment'!$A$6</definedName>
    <definedName name="TRNR_957c1ade9786427ead82ec696cc7a208_257_4" hidden="1">#REF!</definedName>
    <definedName name="TRNR_95de450b55474aca8821d8bb25a2d6e0_1_1" hidden="1" xml:space="preserve">                        '[16]2 equity bond scatter'!$Q$5</definedName>
    <definedName name="TRNR_960c3a84b00644fc81712ab3fba310b6_1395_4" hidden="1">#REF!</definedName>
    <definedName name="TRNR_963ef55e509340f7ba9e1a22e29974e4_132_0" hidden="1">'[13]Price move from peak'!#REF!</definedName>
    <definedName name="TRNR_96603aeebc154ba992f17a35ca2eec25_1517_1" hidden="1" xml:space="preserve">                        '[27]One-week repo'!$B$4</definedName>
    <definedName name="TRNR_96aef7d4c85e421981e982ff628dfebc_0_0" hidden="1">#REF!</definedName>
    <definedName name="TRNR_973ed184106044f3b33b5a5c49a90771_192_2" hidden="1">#REF!</definedName>
    <definedName name="TRNR_97aa79c81c704834949fbe01ffd529be_3847_2" hidden="1">#REF!</definedName>
    <definedName name="TRNR_97f439cbb6e545b186efa3e18e36274d_119_1" hidden="1" xml:space="preserve">                        '[22]19 earnings'!$A$1</definedName>
    <definedName name="TRNR_9815a5455bb94c6a92bf9c550b9bd443_1_16" hidden="1">#REF!</definedName>
    <definedName name="TRNR_9897a575ddf645909df42da733475534_50_2" hidden="1" xml:space="preserve">                                                                                                                '[22]13 Labor market'!$A$6</definedName>
    <definedName name="TRNR_98b8b0afdc8d445ba7b3114ff8b8ec09_4305_2" hidden="1" xml:space="preserve">                               '[26]P9 euro spreads'!$B$7</definedName>
    <definedName name="TRNR_99df23d33c6d462fb552d59c671746af_6101_1" hidden="1">#REF!</definedName>
    <definedName name="TRNR_99eea1e683e64afb89513f19dcb26c37_3_2" hidden="1">#REF!</definedName>
    <definedName name="TRNR_9a552649262d4addad9e92ed8ce16e4f_1_2" hidden="1">#REF!</definedName>
    <definedName name="TRNR_9a64fa28eb314f399a1d7a6012a9c0b4_133_3" hidden="1" xml:space="preserve">                                        '[22]20 earnings growth'!$R$1</definedName>
    <definedName name="TRNR_9acc09bd196a4b6db1c0b5708416a7af_264_1" hidden="1" xml:space="preserve">                                                                                                                '[22]22 5y5y inflation vs  10y'!$BA$6</definedName>
    <definedName name="TRNR_9b095dc937da44549621f9b4cdbeabee_131_3" hidden="1" xml:space="preserve">                        '[15]Forward Earnings'!$A$1</definedName>
    <definedName name="TRNR_9baf5cf793c540f28c162c5057e30450_357_1" hidden="1" xml:space="preserve">                        '[23]US rate paths'!$AC$5</definedName>
    <definedName name="TRNR_9cee900f1a9b404b9daf75634322262d_524_8" hidden="1">#REF!</definedName>
    <definedName name="TRNR_9d126bba8bba4d4bab129bc01b7d0229_1_3" hidden="1">#REF!</definedName>
    <definedName name="TRNR_9deccb618f7b4cceb41417b6d299efc4_184_0" hidden="1">'[13]Price move from peak'!#REF!</definedName>
    <definedName name="TRNR_9e0414b12252408c9895defe41889734_1_5" hidden="1">#REF!</definedName>
    <definedName name="TRNR_9e5ad2a0c8534f52a269a49714e59635_1_1" hidden="1" xml:space="preserve">                                                                        '[16]2 equity bond scatter'!$N$5</definedName>
    <definedName name="TRNR_9e66771195794192908475da7dd7a26f_131_3" hidden="1" xml:space="preserve">                        '[22]20 earnings growth'!$R$1</definedName>
    <definedName name="TRNR_9e69619636fc497ab9d1e0c72b23330b_3_0" hidden="1">#REF!</definedName>
    <definedName name="TRNR_9e8abee8a4f8499a87680cd8fd0532fb_662_2" hidden="1">#REF!</definedName>
    <definedName name="TRNR_9fae47c0ef8a43a1a952820624731f17_7_2" hidden="1" xml:space="preserve">                                                 '[16]7 Bev curve'!$B$9</definedName>
    <definedName name="TRNR_9fc32161ef5d4d8f9704a5953ed35145_254_1" hidden="1" xml:space="preserve">                              '[21]P9 FF Geopolitics'!$A$8</definedName>
    <definedName name="TRNR_a010063fcb2046ec9d30c224f01ddb06_56_2" hidden="1">#REF!</definedName>
    <definedName name="TRNR_a01d12fdd5d0456f81bbca5d3978c9a2_398_6" hidden="1">#REF!</definedName>
    <definedName name="TRNR_a02203f427294b16a923bac567a327ed_3_2" hidden="1">#REF!</definedName>
    <definedName name="TRNR_a146959415734ea2b6371862b32e535c_161_2" hidden="1">#REF!</definedName>
    <definedName name="TRNR_a14d8b81ef154d17bef14433b8cfb922_112_1" hidden="1">#REF!</definedName>
    <definedName name="TRNR_a14f79d605874895b817632c8e7d44b5_56_2" hidden="1">#REF!</definedName>
    <definedName name="TRNR_a16ed1bd946b4da280329b290834dc65_0_0" hidden="1">#REF!</definedName>
    <definedName name="TRNR_a18e4e542e7043eeb2b9c6dc48d06392_3_2" hidden="1">#REF!</definedName>
    <definedName name="TRNR_a1a583710ca54234ae5d95d46545ae82_32_12" hidden="1">#REF!</definedName>
    <definedName name="TRNR_a1d044aaddd94029b573fe05df362ba5_1540_1" hidden="1" xml:space="preserve">                        '[27]One-week repo'!$B$4</definedName>
    <definedName name="TRNR_a2ffe35580a54ac888f84558fcc67102_179_11" hidden="1">#REF!</definedName>
    <definedName name="TRNR_a300200e967c46f295c0fa01e03dbac2_53_3" hidden="1" xml:space="preserve">                                            '[16]2 equity bond scatter'!$G$7</definedName>
    <definedName name="TRNR_a30523808e4d49bf85213f64afcf7888_1_1" hidden="1" xml:space="preserve">                                                                                            '[21]P3 Equity Bond returns'!$Q$5</definedName>
    <definedName name="TRNR_a31f1e7d25e24ef9b1a1146ef365e081_1_1" hidden="1" xml:space="preserve">                                                                                                                                                                        '[16]2 equity bond scatter'!$N$5</definedName>
    <definedName name="TRNR_a32e3d74649a4118a7684abcca36d831_181_4" hidden="1" xml:space="preserve">                        '[22]19 earnings'!$T$1</definedName>
    <definedName name="TRNR_a41aec9a3b8b42acb5c94bff986f36b4_241_1" hidden="1" xml:space="preserve">                        '[22]19 earnings'!$A$1</definedName>
    <definedName name="TRNR_a41cacee699e4595923b13526f528037_52_2" hidden="1" xml:space="preserve">                                  '[16]2 equity bond scatter'!$B$7</definedName>
    <definedName name="TRNR_a4b5edcfd0c048138fc4a159e58a8349_8634_9" hidden="1">[33]TRI!#REF!</definedName>
    <definedName name="TRNR_a4efbd49cbb7481483e032c4b0de96bf_1_42" hidden="1">#REF!</definedName>
    <definedName name="TRNR_a4fee5959c78455db50fed336360aee9_3_0" hidden="1">#REF!</definedName>
    <definedName name="TRNR_a5757679f5184d5bbc76f2a860fb7217_3_0" hidden="1">#REF!</definedName>
    <definedName name="TRNR_a5e8aed4039b4232b91870904798d43a_3_1" hidden="1" xml:space="preserve">                            '[12]25 energy performance'!#REF!</definedName>
    <definedName name="TRNR_a5f13fc5fb6a4dd383dfdfff0bf62406_329_4" hidden="1">'[24]Regional PE Ratios'!#REF!</definedName>
    <definedName name="TRNR_a62a700732644fc4b40cec42a8d3f46d_1_2" hidden="1">#REF!</definedName>
    <definedName name="TRNR_a6eed90941bb447ba6bba4bf54a97684_1_2" hidden="1">#REF!</definedName>
    <definedName name="TRNR_a6f0bf1d08ad46fa896fcd4af286a754_3_0" hidden="1">#REF!</definedName>
    <definedName name="TRNR_a6fbab14441f4894aef4db9ef2915d90_1_2" hidden="1">#REF!</definedName>
    <definedName name="TRNR_a7c77d0fc9524d088ee7f32f8041b6f2_1_2" hidden="1">#REF!</definedName>
    <definedName name="TRNR_a80236738ef0408fb16994809379ad13_119_5" hidden="1" xml:space="preserve">    '[12]25 energy performance'!$B$7</definedName>
    <definedName name="TRNR_a8678e3210d24756b05f8b306ce7f2d4_383_2" hidden="1" xml:space="preserve">                                      '[21]Good services'!$B$6</definedName>
    <definedName name="TRNR_a8ec5dd952eb497fa4b8512bd9d6264e_3_2" hidden="1">#REF!</definedName>
    <definedName name="TRNR_a92b3e6df4164678a15df23d274f0a60_383_2" hidden="1" xml:space="preserve">                                                                  '[21]Good services'!$B$6</definedName>
    <definedName name="TRNR_a973e7f3b28d41aca53abbcb2127c143_133_1" hidden="1" xml:space="preserve">                        '[14]Core PCE YoY'!$A$1</definedName>
    <definedName name="TRNR_a9f0817e8aed4b4c85ba46e98ad26a7b_1_42" hidden="1">#REF!</definedName>
    <definedName name="TRNR_aa0c3a2eaf3d4b36bba62f4ff9f8c2eb_187_3" hidden="1">#REF!</definedName>
    <definedName name="TRNR_aa536c1bb48d4fd3913da82aeb984eaf_1_42" hidden="1">#REF!</definedName>
    <definedName name="TRNR_aa7bd970762c49c7bed860a57eb2c1f9_3_0" hidden="1">#REF!</definedName>
    <definedName name="TRNR_aa8a5d7d2f9546718eb186399f0b81ea_524_1" hidden="1">[33]REQUEST_TABLE!#REF!</definedName>
    <definedName name="TRNR_aaa29ecd97124a05af3903d451c69de2_131_4" hidden="1" xml:space="preserve">                        '[18]Chart - Trailing Earnings'!$A$1</definedName>
    <definedName name="TRNR_ab3c69cd0c3043d8bf91549befc3e207_97_2" hidden="1">#REF!</definedName>
    <definedName name="TRNR_ab5f0f5622924f629a7e0bc852243ff3_1_0" hidden="1">#REF!</definedName>
    <definedName name="TRNR_ab767e2934554f9f9790b4ed91fa8c26_1_1" hidden="1" xml:space="preserve">                                                                        '[16]2 equity bond scatter'!$N$5</definedName>
    <definedName name="TRNR_ac704251f4a74b6c9d854bf2db9eb461_1337_4" hidden="1">#REF!</definedName>
    <definedName name="TRNR_ac76dd1359544d8ab7850c364c460aa8_635_1" hidden="1">#REF!</definedName>
    <definedName name="TRNR_ac97aeedbdf14bd5900cbe32977392f6_662_2" hidden="1">#REF!</definedName>
    <definedName name="TRNR_acb60cea541648fe89dbc8dc79c3f0aa_262_3" hidden="1">#REF!</definedName>
    <definedName name="TRNR_acdb00b5cec7442696c613d9963bfc20_1_2" hidden="1">#REF!</definedName>
    <definedName name="TRNR_ace94a6870e744759077a47f08072691_52_2" hidden="1" xml:space="preserve">                                                                                        '[16]2 equity bond scatter'!$B$7</definedName>
    <definedName name="TRNR_aceec364dfe34785bde95cb35503ae89_1346_4" hidden="1">#REF!</definedName>
    <definedName name="TRNR_acf4de7fdfd3497cb6a7e1edb08741cf_522_3" hidden="1">#REF!</definedName>
    <definedName name="TRNR_acff5cfba7f240afa8f7b207fc731829_1_42" hidden="1">#REF!</definedName>
    <definedName name="TRNR_ad6f1f8aa1d443c68e736354a0f47237_56_2" hidden="1">#REF!</definedName>
    <definedName name="TRNR_addc0dd04ebf4494b6095b89b9e79b9a_1_32" hidden="1">#REF!</definedName>
    <definedName name="TRNR_adf218c5996c4493a7f1b3273e574c44_24_2" hidden="1">#REF!</definedName>
    <definedName name="TRNR_aef988f4a4694342a6337b87fc19fcc8_3_2" hidden="1">#REF!</definedName>
    <definedName name="TRNR_aef9b9cd2384481b9baadc72d4b4c83b_357_1" hidden="1" xml:space="preserve">                        '[23]US rate paths'!$AC$5</definedName>
    <definedName name="TRNR_aefd192cea084648852abed9b4b95916_30_1" hidden="1">#REF!</definedName>
    <definedName name="TRNR_afa4cc9c66cf4ffb9761e16a1c707992_1136_4" hidden="1">#REF!</definedName>
    <definedName name="TRNR_afb64e2b1ce44c129ba29fd65f5ddd1c_262_2" hidden="1">#REF!</definedName>
    <definedName name="TRNR_afd7ea75e79d41d989e6df6897946085_3_0" hidden="1">#REF!</definedName>
    <definedName name="TRNR_b0c100cb518746a987f1c67fc3f92a4d_0_2" hidden="1">'[13]Price move from peak'!#REF!</definedName>
    <definedName name="TRNR_b0ecd5828cb94868a57e6858f6dc4bad_3_0" hidden="1">#REF!</definedName>
    <definedName name="TRNR_b19e1f68f16e4eaca2a68f56378108ed_52_2" hidden="1" xml:space="preserve">                                            '[16]2 equity bond scatter'!$B$7</definedName>
    <definedName name="TRNR_b1d67db3adff44e89baa3ee57d946745_262_3" hidden="1">#REF!</definedName>
    <definedName name="TRNR_b218a624870d410ea0dbc63b3fccf1b0_99_2" hidden="1">#REF!</definedName>
    <definedName name="TRNR_b24837684aa046bf8d51f33a01387d4b_1145_18" hidden="1">#REF!</definedName>
    <definedName name="TRNR_b28dc9171a0d401690a98d0b238e36db_3_1" hidden="1" xml:space="preserve">                            '[12]25 energy performance'!#REF!</definedName>
    <definedName name="TRNR_b29758fb856047fc9239c798fe288c3c_109_2" hidden="1">#REF!</definedName>
    <definedName name="TRNR_b3226826027943b08030aa5d7bcf79e8_3_2" hidden="1">#REF!</definedName>
    <definedName name="TRNR_b33373e0c4de45c18af4fea434d7b293_1366_5" hidden="1">#REF!</definedName>
    <definedName name="TRNR_b4211b9caef64402992aa1140645b914_6084_1" hidden="1">#REF!</definedName>
    <definedName name="TRNR_b434c66149ed4bf4bdb7925dda51f508_1_3" hidden="1">#REF!</definedName>
    <definedName name="TRNR_b4f4fca1f15a427fbf85dbd3fa9200ec_523_6" hidden="1" xml:space="preserve">                        '[22]20 earnings growth'!$R$1</definedName>
    <definedName name="TRNR_b5703ed016ae434e930e9e67b534c48e_52_3" hidden="1" xml:space="preserve">                                                                                                                                                                                      '[21]P3 Equity Bond returns'!$G$7</definedName>
    <definedName name="TRNR_b585e57675264c3d8b3bc0b64de195ba_3_1" hidden="1" xml:space="preserve">                            '[12]25 energy performance'!#REF!</definedName>
    <definedName name="TRNR_b5d839dc4cdb4e5d8fbcb71011e44425_62_2" hidden="1" xml:space="preserve">                                                                                                                '[22]22 5y5y inflation vs  10y'!$BA$6</definedName>
    <definedName name="TRNR_b61a78043bf04b6aa88442c72985cfb4_192_1" hidden="1" xml:space="preserve">                                                                                                                                                          '[21]P5 Living with inflation'!$S$2</definedName>
    <definedName name="TRNR_b6232f80e484465e8407e3790aae3670_1_1" hidden="1" xml:space="preserve">                                            '[16]2 equity bond scatter'!$N$5</definedName>
    <definedName name="TRNR_b664fe33a47641bc95923e0119a3331f_844_3" hidden="1">#REF!</definedName>
    <definedName name="TRNR_b69317439b4b44779cde7640169ac2d8_1826_1" hidden="1">#REF!</definedName>
    <definedName name="TRNR_b718cefdf30644b3ab5e2e9efb5ad679_593_2" hidden="1">#REF!</definedName>
    <definedName name="TRNR_b726cdf4241a4ba9b5feb92b26d9e930_1_1" hidden="1" xml:space="preserve">                                            '[16]2 equity bond scatter'!$Q$5</definedName>
    <definedName name="TRNR_b754584c2ab6478daf4c414f018c0997_1407_5" hidden="1">#REF!</definedName>
    <definedName name="TRNR_b755c06fd6da450f9f7597d74b5461bf_3_1" hidden="1" xml:space="preserve">                            '[12]25 energy performance'!#REF!</definedName>
    <definedName name="TRNR_b81356baef1f496d867d1b26c3e31847_241_4" hidden="1" xml:space="preserve">                             '[16]20 DM central banks'!$S$10</definedName>
    <definedName name="TRNR_b879c803579e4ce9938b24f7e943aa61_518_5" hidden="1">#REF!</definedName>
    <definedName name="TRNR_b8c0be33c9ac447ab9fd93fd9891a145_613_3" hidden="1">#REF!</definedName>
    <definedName name="TRNR_b8d02caad7c34cb7bd029f1b63096b89_52_3" hidden="1" xml:space="preserve">                                                                                            '[21]P3 Equity Bond returns'!$G$7</definedName>
    <definedName name="TRNR_b8f2331db91d43fcb8ad42a2f41adc1d_146_3" hidden="1" xml:space="preserve">                                                                                                                '[22]10 US PCE'!$A$2</definedName>
    <definedName name="TRNR_b91271468b174bb78d914212ed7284a5_662_2" hidden="1">#REF!</definedName>
    <definedName name="TRNR_b9206dcd6fc140ed88317507724d2a93_1135_4" hidden="1">#REF!</definedName>
    <definedName name="TRNR_b94e1536609942abaa66ca6c0f8e7af5_24_2" hidden="1">#REF!</definedName>
    <definedName name="TRNR_b9bd2af1d9a84df3ba92f4bdbcf069b4_3_1" hidden="1" xml:space="preserve">                                  '[20]P9 Margins'!$I$2</definedName>
    <definedName name="TRNR_ba142b1876d343e2afb26341bde6595d_124_22" hidden="1">#REF!</definedName>
    <definedName name="TRNR_ba26a172220a46d18c6d1c8aa4e4325e_192_2" hidden="1">#REF!</definedName>
    <definedName name="TRNR_ba51fe79f1814bd0b4fe252ecbc9c19e_24_2" hidden="1">#REF!</definedName>
    <definedName name="TRNR_ba57532c57ea4fa49656a63b8f7c31e3_192_2" hidden="1">#REF!</definedName>
    <definedName name="TRNR_ba5eb8ccdfff4bb6ab943f2522cc5d71_3_1" hidden="1" xml:space="preserve">                                      '[20]P9 Margins'!$I$2</definedName>
    <definedName name="TRNR_ba86417c50644c7394e8531d9f10f51f_56_2" hidden="1">#REF!</definedName>
    <definedName name="TRNR_ba9003501b474acab015f0e238f46a54_9767_2" hidden="1">#REF!</definedName>
    <definedName name="TRNR_bbc4b57b521a45bc9b5959d737f59290_42_0" hidden="1">'[13]Price move from peak'!#REF!</definedName>
    <definedName name="TRNR_bc41562503f643cfa80c0613f1ea4d7b_132_0" hidden="1">'[13]Price move from peak'!#REF!</definedName>
    <definedName name="TRNR_bc7b32dfa2c548f381c7cfd971d67b15_52_2" hidden="1" xml:space="preserve">            '[16]2 equity bond scatter'!$B$7</definedName>
    <definedName name="TRNR_bc82e8882bd5433b81a0b56efb204d34_51_2" hidden="1" xml:space="preserve">                                                                                            '[21]P3 Equity Bond returns'!$B$7</definedName>
    <definedName name="TRNR_bcc5acd036bc4b6e98b3c98c5af98ac6_26_2" hidden="1">#REF!</definedName>
    <definedName name="TRNR_bcd1dbba07ee4de7864c2f1a84a1f97e_24_2" hidden="1">#REF!</definedName>
    <definedName name="TRNR_bd32bde8e1544151ab8b7d19fe253402_217_0" hidden="1">#REF!</definedName>
    <definedName name="TRNR_bd691b61860c43efa9274c1d9d965b61_604_3" hidden="1">#REF!</definedName>
    <definedName name="TRNR_bdab8e3d0de34f1b846e3d4b1c565c99_29_1" hidden="1">#REF!</definedName>
    <definedName name="TRNR_be3104bd4f97403cb6bdb1cf4008110e_1_32" hidden="1">#REF!</definedName>
    <definedName name="TRNR_be6bcfe1f5b74c0d82c1776454eeffc8_2_3" hidden="1">#REF!</definedName>
    <definedName name="TRNR_bed0b1a1404541a3b78893a2eded53c1_24_2" hidden="1">#REF!</definedName>
    <definedName name="TRNR_bf26da64eb194dc6893c23baa9f8763c_42_0" hidden="1">'[13]Price move from peak'!#REF!</definedName>
    <definedName name="TRNR_bf433bf304734eff9fb1bc497a3eb5ec_1_2" hidden="1">#REF!</definedName>
    <definedName name="TRNR_bf851eace3944c4f821e3ac4fb16096d_662_2" hidden="1">#REF!</definedName>
    <definedName name="TRNR_bfdfbf0267ae471bb4ef7cd7ceaa60f7_122_1" hidden="1" xml:space="preserve">                                                                    '[22]19 earnings'!$A$1</definedName>
    <definedName name="TRNR_bfe787af60d64584bb0452fb32ba0b6b_3_3" hidden="1" xml:space="preserve">                                              '[20]P9 Margins'!$I$2</definedName>
    <definedName name="TRNR_c001f855e8a44992aa2937fb1b769cfb_42_0" hidden="1">'[13]Price move from peak'!#REF!</definedName>
    <definedName name="TRNR_c02343a4a2264a43abd8ee8a4b8a3d60_50_1" hidden="1" xml:space="preserve">                                                                                                                '[22]13 Labor market'!$A$6</definedName>
    <definedName name="TRNR_c0ce5fd120a1456db4635a657989c92e_132_0" hidden="1">'[13]Price move from peak'!#REF!</definedName>
    <definedName name="TRNR_c10bc4cdc7604b83a05e65295731cc04_24_2" hidden="1">#REF!</definedName>
    <definedName name="TRNR_c139551781a94574bba675bb16839158_742_1" hidden="1">#REF!</definedName>
    <definedName name="TRNR_c18a0d710f5f4f7eaa207556d5d4b66b_305_8" hidden="1">'[24]US Earnings Estimates'!#REF!</definedName>
    <definedName name="TRNR_c1f418351c6742dbae5ecd2a7524f89b_121_1" hidden="1" xml:space="preserve">                        '[14]Core PCE YoY'!$A$1</definedName>
    <definedName name="TRNR_c20ae8fdd0654843920bcc01984bbb73_109_2" hidden="1">#REF!</definedName>
    <definedName name="TRNR_c280f4f376f944e5801108d509345836_192_2" hidden="1">#REF!</definedName>
    <definedName name="TRNR_c2de599b16fd401083320ea5a9b72bd5_634_1" hidden="1">#REF!</definedName>
    <definedName name="TRNR_c3134bcd39e748048c115161d4b05274_22_1" hidden="1">#REF!</definedName>
    <definedName name="TRNR_c350da9ba73e4bbd82bf8d0ac10188a1_583_3" hidden="1">#REF!</definedName>
    <definedName name="TRNR_c3846eeda0c34d96be9700c49e56537c_399_1" hidden="1">#REF!</definedName>
    <definedName name="TRNR_c39f7968c09d42eea8d50a072815217c_1_16" hidden="1">#REF!</definedName>
    <definedName name="TRNR_c54acabd7bd3488398ea534da4ada93b_6061_1" hidden="1">#REF!</definedName>
    <definedName name="TRNR_c5c68ad7015349a589895a0ed60240ac_132_0" hidden="1">'[13]Price move from peak'!#REF!</definedName>
    <definedName name="TRNR_c657754ae88b4f0891e90194a25168c2_317_3" hidden="1">#REF!</definedName>
    <definedName name="TRNR_c66ce9873b2447859eb9ba90f1cd8acf_128_1" hidden="1" xml:space="preserve">                                                                                                                                                                              '[21]P6 Cutting through confusion'!#REF!</definedName>
    <definedName name="TRNR_c6813052ae1d4c7c8055de2d6fdd31d1_0_0" hidden="1">#REF!</definedName>
    <definedName name="TRNR_c6e460727e6143caaf5fb62fae712b8b_662_2" hidden="1">#REF!</definedName>
    <definedName name="TRNR_c738bb5279674f08857c550edeeceec0_3_2" hidden="1">#REF!</definedName>
    <definedName name="TRNR_c7a8d5d51b8f4f8a8b2ec1debd95f551_3_0" hidden="1">#REF!</definedName>
    <definedName name="TRNR_c7af31a3d50f4bf2b5b3d830d8bdb0ce_198_2" hidden="1">#REF!</definedName>
    <definedName name="TRNR_c7d6ed6767ea4c4a9bd222d33f04ad54_1_32" hidden="1">#REF!</definedName>
    <definedName name="TRNR_c832ae173a4646b8aceb97f4bcaca92c_132_2" hidden="1" xml:space="preserve">                                            '[16]18 S&amp;P 2Yr'!$B$10</definedName>
    <definedName name="TRNR_c83ecd96222448fea58422e3ecfb0249_6101_1" hidden="1">#REF!</definedName>
    <definedName name="TRNR_c851e4b98cb9449aab2621310b8fd2e3_1_2" hidden="1">#REF!</definedName>
    <definedName name="TRNR_c85b03b011354ae1ac2fc703ab266abc_192_2" hidden="1">#REF!</definedName>
    <definedName name="TRNR_c86aa0be0aef4ca4a417a3fc92d36e6c_24_1" hidden="1">#REF!</definedName>
    <definedName name="TRNR_c8c258016da149839b8224cbb7d95e65_23_3" hidden="1">#REF!</definedName>
    <definedName name="TRNR_c93b79a6d69943bf829b33f23944b87c_2703_1" hidden="1">'[24]US Earnings Estimates'!#REF!</definedName>
    <definedName name="TRNR_c9ab9da87b664678994f66a86e177527_0_0" hidden="1">#REF!</definedName>
    <definedName name="TRNR_c9c50fca812b48ab99b08ead4dde043a_0_0" hidden="1">#REF!</definedName>
    <definedName name="TRNR_c9cc64de614b43acb3458c0c3b26fedf_132_0" hidden="1">'[13]Price move from peak'!#REF!</definedName>
    <definedName name="TRNR_ca1d21814ad9435e8cea1281bbb6668b_0_0" hidden="1">#REF!</definedName>
    <definedName name="TRNR_ca5b789958b2438f8f2ec0b861001241_123_1" hidden="1" xml:space="preserve">                                                                                        '[22]19 earnings'!$N$1</definedName>
    <definedName name="TRNR_caa725cbb43347e7aac2b4814bfaa681_68_4" hidden="1" xml:space="preserve">                                    '[27]One-week repo'!#REF!</definedName>
    <definedName name="TRNR_cab9a0afa54d465a8c529cb894d16844_192_2" hidden="1">#REF!</definedName>
    <definedName name="TRNR_cae182eab4dd485bb0249f3dffb8c109_112_5" hidden="1" xml:space="preserve">    '[12]25 energy performance'!$B$7</definedName>
    <definedName name="TRNR_cae816e3e3ec4266b16572d8b225e704_146_3" hidden="1" xml:space="preserve">                                                                                                                '[22]10 US PCE'!$A$2</definedName>
    <definedName name="TRNR_cb49d039926b4eb4a9f56b20e2a0303c_1_16" hidden="1">#REF!</definedName>
    <definedName name="TRNR_cb6ea98348354059a06d5329a3169ae3_146_4" hidden="1" xml:space="preserve">                                                                                                                '[22]10 US PCE'!$A$2</definedName>
    <definedName name="TRNR_cb74cf2eadae4825a5a68c802a944943_198_2" hidden="1">#REF!</definedName>
    <definedName name="TRNR_cc09e6d95bac4952bdb08f3eace1f8ad_357_1" hidden="1">#REF!</definedName>
    <definedName name="TRNR_cc6a9cc3b9294e0c9b9f9143dc29b3ff_875_3" hidden="1">#REF!</definedName>
    <definedName name="TRNR_cd445938dcef46c391ceef0f7acf51ad_3_2" hidden="1">#REF!</definedName>
    <definedName name="TRNR_cd5d3b30289640d9ae336a702b586e80_0_0" hidden="1">#REF!</definedName>
    <definedName name="TRNR_cdecece14a944b628639e164b3d65bb4_1_32" hidden="1">#REF!</definedName>
    <definedName name="TRNR_cdfaea07f244439cbb37d78757e5a45a_99_2" hidden="1">#REF!</definedName>
    <definedName name="TRNR_ce1751a401bf4cd791b1cd521d8f938a_305_9" hidden="1">'[24]US Earnings Estimates'!#REF!</definedName>
    <definedName name="TRNR_ce264bf620e9446a9cbb05ccbc0c7761_522_3" hidden="1">#REF!</definedName>
    <definedName name="TRNR_ce316b91de374b44859e46b80ca6bdeb_56_2" hidden="1">#REF!</definedName>
    <definedName name="TRNR_ce62cbf6ab9447be88c8e77c18f8ce15_68_20" hidden="1">#REF!</definedName>
    <definedName name="TRNR_ceb55935abd14ef2886c083c4f841136_2745_2" hidden="1" xml:space="preserve">    '[16]22 Breakevens'!$E$8</definedName>
    <definedName name="TRNR_cebfdd2cee854f2da4178aca5714bb6a_522_3" hidden="1" xml:space="preserve">                                                '[14]UW US Treasuries'!$B$6</definedName>
    <definedName name="TRNR_cec932684a414392b559b33fde647a59_331_3" hidden="1" xml:space="preserve">                             '[16]20 DM central banks'!$S$10</definedName>
    <definedName name="TRNR_cf07bb9f3f3b46c8bc6bf754802970c2_42_1" hidden="1">'[13]Price move from peak'!#REF!</definedName>
    <definedName name="TRNR_cf0fb35821594e0ea76f8369ae81b447_133_1" hidden="1" xml:space="preserve">                        '[14]Core PCE YoY'!$A$1</definedName>
    <definedName name="TRNR_cf163be79a884111b0ca7d025e7f1f60_522_3" hidden="1">#REF!</definedName>
    <definedName name="TRNR_cfe2a29f469b48c8a5c0803dd4d73d25_1_2" hidden="1">#REF!</definedName>
    <definedName name="TRNR_cfee1883ee114b47aa6c2a58ea2e3b2f_192_2" hidden="1">#REF!</definedName>
    <definedName name="TRNR_d04b3437ac8d4260887df0c61d4a70bd_24_2" hidden="1">#REF!</definedName>
    <definedName name="TRNR_d05b569c3577418e875223befe814a0a_662_2" hidden="1">#REF!</definedName>
    <definedName name="TRNR_d05f9f1e0d0747e2bf15b391f97059a9_0_0" hidden="1">#REF!</definedName>
    <definedName name="TRNR_d07d6dcb617d47889f66925ec18c284a_109_2" hidden="1">#REF!</definedName>
    <definedName name="TRNR_d0b7f16eb47845d4b9445f7ffa4ee543_4_1" hidden="1">#REF!</definedName>
    <definedName name="TRNR_d0bddc3a20f542ca9c03865a29686bb8_354_2" hidden="1">#REF!</definedName>
    <definedName name="TRNR_d0ffc7f84edb4de38fb92f8c4f84f293_7756_1" hidden="1" xml:space="preserve">                        '[23]US rate paths'!$N$6</definedName>
    <definedName name="TRNR_d1949741df594801926384f4db66985c_97_2" hidden="1">#REF!</definedName>
    <definedName name="TRNR_d1ba241450a54001b8d136d12edf0c4b_1314_1" hidden="1" xml:space="preserve">                                                                                                                '[22]23 5y5y Inflation'!$A$6</definedName>
    <definedName name="TRNR_d28476d9a87d45b1ac0dd04aeeb5af47_6091_1" hidden="1">#REF!</definedName>
    <definedName name="TRNR_d2caa07d3c53456ab18a9f43370cbce2_79_2" hidden="1">[23]Topdown_data_EM!#REF!</definedName>
    <definedName name="TRNR_d309516156b9482a81032076082f2ec8_42_0" hidden="1">'[13]Price move from peak'!#REF!</definedName>
    <definedName name="TRNR_d3b7fc3d8a3e46dca2b68c6ae7d99742_258_3" hidden="1" xml:space="preserve">                      '[20]P9 Margins'!$B$9</definedName>
    <definedName name="TRNR_d409c9de1bab44b6b3e35650e2688967_1_2" hidden="1">#REF!</definedName>
    <definedName name="TRNR_d414a60a53844f0d9c2502cd06e566aa_132_1" hidden="1">'[13]Price move from peak'!#REF!</definedName>
    <definedName name="TRNR_d421f6fa5c0a4e608123dfb7b554716e_1_32" hidden="1">#REF!</definedName>
    <definedName name="TRNR_d42a5c70fc4b4f05ae0e7eab269a5d67_2_1" hidden="1">#REF!</definedName>
    <definedName name="TRNR_d4396f04a9294ee29163d6680aa87e24_1701_3" hidden="1" xml:space="preserve">                             '[16]21 yield breakdown'!$C$5</definedName>
    <definedName name="TRNR_d4f520b1eecf4237acae0bbca447c32b_72_1" hidden="1">[27]Electricity!#REF!</definedName>
    <definedName name="TRNR_d505b16769434b7baf876e742f7a5de7_109_2" hidden="1">#REF!</definedName>
    <definedName name="TRNR_d5bf27360c114b40bb7381ef67e82820_1329_1" hidden="1" xml:space="preserve">                                                                                                                '[22]23 5y5y Inflation'!$A$6</definedName>
    <definedName name="TRNR_d5de8ded9ca94b20bf4f9649693acf58_97_2" hidden="1">#REF!</definedName>
    <definedName name="TRNR_d66f063e05344d88aec61c719f6d9e44_53_3" hidden="1" xml:space="preserve">                                                                                      '[16]2 equity bond scatter'!$G$7</definedName>
    <definedName name="TRNR_d6a45780c4e046a4af66190c550080cc_99_2" hidden="1">#REF!</definedName>
    <definedName name="TRNR_d6b2597f8fbd4672bfcb4e7c1d1537e8_0_0" hidden="1">#REF!</definedName>
    <definedName name="TRNR_d6e86d311c1c4a4e96dec322dcd3ba54_30_1" hidden="1">#REF!</definedName>
    <definedName name="TRNR_d6f802b5dc83449c8bd8a5d701062841_97_2" hidden="1">#REF!</definedName>
    <definedName name="TRNR_d703df5bb1064756aab4a93bea63b3b9_10_2" hidden="1" xml:space="preserve">                                                 '[16]7 Bev curve'!$B$9</definedName>
    <definedName name="TRNR_d79224cd7a864b109c5518e5f600e21b_1_1" hidden="1">[34]US_Policy_rules!#REF!</definedName>
    <definedName name="TRNR_d7a84821e5cd407984079d413d4a6fcb_3_2" hidden="1">#REF!</definedName>
    <definedName name="TRNR_d7e4b30ba7e749cda15ba071a5d12795_3_0" hidden="1" xml:space="preserve">            '[21]P8 Commodity prices'!$AK$4</definedName>
    <definedName name="TRNR_d8bcb69bd7ac4946891df010499c13f0_2755_2" hidden="1" xml:space="preserve">    '[16]22 Breakevens'!$E$8</definedName>
    <definedName name="TRNR_d97b6e681a70460189d567c31490f421_51_2" hidden="1" xml:space="preserve">                                                                                                            '[16]2 equity bond scatter'!$B$7</definedName>
    <definedName name="TRNR_d9bdcee3790146d8ac84171c078a1890_3_1" hidden="1" xml:space="preserve">                            '[12]25 energy performance'!#REF!</definedName>
    <definedName name="TRNR_d9d88c4ad79f4467b6b9feeee8624d9d_262_3" hidden="1">#REF!</definedName>
    <definedName name="TRNR_d9fe269412e14bd9a42121957db9bb73_1405_4" hidden="1">#REF!</definedName>
    <definedName name="TRNR_da0d1ad11ec64c20b0e3278fcbe55ceb_3_2" hidden="1">#REF!</definedName>
    <definedName name="TRNR_da5d7cadf2c9487e955f2fc6d55f1345_3_2" hidden="1">#REF!</definedName>
    <definedName name="TRNR_dac6195070314904a1a4e88c61a4eabf_131_2" hidden="1" xml:space="preserve">                                            '[16]18 S&amp;P 2Yr'!$B$10</definedName>
    <definedName name="TRNR_dac8d4c405124874a3eb7b09953f4550_1_1" hidden="1" xml:space="preserve">                                                                                                                '[16]2 equity bond scatter'!$N$5</definedName>
    <definedName name="TRNR_db0e5cf9a4e94d79bd674e5b185638b8_416_10" hidden="1">[33]Index_gth!#REF!</definedName>
    <definedName name="TRNR_db9624f9b01048daae4634a638b49c61_1_42" hidden="1">#REF!</definedName>
    <definedName name="TRNR_dc1c5236620e4d6ca2c4bc031854c084_1_16" hidden="1">#REF!</definedName>
    <definedName name="TRNR_dca1a5707c744a58955bc2633d280179_109_2" hidden="1">#REF!</definedName>
    <definedName name="TRNR_dccccfd155a04bb087d06052fa15d63d_418_22" hidden="1">#REF!</definedName>
    <definedName name="TRNR_dd3a9cc1201348f28e31e5c735850450_0_0" hidden="1">#REF!</definedName>
    <definedName name="TRNR_dd58041655064b0cb5ff32092512d3ae_1273_3" hidden="1" xml:space="preserve">            '[21]P8 Commodity prices'!$B$5</definedName>
    <definedName name="TRNR_dd5a522f96924bcd80b705b21f0510de_2_1" hidden="1">#REF!</definedName>
    <definedName name="TRNR_dd9e90c8f1bb406da45b848e85cc06eb_0_0" hidden="1">#REF!</definedName>
    <definedName name="TRNR_ddb87921e4f145a58b20f16f5ce1f2d7_52_2" hidden="1" xml:space="preserve">                                                        '[16]2 equity bond scatter'!$B$7</definedName>
    <definedName name="TRNR_ddd3f59e62114372bd05054d0d3f4ecf_773_3" hidden="1">#REF!</definedName>
    <definedName name="TRNR_de1a31bc9aad4ff7b00850a6435d2ad8_2181_1" hidden="1">'[24]US Earnings Estimates'!#REF!</definedName>
    <definedName name="TRNR_de94c8395399442688588e7ea45fd099_7_3" hidden="1" xml:space="preserve">                                                 '[16]7 Bev curve'!$B$9</definedName>
    <definedName name="TRNR_debc29b2d2164e4bad9818fe9991e03a_184_0" hidden="1">'[13]Price move from peak'!#REF!</definedName>
    <definedName name="TRNR_decacb74fb1f4b93b120d16094a2c87c_1_1" hidden="1" xml:space="preserve">                                                                                                                                                                                              '[21]P3 Equity Bond returns'!$Q$5</definedName>
    <definedName name="TRNR_def57ab1d7af4b678ee167aaf989ae67_1626_3" hidden="1">#REF!</definedName>
    <definedName name="TRNR_def6c933438842a083cc17edd559815d_147_4" hidden="1" xml:space="preserve">                                                                                        '[22]10 US PCE'!$A$2</definedName>
    <definedName name="TRNR_df9500ec7df547b5a8ee7984fc00ec3d_51_2" hidden="1" xml:space="preserve">                                                                                            '[21]P3 Equity Bond returns'!$B$7</definedName>
    <definedName name="TRNR_dfd4978511484cbdbeb25b22e51774fb_1_1" hidden="1">#REF!</definedName>
    <definedName name="TRNR_e0004c4ed33a4d429f806411485829a3_42_0" hidden="1">'[13]Price move from peak'!#REF!</definedName>
    <definedName name="TRNR_e0544496a05244148eab18b428d2bacc_132_0" hidden="1">'[13]Price move from peak'!#REF!</definedName>
    <definedName name="TRNR_e07e6fce3cda48238f2efd03472e4d7b_1_32" hidden="1">#REF!</definedName>
    <definedName name="TRNR_e08f801b05534081997fa988365c2d84_109_2" hidden="1">#REF!</definedName>
    <definedName name="TRNR_e0c1a2ce8c0340c1a5e1312db47a9a63_383_2" hidden="1" xml:space="preserve">                                  '[21]Good services'!$B$6</definedName>
    <definedName name="TRNR_e157d2cbac7d4b0fa42c9a189a9cd076_885_3" hidden="1">#REF!</definedName>
    <definedName name="TRNR_e22bc29a4bec4d17948eba4d17ec6819_1305_1" hidden="1">#REF!</definedName>
    <definedName name="TRNR_e23b5036bba34802aadd7ab64a726e71_112_3" hidden="1" xml:space="preserve">    '[12]25 energy performance'!$B$7</definedName>
    <definedName name="TRNR_e2679933f9f14287928f86eb67c49394_1119_2" hidden="1" xml:space="preserve">          '[20]P7 commodities'!$B$15</definedName>
    <definedName name="TRNR_e332982b69204560b2b2e32aad46cd25_3_2" hidden="1">#REF!</definedName>
    <definedName name="TRNR_e3545836c6aa41b39c18859690573437_524_3" hidden="1">'[35]TAA - UK vs Europe (2)'!#REF!</definedName>
    <definedName name="TRNR_e4f60c1d79f445428b6c493219994b0f_3_0" hidden="1">#REF!</definedName>
    <definedName name="TRNR_e52490b068994416889166d9e3ffd98f_30_8" hidden="1">#REF!</definedName>
    <definedName name="TRNR_e57f65b46b904ff5a5fbf7f6986b0ad9_305_6" hidden="1">'[24]US Earnings Estimates'!#REF!</definedName>
    <definedName name="TRNR_e5e9b81e18ca4c7490676c39ec0313d5_241_3" hidden="1" xml:space="preserve">                             '[16]20 DM central banks'!$S$10</definedName>
    <definedName name="TRNR_e665e44141114fc78c46b811c381b17a_266_3" hidden="1" xml:space="preserve">                                                                                                                '[22]14 US unemployment'!$A$6</definedName>
    <definedName name="TRNR_e688d7172f52455abc112fb1b9175748_137_2" hidden="1" xml:space="preserve">                                                  '[16]3 Timeline'!$D$4</definedName>
    <definedName name="TRNR_e6c0c432cd32405fbfd39915febf1a2b_662_2" hidden="1">#REF!</definedName>
    <definedName name="TRNR_e6f1ffdde9944727b01e19f2e1b47d91_1_16" hidden="1">#REF!</definedName>
    <definedName name="TRNR_e78bbc1b31b4404eb7d82398c6b7e26b_131_3" hidden="1" xml:space="preserve">                        '[15]Forward Earnings'!$A$1</definedName>
    <definedName name="TRNR_e7f793aaa046438385a6a57e9e03c28d_9767_3" hidden="1">#REF!</definedName>
    <definedName name="TRNR_e803fdfac02c4c498106a320add9f07c_56_2" hidden="1">#REF!</definedName>
    <definedName name="TRNR_ea0e4154426a4f0d9f8347ff4b499e93_42_0" hidden="1">'[13]Price move from peak'!#REF!</definedName>
    <definedName name="TRNR_ea8533adbe6f4865b0003390b65d5493_1307_1" hidden="1" xml:space="preserve">                                            '[27]One-week repo'!$B$4</definedName>
    <definedName name="TRNR_eaf3ebc63819496a89869b5a796a0bbc_1_8" hidden="1">#REF!</definedName>
    <definedName name="TRNR_eb0b38646f854ecaad29778ca749733b_2_3" hidden="1">#REF!</definedName>
    <definedName name="TRNR_eb4235bbc4a74a40bd373340956ae103_175_11" hidden="1">#REF!</definedName>
    <definedName name="TRNR_eb4cc02a85e7416f84f5c81978548607_3_2" hidden="1">#REF!</definedName>
    <definedName name="TRNR_eb849a00d7c7427d808356c21ceaa1c8_50_3" hidden="1" xml:space="preserve">                                                                                                                '[22]13 Labor market'!$A$6</definedName>
    <definedName name="TRNR_eb8d90a5bfb14e1a93e12242a4d63007_1386_4" hidden="1">#REF!</definedName>
    <definedName name="TRNR_ec0dbf76ce7d4d9d8c1c465071c9aac5_662_2" hidden="1">#REF!</definedName>
    <definedName name="TRNR_ec1047d1e8af485c97daeb1c2aefd3fe_0_0" hidden="1">#REF!</definedName>
    <definedName name="TRNR_ec7528f53ab0460794da95912bb80705_132_0" hidden="1">'[13]Price move from peak'!#REF!</definedName>
    <definedName name="TRNR_ec787523e19745bdb9a54feaf28e6c2a_3_0" hidden="1">#REF!</definedName>
    <definedName name="TRNR_ec7a1bf9c001404fad97fff582dbfcde_86_2" hidden="1">#REF!</definedName>
    <definedName name="TRNR_ece061799fd14f34b32d0e8d9814736a_132_0" hidden="1">'[13]Price move from peak'!#REF!</definedName>
    <definedName name="TRNR_ed83781708af4c9c8057cf2fc43d752f_3_2" hidden="1">#REF!</definedName>
    <definedName name="TRNR_ed9f04de310f4135949e203d298baa1c_132_3" hidden="1" xml:space="preserve">                                            '[16]23 EM perf'!$C$8</definedName>
    <definedName name="TRNR_edb83e5b3495493aabab5ea15c8a993d_1_1" hidden="1" xml:space="preserve">                                                                                        '[16]2 equity bond scatter'!$N$5</definedName>
    <definedName name="TRNR_edba652e02ac4f51a9074f229e6d0bf6_132_0" hidden="1">'[13]Price move from peak'!#REF!</definedName>
    <definedName name="TRNR_ee324d773f6a4447ae45473ef4089b59_18_1" hidden="1">#REF!</definedName>
    <definedName name="TRNR_ef068e994b194e09aca06a1448be851e_3_2" hidden="1">#REF!</definedName>
    <definedName name="TRNR_ef099f272550475cb53581f2cdcb4484_1_3" hidden="1">'[36]Data 2021'!#REF!</definedName>
    <definedName name="TRNR_ef27a02f9637450fa0de7e4acc275ad7_0_0" hidden="1">#REF!</definedName>
    <definedName name="TRNR_efd4e058f7aa4702a144671fdf44b577_3_2" hidden="1">#REF!</definedName>
    <definedName name="TRNR_eff84103ebff4e9394277fbce8857009_351_3" hidden="1">#REF!</definedName>
    <definedName name="TRNR_f06f2ab89b9141ee870d7fce7c1fe337_132_0" hidden="1">'[13]Price move from peak'!#REF!</definedName>
    <definedName name="TRNR_f0a2c30306334e04aa8f89a819d52cdc_132_1" hidden="1">'[13]Price move from peak'!#REF!</definedName>
    <definedName name="TRNR_f1346338b25c4727a7113c4a8d2657b3_1135_8" hidden="1">#REF!</definedName>
    <definedName name="TRNR_f24b0d8b20b04705a98e2ff71eebcc9f_184_0" hidden="1">'[13]Price move from peak'!#REF!</definedName>
    <definedName name="TRNR_f2bc447173a64bdc89fd84ef36393639_1826_3" hidden="1" xml:space="preserve">                        '[21]P8 Commodity prices'!$S$5</definedName>
    <definedName name="TRNR_f3496d09490c4e6a92d6db96b8552ced_22_3" hidden="1">#REF!</definedName>
    <definedName name="TRNR_f359c39f33c9430cbfc0338fb8a09c7d_146_4" hidden="1" xml:space="preserve">                                                                                                                '[22]10 US PCE'!$A$2</definedName>
    <definedName name="TRNR_f39c2f43c57b4f92a0ff4aef8d25b60e_51_2" hidden="1">#REF!</definedName>
    <definedName name="TRNR_f413bb713ae74c7083c06c00ae6905a8_162_4" hidden="1" xml:space="preserve">        '[17]Equities - earnings'!$A$1</definedName>
    <definedName name="TRNR_f417305864d24029ad44da40b14013f4_1_42" hidden="1">#REF!</definedName>
    <definedName name="TRNR_f4283ca0150b45cfaea7ed02db38ead1_1_1" hidden="1" xml:space="preserve">                                                        '[16]2 equity bond scatter'!$N$5</definedName>
    <definedName name="TRNR_f452af0a64ff45faa812f20afca7effb_24_2" hidden="1">#REF!</definedName>
    <definedName name="TRNR_f46e35c10db84e6692efd2e6297611b7_259_24" hidden="1">#REF!</definedName>
    <definedName name="TRNR_f476fa45a167418d838d002aa98c3afc_339_2" hidden="1">#REF!</definedName>
    <definedName name="TRNR_f4a7e03d425e44f6a0c7278bd33a35de_211_3" hidden="1" xml:space="preserve">                             '[16]20 DM central banks'!$S$10</definedName>
    <definedName name="TRNR_f4f6dd1c56e547738b075b24b596938f_24_2" hidden="1">#REF!</definedName>
    <definedName name="TRNR_f5988d979ea74d19bdf5bea814179d40_569_2" hidden="1">#REF!</definedName>
    <definedName name="TRNR_f5a56c310e6a4effa6d3ce6f73e7be3e_111_2" hidden="1" xml:space="preserve">                                                  '[16]3 Timeline'!$D$4</definedName>
    <definedName name="TRNR_f651e3c969f4440e9295d66aff9f0cd0_1_2" hidden="1">#REF!</definedName>
    <definedName name="TRNR_f6b8cbe86e4a4109ac3db1b80ad31bb7_6082_1" hidden="1">#REF!</definedName>
    <definedName name="TRNR_f6e2db59b6354db9abd8f2bb46953daa_26_1" hidden="1">#REF!</definedName>
    <definedName name="TRNR_f6fbb934ebb1411384f2c4893c64ccdd_25_7" hidden="1">#REF!</definedName>
    <definedName name="TRNR_f73dd51acff44d5bb9049ed0aef7f514_100_3" hidden="1">#REF!</definedName>
    <definedName name="TRNR_f7486f3f92bf4488b037adbb34c78398_173_11" hidden="1">'[29]Assets in review'!#REF!</definedName>
    <definedName name="TRNR_f74b2b6051744456b0d40a077569b2ae_1_42" hidden="1">#REF!</definedName>
    <definedName name="TRNR_f75598ae597f40f7b98ff0c392d0b83a_23_3" hidden="1">#REF!</definedName>
    <definedName name="TRNR_f77dd08b32874db994c849c6a61380c1_331_1" hidden="1">#REF!</definedName>
    <definedName name="TRNR_f7cb0a2749a24edb9a36a316bf0e83e3_1135_4" hidden="1">#REF!</definedName>
    <definedName name="TRNR_f81a635ed2b54f1981429ea5ef702b7f_384_1" hidden="1" xml:space="preserve">                                                                                                                                                                  '[21]P6 Cutting through confusion'!#REF!</definedName>
    <definedName name="TRNR_f886e250427d4b04ac59c8926bce6490_214_1" hidden="1">[27]Electricity!#REF!</definedName>
    <definedName name="TRNR_f89fa4ca363548d19e5cdbc8ab19078e_1_1" hidden="1" xml:space="preserve">                                            '[16]2 equity bond scatter'!$N$5</definedName>
    <definedName name="TRNR_f92d1f38fc304cc9a76bb1eb884aa57f_123_1" hidden="1" xml:space="preserve">                                                                                        '[22]19 earnings'!$A$1</definedName>
    <definedName name="TRNR_f94869adb31a4ecfb7c9f8606b62990f_284_1" hidden="1" xml:space="preserve">                                              '[16]5 reallocation'!$R$3</definedName>
    <definedName name="TRNR_faa9f181c104458c83edadcba7b2d8bb_0_0" hidden="1">#REF!</definedName>
    <definedName name="TRNR_faf9a709f5db4e1db0801eba41415c36_1_1" hidden="1" xml:space="preserve">                                                                                        '[16]2 equity bond scatter'!$N$5</definedName>
    <definedName name="TRNR_fb6244894d54479790fc682066d3bbbf_253_2" hidden="1">#REF!</definedName>
    <definedName name="TRNR_fba0585a26e1451c92f7fea11c8b0184_1_42" hidden="1">#REF!</definedName>
    <definedName name="TRNR_fbc3f67b58974ca6812536467d993235_919_3" hidden="1" xml:space="preserve">                             '[16]21 yield breakdown'!$C$5</definedName>
    <definedName name="TRNR_fc6294eeb39244bcb51f79600a640e05_1282_3" hidden="1" xml:space="preserve">                                                                                                                                '[21]P8 Commodity prices'!$B$5</definedName>
    <definedName name="TRNR_fcaf18d1f5c44cde820c8025d0cf2d53_662_2" hidden="1">#REF!</definedName>
    <definedName name="TRNR_fccf2f19723c40a18cbfb3f6857c726b_1120_2" hidden="1" xml:space="preserve">      '[20]P7 commodities'!$B$15</definedName>
    <definedName name="TRNR_fcf81d0160314be7af2a62712dbe361a_410_6" hidden="1">#REF!</definedName>
    <definedName name="TRNR_fd2922086dd7438d96d6cb014719fc52_1826_4" hidden="1">#REF!</definedName>
    <definedName name="TRNR_fd382789a9734281a8b85df0c8858330_97_2" hidden="1">#REF!</definedName>
    <definedName name="TRNR_fd614152d97b4794b54fd8bcf08f9d87_91_3" hidden="1" xml:space="preserve">                             '[16]20 DM central banks'!$S$10</definedName>
    <definedName name="TRNR_fd74e4372d634d5eb9dbd08d469d4cde_24_2" hidden="1">#REF!</definedName>
    <definedName name="TRNR_fda7c0e0db3b49229f3ad009d0625119_630_2" hidden="1">#REF!</definedName>
    <definedName name="TRNR_fdb2e1d72bdb4c55885441150a1aa2ee_3_2" hidden="1">#REF!</definedName>
    <definedName name="TRNR_fdb8f7a5ec5c4ac1abd9b7743026c411_56_2" hidden="1">#REF!</definedName>
    <definedName name="TRNR_fdeba78b6c1e404ca534fbcf0d88edf2_90_3" hidden="1">#REF!</definedName>
    <definedName name="TRNR_fe29807787664b0c8cc507675b165576_1_32" hidden="1">#REF!</definedName>
    <definedName name="TRNR_fecd03ec130d4dc48850a6ded8a8c8ae_357_1" hidden="1" xml:space="preserve">                        '[23]US rate paths'!$AC$5</definedName>
    <definedName name="TRNR_ff1f5998597c455bbdaa92341ac069d1_147_2" hidden="1" xml:space="preserve">                             '[16]18 S&amp;P 2Yr'!$B$10</definedName>
    <definedName name="TRNR_ff421f4ddf444f38b9e2aab132876c18_3_0" hidden="1" xml:space="preserve">                                                              '[21]P8 Commodity prices'!$AK$4</definedName>
    <definedName name="TRNR_ffa137cec6c448ebb0089d1e91636bf6_53_3" hidden="1" xml:space="preserve">                                                                                        '[16]2 equity bond scatter'!$G$7</definedName>
    <definedName name="TRNR_ffb9aacdbc1549b6a2f8932df2de48d2_361_3" hidden="1">#REF!</definedName>
    <definedName name="TRNR_ffb9b11449204120b286f0a334e11cc9_444_0" hidden="1">#REF!</definedName>
    <definedName name="TRNR_ffd523739aff418e82414191a635cc5f_109_2" hidden="1">#REF!</definedName>
    <definedName name="tw_asia">[4]Weights!$J$13</definedName>
    <definedName name="tw_nie">[4]Weights!$K$13</definedName>
    <definedName name="UK_gwth">#REF!</definedName>
    <definedName name="UK_S">#REF!</definedName>
    <definedName name="US_gwth">#REF!</definedName>
    <definedName name="US_S">#REF!</definedName>
    <definedName name="USD_Nom">#REF!</definedName>
    <definedName name="USD_Tenor">#REF!</definedName>
    <definedName name="USD_yr">#REF!</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Full._.Financials." hidden="1">{#N/A,#N/A,TRUE,"Financials";#N/A,#N/A,TRUE,"Operating Statistics";#N/A,#N/A,TRUE,"Capex &amp; Depreciation";#N/A,#N/A,TRUE,"Debt"}</definedName>
    <definedName name="wrn.full._.financials1." hidden="1">{#N/A,#N/A,TRUE,"Financials";#N/A,#N/A,TRUE,"Operating Statistics";#N/A,#N/A,TRUE,"Capex &amp; Depreciation";#N/A,#N/A,TRUE,"Debt"}</definedName>
    <definedName name="wrn.One._.Pager._.plus._.Technicals." hidden="1">{#N/A,#N/A,FALSE,"One Pager";#N/A,#N/A,FALSE,"Technical"}</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s>
  <calcPr calcId="191029"/>
  <pivotCaches>
    <pivotCache cacheId="8" r:id="rId62"/>
    <pivotCache cacheId="9" r:id="rId6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4" i="40" l="1"/>
  <c r="AY4" i="40"/>
  <c r="AX4" i="40"/>
  <c r="AW4" i="40"/>
  <c r="AV4" i="40"/>
  <c r="AU4" i="40"/>
  <c r="AT4" i="40"/>
  <c r="AS4" i="40"/>
  <c r="AR4" i="40"/>
  <c r="AQ4" i="40"/>
  <c r="AP4" i="40"/>
  <c r="AO4" i="40"/>
  <c r="AN4" i="40"/>
  <c r="AM4" i="40"/>
  <c r="AL4" i="40"/>
  <c r="AK4" i="40"/>
  <c r="AJ4" i="40"/>
  <c r="AI4" i="40"/>
  <c r="AH4" i="40"/>
  <c r="AG4" i="40"/>
  <c r="AF4" i="40"/>
  <c r="AE4" i="40"/>
  <c r="AD4" i="40"/>
  <c r="AC4" i="40"/>
  <c r="AB4" i="40"/>
  <c r="AA4" i="40"/>
  <c r="Z4" i="40"/>
  <c r="Y4" i="40"/>
  <c r="X4" i="40"/>
  <c r="W4" i="40"/>
  <c r="V4" i="40"/>
  <c r="U4" i="40"/>
  <c r="T4" i="40"/>
  <c r="S4" i="40"/>
  <c r="R4" i="40"/>
  <c r="Q4" i="40"/>
  <c r="P4" i="40"/>
  <c r="O4" i="40"/>
  <c r="N4" i="40"/>
  <c r="M4" i="40"/>
  <c r="L4" i="40"/>
  <c r="K4" i="40"/>
  <c r="J4" i="40"/>
  <c r="I4" i="40"/>
  <c r="H4" i="40"/>
  <c r="G4" i="40"/>
  <c r="F4" i="40"/>
  <c r="E4" i="40"/>
  <c r="D4" i="40"/>
  <c r="C4" i="40"/>
  <c r="Y5" i="42" a="1"/>
  <c r="Y5" i="42" s="1"/>
  <c r="X5" i="42" a="1"/>
  <c r="X5" i="42" s="1"/>
  <c r="W5" i="42" a="1"/>
  <c r="W5" i="42" s="1"/>
  <c r="V5" i="42" a="1"/>
  <c r="V5" i="42" s="1"/>
  <c r="F7" i="43"/>
  <c r="V4" i="42" a="1"/>
  <c r="V4" i="42" s="1"/>
  <c r="E7" i="43"/>
  <c r="C9" i="43"/>
  <c r="C8" i="43"/>
  <c r="C7" i="43"/>
  <c r="C6" i="43"/>
  <c r="C5" i="43"/>
  <c r="C4" i="43"/>
  <c r="B4" i="43"/>
  <c r="F4" i="42" a="1"/>
  <c r="F4" i="42" s="1"/>
  <c r="G4" i="42" s="1"/>
  <c r="H4" i="42" s="1"/>
  <c r="E4" i="42" a="1"/>
  <c r="E4" i="42" s="1"/>
  <c r="G5" i="42" s="1"/>
  <c r="H5" i="42" s="1"/>
  <c r="K3" i="42"/>
  <c r="N7" i="23"/>
  <c r="O7" i="23" s="1"/>
  <c r="P7" i="23" s="1"/>
  <c r="Q7" i="23" s="1"/>
  <c r="R7" i="23" s="1"/>
  <c r="S7" i="23" s="1"/>
  <c r="T7" i="23" s="1"/>
  <c r="U7" i="23" s="1"/>
  <c r="V7" i="23" s="1"/>
  <c r="W7" i="23" s="1"/>
  <c r="X7" i="23" s="1"/>
  <c r="Y7" i="23" s="1"/>
  <c r="Z7" i="23" s="1"/>
  <c r="AA7" i="23" s="1"/>
  <c r="AB7" i="23" s="1"/>
  <c r="AC7" i="23" s="1"/>
  <c r="AD7" i="23" s="1"/>
  <c r="AE7" i="23" s="1"/>
  <c r="AF7" i="23" s="1"/>
  <c r="AG7" i="23" s="1"/>
  <c r="AH7" i="23" s="1"/>
  <c r="AI7" i="23" s="1"/>
  <c r="AJ7" i="23" s="1"/>
  <c r="AK7" i="23" s="1"/>
  <c r="AL7" i="23" s="1"/>
  <c r="AM7" i="23" s="1"/>
  <c r="AN7" i="23" s="1"/>
  <c r="AO7" i="23" s="1"/>
  <c r="AP7" i="23" s="1"/>
  <c r="AQ7" i="23" s="1"/>
  <c r="AR7" i="23" s="1"/>
  <c r="AS7" i="23" s="1"/>
  <c r="AT7" i="23" s="1"/>
  <c r="AU7" i="23" s="1"/>
  <c r="AV7" i="23" s="1"/>
  <c r="AW7" i="23" s="1"/>
  <c r="AX7" i="23" s="1"/>
  <c r="AY7" i="23" s="1"/>
  <c r="AZ7" i="23" s="1"/>
  <c r="N6" i="23"/>
  <c r="O6" i="23" s="1"/>
  <c r="P6" i="23" s="1"/>
  <c r="Q6" i="23" s="1"/>
  <c r="R6" i="23" s="1"/>
  <c r="S6" i="23" s="1"/>
  <c r="T6" i="23" s="1"/>
  <c r="U6" i="23" s="1"/>
  <c r="V6" i="23" s="1"/>
  <c r="W6" i="23" s="1"/>
  <c r="X6" i="23" s="1"/>
  <c r="Y6" i="23" s="1"/>
  <c r="Z6" i="23" s="1"/>
  <c r="AA6" i="23" s="1"/>
  <c r="AB6" i="23" s="1"/>
  <c r="AC6" i="23" s="1"/>
  <c r="AD6" i="23" s="1"/>
  <c r="AE6" i="23" s="1"/>
  <c r="AF6" i="23" s="1"/>
  <c r="AG6" i="23" s="1"/>
  <c r="AH6" i="23" s="1"/>
  <c r="AI6" i="23" s="1"/>
  <c r="AJ6" i="23" s="1"/>
  <c r="AK6" i="23" s="1"/>
  <c r="AL6" i="23" s="1"/>
  <c r="AM6" i="23" s="1"/>
  <c r="AN6" i="23" s="1"/>
  <c r="AO6" i="23" s="1"/>
  <c r="AP6" i="23" s="1"/>
  <c r="AQ6" i="23" s="1"/>
  <c r="AR6" i="23" s="1"/>
  <c r="AS6" i="23" s="1"/>
  <c r="AT6" i="23" s="1"/>
  <c r="AU6" i="23" s="1"/>
  <c r="AV6" i="23" s="1"/>
  <c r="AW6" i="23" s="1"/>
  <c r="AX6" i="23" s="1"/>
  <c r="AY6" i="23" s="1"/>
  <c r="AZ6" i="23" s="1"/>
  <c r="O5" i="23"/>
  <c r="P5" i="23" s="1"/>
  <c r="Q5" i="23" s="1"/>
  <c r="R5" i="23" s="1"/>
  <c r="S5" i="23" s="1"/>
  <c r="T5" i="23" s="1"/>
  <c r="U5" i="23" s="1"/>
  <c r="V5" i="23" s="1"/>
  <c r="W5" i="23" s="1"/>
  <c r="X5" i="23" s="1"/>
  <c r="Y5" i="23" s="1"/>
  <c r="Z5" i="23" s="1"/>
  <c r="AA5" i="23" s="1"/>
  <c r="AB5" i="23" s="1"/>
  <c r="AC5" i="23" s="1"/>
  <c r="AD5" i="23" s="1"/>
  <c r="AE5" i="23" s="1"/>
  <c r="AF5" i="23" s="1"/>
  <c r="AG5" i="23" s="1"/>
  <c r="AH5" i="23" s="1"/>
  <c r="AI5" i="23" s="1"/>
  <c r="AJ5" i="23" s="1"/>
  <c r="AK5" i="23" s="1"/>
  <c r="AL5" i="23" s="1"/>
  <c r="AM5" i="23" s="1"/>
  <c r="AN5" i="23" s="1"/>
  <c r="AO5" i="23" s="1"/>
  <c r="AP5" i="23" s="1"/>
  <c r="AQ5" i="23" s="1"/>
  <c r="AR5" i="23" s="1"/>
  <c r="AS5" i="23" s="1"/>
  <c r="AT5" i="23" s="1"/>
  <c r="AU5" i="23" s="1"/>
  <c r="AV5" i="23" s="1"/>
  <c r="AW5" i="23" s="1"/>
  <c r="AX5" i="23" s="1"/>
  <c r="AY5" i="23" s="1"/>
  <c r="AZ5" i="23" s="1"/>
  <c r="N5" i="23"/>
  <c r="N4" i="23"/>
  <c r="O4" i="23" s="1"/>
  <c r="P4" i="23" s="1"/>
  <c r="Q4" i="23" s="1"/>
  <c r="R4" i="23" s="1"/>
  <c r="S4" i="23" s="1"/>
  <c r="T4" i="23" s="1"/>
  <c r="U4" i="23" s="1"/>
  <c r="V4" i="23" s="1"/>
  <c r="W4" i="23" s="1"/>
  <c r="X4" i="23" s="1"/>
  <c r="Y4" i="23" s="1"/>
  <c r="Z4" i="23" s="1"/>
  <c r="AA4" i="23" s="1"/>
  <c r="AB4" i="23" s="1"/>
  <c r="AC4" i="23" s="1"/>
  <c r="AD4" i="23" s="1"/>
  <c r="AE4" i="23" s="1"/>
  <c r="AF4" i="23" s="1"/>
  <c r="AG4" i="23" s="1"/>
  <c r="AH4" i="23" s="1"/>
  <c r="AI4" i="23" s="1"/>
  <c r="AJ4" i="23" s="1"/>
  <c r="AK4" i="23" s="1"/>
  <c r="AL4" i="23" s="1"/>
  <c r="AM4" i="23" s="1"/>
  <c r="AN4" i="23" s="1"/>
  <c r="AO4" i="23" s="1"/>
  <c r="AP4" i="23" s="1"/>
  <c r="AQ4" i="23" s="1"/>
  <c r="AR4" i="23" s="1"/>
  <c r="AS4" i="23" s="1"/>
  <c r="AT4" i="23" s="1"/>
  <c r="AU4" i="23" s="1"/>
  <c r="AV4" i="23" s="1"/>
  <c r="AW4" i="23" s="1"/>
  <c r="AX4" i="23" s="1"/>
  <c r="AY4" i="23" s="1"/>
  <c r="AZ4" i="23" s="1"/>
  <c r="N3" i="23"/>
  <c r="O3" i="23" s="1"/>
  <c r="P3" i="23" s="1"/>
  <c r="Q3" i="23" s="1"/>
  <c r="R3" i="23" s="1"/>
  <c r="S3" i="23" s="1"/>
  <c r="T3" i="23" s="1"/>
  <c r="U3" i="23" s="1"/>
  <c r="V3" i="23" s="1"/>
  <c r="W3" i="23" s="1"/>
  <c r="X3" i="23" s="1"/>
  <c r="Y3" i="23" s="1"/>
  <c r="Z3" i="23" s="1"/>
  <c r="AA3" i="23" s="1"/>
  <c r="AB3" i="23" s="1"/>
  <c r="AC3" i="23" s="1"/>
  <c r="AD3" i="23" s="1"/>
  <c r="AE3" i="23" s="1"/>
  <c r="AF3" i="23" s="1"/>
  <c r="AG3" i="23" s="1"/>
  <c r="AH3" i="23" s="1"/>
  <c r="AI3" i="23" s="1"/>
  <c r="AJ3" i="23" s="1"/>
  <c r="AK3" i="23" s="1"/>
  <c r="AL3" i="23" s="1"/>
  <c r="AM3" i="23" s="1"/>
  <c r="AN3" i="23" s="1"/>
  <c r="AO3" i="23" s="1"/>
  <c r="AP3" i="23" s="1"/>
  <c r="AQ3" i="23" s="1"/>
  <c r="AR3" i="23" s="1"/>
  <c r="AS3" i="23" s="1"/>
  <c r="AT3" i="23" s="1"/>
  <c r="AU3" i="23" s="1"/>
  <c r="AV3" i="23" s="1"/>
  <c r="AW3" i="23" s="1"/>
  <c r="AX3" i="23" s="1"/>
  <c r="AY3" i="23" s="1"/>
  <c r="AZ3" i="23" s="1"/>
  <c r="N2" i="23"/>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M6" i="23"/>
  <c r="M5" i="23"/>
  <c r="M4" i="23"/>
  <c r="M3" i="23"/>
  <c r="M2" i="23"/>
  <c r="M7" i="23"/>
  <c r="L7" i="23"/>
  <c r="L6" i="23"/>
  <c r="L5" i="23"/>
  <c r="L4" i="23"/>
  <c r="L3" i="23"/>
  <c r="L2" i="23"/>
  <c r="B2" i="23"/>
  <c r="C2" i="23" s="1"/>
  <c r="D2" i="23" s="1"/>
  <c r="E2" i="23" s="1"/>
  <c r="F2" i="23" s="1"/>
  <c r="G2" i="23" s="1"/>
  <c r="H2" i="23" s="1"/>
  <c r="I2" i="23" s="1"/>
  <c r="J2" i="23" s="1"/>
  <c r="K2" i="23" s="1"/>
  <c r="B3" i="23"/>
  <c r="C3" i="23" s="1"/>
  <c r="D3" i="23" s="1"/>
  <c r="E3" i="23" s="1"/>
  <c r="F3" i="23" s="1"/>
  <c r="G3" i="23" s="1"/>
  <c r="H3" i="23" s="1"/>
  <c r="I3" i="23" s="1"/>
  <c r="J3" i="23" s="1"/>
  <c r="K3" i="23" s="1"/>
  <c r="B4" i="23"/>
  <c r="C4" i="23" s="1"/>
  <c r="D4" i="23" s="1"/>
  <c r="E4" i="23" s="1"/>
  <c r="F4" i="23" s="1"/>
  <c r="G4" i="23" s="1"/>
  <c r="H4" i="23" s="1"/>
  <c r="I4" i="23" s="1"/>
  <c r="J4" i="23" s="1"/>
  <c r="K4" i="23" s="1"/>
  <c r="B5" i="23"/>
  <c r="C5" i="23" s="1"/>
  <c r="D5" i="23" s="1"/>
  <c r="E5" i="23" s="1"/>
  <c r="F5" i="23" s="1"/>
  <c r="G5" i="23" s="1"/>
  <c r="H5" i="23" s="1"/>
  <c r="I5" i="23" s="1"/>
  <c r="J5" i="23" s="1"/>
  <c r="K5" i="23" s="1"/>
  <c r="B6" i="23"/>
  <c r="C6" i="23" s="1"/>
  <c r="D6" i="23" s="1"/>
  <c r="E6" i="23" s="1"/>
  <c r="F6" i="23" s="1"/>
  <c r="G6" i="23" s="1"/>
  <c r="H6" i="23" s="1"/>
  <c r="I6" i="23" s="1"/>
  <c r="J6" i="23" s="1"/>
  <c r="K6" i="23" s="1"/>
  <c r="B7" i="23"/>
  <c r="C7" i="23" s="1"/>
  <c r="D7" i="23" s="1"/>
  <c r="E7" i="23" s="1"/>
  <c r="F7" i="23" s="1"/>
  <c r="G7" i="23" s="1"/>
  <c r="H7" i="23" s="1"/>
  <c r="I7" i="23" s="1"/>
  <c r="J7" i="23" s="1"/>
  <c r="K7" i="23" s="1"/>
  <c r="A2" i="25" a="1"/>
  <c r="A2" i="25" s="1"/>
  <c r="L3" i="39"/>
  <c r="M3" i="39" s="1"/>
  <c r="N3" i="39" s="1"/>
  <c r="O3" i="39" s="1"/>
  <c r="P3" i="39" s="1"/>
  <c r="Q3" i="39" s="1"/>
  <c r="R3" i="39" s="1"/>
  <c r="S3" i="39" s="1"/>
  <c r="T3" i="39" s="1"/>
  <c r="U3" i="39" s="1"/>
  <c r="V3" i="39" s="1"/>
  <c r="W3" i="39" s="1"/>
  <c r="X3" i="39" s="1"/>
  <c r="Y3" i="39" s="1"/>
  <c r="Z3" i="39" s="1"/>
  <c r="AA3" i="39" s="1"/>
  <c r="AB3" i="39" s="1"/>
  <c r="AC3" i="39" s="1"/>
  <c r="AD3" i="39" s="1"/>
  <c r="AE3" i="39" s="1"/>
  <c r="AF3" i="39" s="1"/>
  <c r="AG3" i="39" s="1"/>
  <c r="AH3" i="39" s="1"/>
  <c r="AI3" i="39" s="1"/>
  <c r="AJ3" i="39" s="1"/>
  <c r="AK3" i="39" s="1"/>
  <c r="AL3" i="39" s="1"/>
  <c r="AM3" i="39" s="1"/>
  <c r="AN3" i="39" s="1"/>
  <c r="AO3" i="39" s="1"/>
  <c r="AP3" i="39" s="1"/>
  <c r="M2" i="39"/>
  <c r="N2" i="39" s="1"/>
  <c r="O2" i="39" s="1"/>
  <c r="P2" i="39" s="1"/>
  <c r="Q2" i="39" s="1"/>
  <c r="R2" i="39" s="1"/>
  <c r="S2" i="39" s="1"/>
  <c r="T2" i="39" s="1"/>
  <c r="U2" i="39" s="1"/>
  <c r="V2" i="39" s="1"/>
  <c r="W2" i="39" s="1"/>
  <c r="X2" i="39" s="1"/>
  <c r="Y2" i="39" s="1"/>
  <c r="Z2" i="39" s="1"/>
  <c r="AA2" i="39" s="1"/>
  <c r="AB2" i="39" s="1"/>
  <c r="AC2" i="39" s="1"/>
  <c r="AD2" i="39" s="1"/>
  <c r="AE2" i="39" s="1"/>
  <c r="AF2" i="39" s="1"/>
  <c r="AG2" i="39" s="1"/>
  <c r="AH2" i="39" s="1"/>
  <c r="AI2" i="39" s="1"/>
  <c r="AJ2" i="39" s="1"/>
  <c r="AK2" i="39" s="1"/>
  <c r="AL2" i="39" s="1"/>
  <c r="AM2" i="39" s="1"/>
  <c r="AN2" i="39" s="1"/>
  <c r="AO2" i="39" s="1"/>
  <c r="AP2" i="39" s="1"/>
  <c r="L2" i="39"/>
  <c r="B2" i="39"/>
  <c r="B3" i="39"/>
  <c r="C2" i="39"/>
  <c r="D2" i="39" s="1"/>
  <c r="E2" i="39" s="1"/>
  <c r="F2" i="39" s="1"/>
  <c r="G2" i="39" s="1"/>
  <c r="H2" i="39" s="1"/>
  <c r="I2" i="39" s="1"/>
  <c r="J2" i="39" s="1"/>
  <c r="K2" i="39" s="1"/>
  <c r="C3" i="39"/>
  <c r="D3" i="39" s="1"/>
  <c r="E3" i="39" s="1"/>
  <c r="F3" i="39" s="1"/>
  <c r="G3" i="39" s="1"/>
  <c r="H3" i="39" s="1"/>
  <c r="I3" i="39" s="1"/>
  <c r="J3" i="39" s="1"/>
  <c r="K3" i="39" s="1"/>
  <c r="B7" i="38"/>
  <c r="B6" i="38"/>
  <c r="B5" i="38"/>
  <c r="B4" i="38"/>
  <c r="B3" i="38"/>
  <c r="B2" i="38"/>
  <c r="B3" i="33"/>
  <c r="B2" i="33"/>
  <c r="C3" i="2"/>
  <c r="D3" i="2"/>
  <c r="E3" i="2"/>
  <c r="F3" i="2"/>
  <c r="O3" i="2"/>
  <c r="P3" i="2"/>
  <c r="J54" i="18"/>
  <c r="K54" i="18"/>
  <c r="L54" i="18"/>
  <c r="M54" i="18"/>
  <c r="N54" i="18"/>
  <c r="O54" i="18"/>
  <c r="P54" i="18"/>
  <c r="Q54" i="18"/>
  <c r="R54" i="18"/>
  <c r="S54" i="18"/>
  <c r="I46" i="18"/>
  <c r="H46" i="18"/>
  <c r="E3" i="8"/>
  <c r="I4" i="2"/>
  <c r="G78" i="8"/>
  <c r="G77" i="8"/>
  <c r="G76" i="8"/>
  <c r="G75" i="8"/>
  <c r="G74" i="8"/>
  <c r="G73" i="8"/>
  <c r="G72" i="8"/>
  <c r="G71" i="8"/>
  <c r="G70" i="8"/>
  <c r="G69" i="8"/>
  <c r="G68" i="8"/>
  <c r="G67" i="8"/>
  <c r="G66" i="8"/>
  <c r="G65" i="8"/>
  <c r="G64" i="8"/>
  <c r="G63" i="8"/>
  <c r="G62" i="8"/>
  <c r="G61" i="8"/>
  <c r="G60" i="8"/>
  <c r="G59" i="8"/>
  <c r="G58" i="8"/>
  <c r="G57" i="8"/>
  <c r="G56" i="8"/>
  <c r="G55" i="8"/>
  <c r="G54" i="8"/>
  <c r="G53" i="8"/>
  <c r="G52" i="8"/>
  <c r="G51" i="8"/>
  <c r="G50" i="8"/>
  <c r="G49" i="8"/>
  <c r="G48" i="8"/>
  <c r="G47" i="8"/>
  <c r="G46" i="8"/>
  <c r="G45" i="8"/>
  <c r="G44" i="8"/>
  <c r="G43" i="8"/>
  <c r="G42" i="8"/>
  <c r="G41" i="8"/>
  <c r="G40" i="8"/>
  <c r="G39" i="8"/>
  <c r="G38" i="8"/>
  <c r="G37" i="8"/>
  <c r="G36" i="8"/>
  <c r="G35" i="8"/>
  <c r="G34" i="8"/>
  <c r="G33" i="8"/>
  <c r="G32" i="8"/>
  <c r="G31" i="8"/>
  <c r="G30" i="8"/>
  <c r="G29" i="8"/>
  <c r="G28" i="8"/>
  <c r="G27" i="8"/>
  <c r="G26" i="8"/>
  <c r="G25" i="8"/>
  <c r="G24" i="8"/>
  <c r="G23" i="8"/>
  <c r="G22" i="8"/>
  <c r="G21" i="8"/>
  <c r="G20" i="8"/>
  <c r="G19" i="8"/>
  <c r="G18" i="8"/>
  <c r="G17" i="8"/>
  <c r="G16" i="8"/>
  <c r="G15" i="8"/>
  <c r="G14" i="8"/>
  <c r="G13" i="8"/>
  <c r="G12" i="8"/>
  <c r="G11" i="8"/>
  <c r="G10" i="8"/>
  <c r="G9" i="8"/>
  <c r="G8" i="8"/>
  <c r="G7" i="8"/>
  <c r="G6" i="8"/>
  <c r="G5" i="8"/>
  <c r="G4" i="8"/>
  <c r="G3" i="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C69" i="8"/>
  <c r="C70" i="8"/>
  <c r="C71" i="8"/>
  <c r="C72" i="8"/>
  <c r="C73" i="8"/>
  <c r="C74" i="8"/>
  <c r="C75" i="8"/>
  <c r="C76" i="8"/>
  <c r="C77" i="8"/>
  <c r="C78" i="8"/>
  <c r="C55" i="8"/>
  <c r="C56" i="8"/>
  <c r="C57" i="8"/>
  <c r="C58" i="8"/>
  <c r="C59" i="8"/>
  <c r="C60" i="8"/>
  <c r="C61" i="8"/>
  <c r="C62" i="8"/>
  <c r="C63" i="8"/>
  <c r="C64" i="8"/>
  <c r="C65" i="8"/>
  <c r="C66" i="8"/>
  <c r="C67" i="8"/>
  <c r="C68" i="8"/>
  <c r="C49" i="8"/>
  <c r="C50" i="8"/>
  <c r="C51" i="8"/>
  <c r="C52" i="8"/>
  <c r="C53" i="8"/>
  <c r="C54" i="8"/>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142" i="6"/>
  <c r="D8" i="6"/>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159" i="5"/>
  <c r="C44" i="8"/>
  <c r="C45" i="8"/>
  <c r="C46" i="8"/>
  <c r="C47" i="8"/>
  <c r="C48" i="8"/>
  <c r="C37" i="8"/>
  <c r="C38" i="8"/>
  <c r="C39" i="8"/>
  <c r="C40" i="8"/>
  <c r="C41" i="8"/>
  <c r="C42" i="8"/>
  <c r="C43" i="8"/>
  <c r="C31" i="8"/>
  <c r="C32" i="8"/>
  <c r="C33" i="8"/>
  <c r="C34" i="8"/>
  <c r="C35" i="8"/>
  <c r="C36" i="8"/>
  <c r="C20" i="8"/>
  <c r="C21" i="8"/>
  <c r="C22" i="8"/>
  <c r="C23" i="8"/>
  <c r="C24" i="8"/>
  <c r="C25" i="8"/>
  <c r="C26" i="8"/>
  <c r="C27" i="8"/>
  <c r="C28" i="8"/>
  <c r="C29" i="8"/>
  <c r="C30" i="8"/>
  <c r="C6" i="8"/>
  <c r="C7" i="8"/>
  <c r="C8" i="8"/>
  <c r="C9" i="8"/>
  <c r="C10" i="8"/>
  <c r="C11" i="8"/>
  <c r="C12" i="8"/>
  <c r="C13" i="8"/>
  <c r="C14" i="8"/>
  <c r="C15" i="8"/>
  <c r="C16" i="8"/>
  <c r="C17" i="8"/>
  <c r="C18" i="8"/>
  <c r="C19" i="8"/>
  <c r="C5" i="8"/>
  <c r="C4" i="8"/>
  <c r="C3" i="8"/>
  <c r="E4" i="1"/>
  <c r="E5" i="1" s="1"/>
  <c r="E6" i="1" s="1"/>
  <c r="E7" i="1" s="1"/>
  <c r="E8" i="1" s="1"/>
  <c r="E9" i="1" s="1"/>
  <c r="E10" i="1" s="1"/>
  <c r="E11" i="1" s="1"/>
  <c r="E12" i="1" s="1"/>
  <c r="E13" i="1" s="1"/>
  <c r="E14" i="1" s="1"/>
  <c r="E15" i="1" s="1"/>
  <c r="E16" i="1" s="1"/>
  <c r="E17" i="1" s="1"/>
  <c r="E18" i="1" s="1"/>
  <c r="E19" i="1" s="1"/>
  <c r="E20" i="1" s="1"/>
  <c r="E21" i="1" s="1"/>
  <c r="E22" i="1" s="1"/>
  <c r="E23" i="1" s="1"/>
  <c r="E24" i="1" s="1"/>
  <c r="E25" i="1" s="1"/>
  <c r="E26" i="1" s="1"/>
  <c r="E27" i="1" s="1"/>
  <c r="E28" i="1" s="1"/>
  <c r="E29" i="1" s="1"/>
  <c r="E30" i="1" s="1"/>
  <c r="E31" i="1" s="1"/>
  <c r="E32" i="1" s="1"/>
  <c r="E33" i="1" s="1"/>
  <c r="E34" i="1" s="1"/>
  <c r="E35" i="1" s="1"/>
  <c r="E36" i="1" s="1"/>
  <c r="E37" i="1" s="1"/>
  <c r="E38" i="1" s="1"/>
  <c r="E39" i="1" s="1"/>
  <c r="E40" i="1" s="1"/>
  <c r="E41" i="1" s="1"/>
  <c r="E42" i="1" s="1"/>
  <c r="E43" i="1" s="1"/>
  <c r="E44" i="1" s="1"/>
  <c r="E45" i="1" s="1"/>
  <c r="E46" i="1" s="1"/>
  <c r="E47" i="1" s="1"/>
  <c r="E48" i="1" s="1"/>
  <c r="E49" i="1" s="1"/>
  <c r="E50" i="1" s="1"/>
  <c r="E51" i="1" s="1"/>
  <c r="E52" i="1" s="1"/>
  <c r="E53" i="1" s="1"/>
  <c r="D4" i="1"/>
  <c r="D5" i="1" s="1"/>
  <c r="D6" i="1" s="1"/>
  <c r="D7" i="1" s="1"/>
  <c r="D8" i="1" s="1"/>
  <c r="D9" i="1" s="1"/>
  <c r="D10" i="1" s="1"/>
  <c r="D11" i="1" s="1"/>
  <c r="D12" i="1" s="1"/>
  <c r="D13" i="1" s="1"/>
  <c r="D14" i="1" s="1"/>
  <c r="D15" i="1" s="1"/>
  <c r="D16" i="1" s="1"/>
  <c r="D17" i="1" s="1"/>
  <c r="D18" i="1" s="1"/>
  <c r="D19" i="1" s="1"/>
  <c r="D20" i="1" s="1"/>
  <c r="D21" i="1" s="1"/>
  <c r="D22" i="1" s="1"/>
  <c r="D23" i="1" s="1"/>
  <c r="D24" i="1" s="1"/>
  <c r="D25" i="1" s="1"/>
  <c r="D26" i="1" s="1"/>
  <c r="D27" i="1" s="1"/>
  <c r="D28" i="1" s="1"/>
  <c r="D29" i="1" s="1"/>
  <c r="D30" i="1" s="1"/>
  <c r="D31" i="1" s="1"/>
  <c r="D32" i="1" s="1"/>
  <c r="D33" i="1" s="1"/>
  <c r="D34" i="1" s="1"/>
  <c r="D35" i="1" s="1"/>
  <c r="D36" i="1" s="1"/>
  <c r="D37" i="1" s="1"/>
  <c r="D38" i="1" s="1"/>
  <c r="D39" i="1" s="1"/>
  <c r="D40" i="1" s="1"/>
  <c r="D41" i="1" s="1"/>
  <c r="D42" i="1" s="1"/>
  <c r="D43" i="1" s="1"/>
  <c r="D44" i="1" s="1"/>
  <c r="D45" i="1" s="1"/>
  <c r="D46" i="1" s="1"/>
  <c r="D47" i="1" s="1"/>
  <c r="D48" i="1" s="1"/>
  <c r="D49" i="1" s="1"/>
  <c r="D50" i="1" s="1"/>
  <c r="D51" i="1" s="1"/>
  <c r="D52" i="1" s="1"/>
  <c r="D53" i="1" s="1"/>
  <c r="V8" i="42" l="1"/>
  <c r="W8" i="42"/>
  <c r="X8" i="42"/>
  <c r="Y8" i="42"/>
  <c r="I38" i="42"/>
  <c r="G42" i="42"/>
  <c r="H42" i="42" s="1"/>
  <c r="G44" i="42"/>
  <c r="H44" i="42" s="1"/>
  <c r="G45" i="42"/>
  <c r="H45" i="42" s="1"/>
  <c r="G31" i="42"/>
  <c r="H31" i="42" s="1"/>
  <c r="I47" i="42"/>
  <c r="G32" i="42"/>
  <c r="H32" i="42" s="1"/>
  <c r="I48" i="42"/>
  <c r="I34" i="42"/>
  <c r="G51" i="42"/>
  <c r="H51" i="42" s="1"/>
  <c r="I37" i="42"/>
  <c r="I51" i="42"/>
  <c r="I31" i="42"/>
  <c r="G35" i="42"/>
  <c r="H35" i="42" s="1"/>
  <c r="G38" i="42"/>
  <c r="H38" i="42" s="1"/>
  <c r="I41" i="42"/>
  <c r="I44" i="42"/>
  <c r="G48" i="42"/>
  <c r="H48" i="42" s="1"/>
  <c r="G29" i="42"/>
  <c r="H29" i="42" s="1"/>
  <c r="I32" i="42"/>
  <c r="I35" i="42"/>
  <c r="G39" i="42"/>
  <c r="H39" i="42" s="1"/>
  <c r="G49" i="42"/>
  <c r="H49" i="42" s="1"/>
  <c r="G52" i="42"/>
  <c r="H52" i="42" s="1"/>
  <c r="G33" i="42"/>
  <c r="H33" i="42" s="1"/>
  <c r="G36" i="42"/>
  <c r="H36" i="42" s="1"/>
  <c r="I39" i="42"/>
  <c r="I42" i="42"/>
  <c r="I45" i="42"/>
  <c r="I52" i="42"/>
  <c r="I29" i="42"/>
  <c r="I36" i="42"/>
  <c r="G40" i="42"/>
  <c r="H40" i="42" s="1"/>
  <c r="G43" i="42"/>
  <c r="H43" i="42" s="1"/>
  <c r="G46" i="42"/>
  <c r="H46" i="42" s="1"/>
  <c r="I49" i="42"/>
  <c r="G53" i="42"/>
  <c r="H53" i="42" s="1"/>
  <c r="G30" i="42"/>
  <c r="H30" i="42" s="1"/>
  <c r="I33" i="42"/>
  <c r="G37" i="42"/>
  <c r="H37" i="42" s="1"/>
  <c r="I40" i="42"/>
  <c r="I46" i="42"/>
  <c r="G50" i="42"/>
  <c r="H50" i="42" s="1"/>
  <c r="I30" i="42"/>
  <c r="G34" i="42"/>
  <c r="H34" i="42" s="1"/>
  <c r="G41" i="42"/>
  <c r="H41" i="42" s="1"/>
  <c r="I43" i="42"/>
  <c r="G47" i="42"/>
  <c r="H47" i="42" s="1"/>
  <c r="I50" i="42"/>
  <c r="I53" i="42"/>
  <c r="G14" i="42"/>
  <c r="H14" i="42" s="1"/>
  <c r="I28" i="42"/>
  <c r="G28" i="42"/>
  <c r="H28" i="42" s="1"/>
  <c r="G6" i="42"/>
  <c r="H6" i="42" s="1"/>
  <c r="I18" i="42"/>
  <c r="I9" i="42"/>
  <c r="G13" i="42"/>
  <c r="H13" i="42" s="1"/>
  <c r="I16" i="42"/>
  <c r="G20" i="42"/>
  <c r="H20" i="42" s="1"/>
  <c r="G24" i="42"/>
  <c r="H24" i="42" s="1"/>
  <c r="G27" i="42"/>
  <c r="H27" i="42" s="1"/>
  <c r="G15" i="42"/>
  <c r="H15" i="42" s="1"/>
  <c r="G22" i="42"/>
  <c r="H22" i="42" s="1"/>
  <c r="G19" i="42"/>
  <c r="H19" i="42" s="1"/>
  <c r="I25" i="42"/>
  <c r="I15" i="42"/>
  <c r="G26" i="42"/>
  <c r="H26" i="42" s="1"/>
  <c r="I23" i="42"/>
  <c r="I13" i="42"/>
  <c r="G17" i="42"/>
  <c r="H17" i="42" s="1"/>
  <c r="I20" i="42"/>
  <c r="I27" i="42"/>
  <c r="I11" i="42"/>
  <c r="I22" i="42"/>
  <c r="G12" i="42"/>
  <c r="H12" i="42" s="1"/>
  <c r="G23" i="42"/>
  <c r="H23" i="42" s="1"/>
  <c r="G9" i="42"/>
  <c r="H9" i="42" s="1"/>
  <c r="I12" i="42"/>
  <c r="G16" i="42"/>
  <c r="H16" i="42" s="1"/>
  <c r="I19" i="42"/>
  <c r="I26" i="42"/>
  <c r="G10" i="42"/>
  <c r="H10" i="42" s="1"/>
  <c r="I10" i="42"/>
  <c r="I17" i="42"/>
  <c r="G21" i="42"/>
  <c r="H21" i="42" s="1"/>
  <c r="I24" i="42"/>
  <c r="G11" i="42"/>
  <c r="H11" i="42" s="1"/>
  <c r="I14" i="42"/>
  <c r="G18" i="42"/>
  <c r="H18" i="42" s="1"/>
  <c r="I21" i="42"/>
  <c r="G25" i="42"/>
  <c r="H25" i="42" s="1"/>
  <c r="I4" i="42"/>
  <c r="K4" i="42" s="1"/>
  <c r="I5" i="42"/>
  <c r="I6" i="42"/>
  <c r="I7" i="42"/>
  <c r="I8" i="42"/>
  <c r="G7" i="42"/>
  <c r="H7" i="42" s="1"/>
  <c r="G8" i="42"/>
  <c r="H8" i="42" s="1"/>
  <c r="O96" i="8"/>
  <c r="P60" i="8"/>
  <c r="P100" i="8"/>
  <c r="O85" i="8"/>
  <c r="P101" i="8"/>
  <c r="P18" i="8"/>
  <c r="P84" i="8"/>
  <c r="O19" i="8"/>
  <c r="O37" i="8"/>
  <c r="O55" i="8"/>
  <c r="O73" i="8"/>
  <c r="O91" i="8"/>
  <c r="P48" i="2"/>
  <c r="P7" i="8"/>
  <c r="P13" i="8"/>
  <c r="P19" i="8"/>
  <c r="Q19" i="8" s="1"/>
  <c r="P25" i="8"/>
  <c r="P31" i="8"/>
  <c r="P37" i="8"/>
  <c r="P43" i="8"/>
  <c r="P49" i="8"/>
  <c r="P55" i="8"/>
  <c r="P61" i="8"/>
  <c r="P67" i="8"/>
  <c r="Q67" i="8" s="1"/>
  <c r="P73" i="8"/>
  <c r="P79" i="8"/>
  <c r="P85" i="8"/>
  <c r="P91" i="8"/>
  <c r="P97" i="8"/>
  <c r="P42" i="8"/>
  <c r="O13" i="8"/>
  <c r="Q13" i="8" s="1"/>
  <c r="O31" i="8"/>
  <c r="O49" i="8"/>
  <c r="O67" i="8"/>
  <c r="O79" i="8"/>
  <c r="Q79" i="8" s="1"/>
  <c r="O97" i="8"/>
  <c r="O8" i="8"/>
  <c r="O14" i="8"/>
  <c r="O20" i="8"/>
  <c r="O26" i="8"/>
  <c r="O32" i="8"/>
  <c r="Q32" i="8" s="1"/>
  <c r="O38" i="8"/>
  <c r="O44" i="8"/>
  <c r="O50" i="8"/>
  <c r="O56" i="8"/>
  <c r="O62" i="8"/>
  <c r="O68" i="8"/>
  <c r="O74" i="8"/>
  <c r="O80" i="8"/>
  <c r="O86" i="8"/>
  <c r="O92" i="8"/>
  <c r="O98" i="8"/>
  <c r="P6" i="8"/>
  <c r="P72" i="8"/>
  <c r="P14" i="8"/>
  <c r="P32" i="8"/>
  <c r="P56" i="8"/>
  <c r="Q56" i="8" s="1"/>
  <c r="P80" i="8"/>
  <c r="P12" i="8"/>
  <c r="P78" i="8"/>
  <c r="P8" i="8"/>
  <c r="P38" i="8"/>
  <c r="Q38" i="8" s="1"/>
  <c r="P50" i="8"/>
  <c r="P68" i="8"/>
  <c r="P92" i="8"/>
  <c r="Q92" i="8" s="1"/>
  <c r="O3" i="8"/>
  <c r="O9" i="8"/>
  <c r="O15" i="8"/>
  <c r="O21" i="8"/>
  <c r="O27" i="8"/>
  <c r="O33" i="8"/>
  <c r="O39" i="8"/>
  <c r="Q39" i="8" s="1"/>
  <c r="O45" i="8"/>
  <c r="O51" i="8"/>
  <c r="O57" i="8"/>
  <c r="O63" i="8"/>
  <c r="O69" i="8"/>
  <c r="Q69" i="8" s="1"/>
  <c r="O75" i="8"/>
  <c r="O81" i="8"/>
  <c r="O87" i="8"/>
  <c r="O93" i="8"/>
  <c r="O99" i="8"/>
  <c r="P16" i="2"/>
  <c r="P40" i="2"/>
  <c r="N40" i="2"/>
  <c r="D40" i="2" s="1"/>
  <c r="F40" i="2" s="1"/>
  <c r="P48" i="8"/>
  <c r="P26" i="8"/>
  <c r="P44" i="8"/>
  <c r="P62" i="8"/>
  <c r="Q62" i="8" s="1"/>
  <c r="P74" i="8"/>
  <c r="Q74" i="8" s="1"/>
  <c r="P86" i="8"/>
  <c r="Q86" i="8" s="1"/>
  <c r="P98" i="8"/>
  <c r="P3" i="8"/>
  <c r="Q3" i="8" s="1"/>
  <c r="P9" i="8"/>
  <c r="P15" i="8"/>
  <c r="P21" i="8"/>
  <c r="P27" i="8"/>
  <c r="P33" i="8"/>
  <c r="Q33" i="8" s="1"/>
  <c r="P39" i="8"/>
  <c r="P45" i="8"/>
  <c r="P51" i="8"/>
  <c r="P57" i="8"/>
  <c r="Q57" i="8" s="1"/>
  <c r="P63" i="8"/>
  <c r="Q63" i="8" s="1"/>
  <c r="P69" i="8"/>
  <c r="P75" i="8"/>
  <c r="P81" i="8"/>
  <c r="P87" i="8"/>
  <c r="Q87" i="8" s="1"/>
  <c r="P93" i="8"/>
  <c r="P99" i="8"/>
  <c r="P54" i="8"/>
  <c r="O10" i="8"/>
  <c r="O34" i="8"/>
  <c r="O52" i="8"/>
  <c r="Q52" i="8" s="1"/>
  <c r="O70" i="8"/>
  <c r="Q70" i="8" s="1"/>
  <c r="O94" i="8"/>
  <c r="P36" i="8"/>
  <c r="O4" i="8"/>
  <c r="O22" i="8"/>
  <c r="O40" i="8"/>
  <c r="O46" i="8"/>
  <c r="Q46" i="8" s="1"/>
  <c r="O64" i="8"/>
  <c r="O76" i="8"/>
  <c r="O82" i="8"/>
  <c r="O88" i="8"/>
  <c r="O100" i="8"/>
  <c r="Q100" i="8" s="1"/>
  <c r="P4" i="8"/>
  <c r="Q4" i="8" s="1"/>
  <c r="P10" i="8"/>
  <c r="Q10" i="8" s="1"/>
  <c r="P16" i="8"/>
  <c r="P22" i="8"/>
  <c r="P28" i="8"/>
  <c r="P34" i="8"/>
  <c r="Q34" i="8" s="1"/>
  <c r="P40" i="8"/>
  <c r="P46" i="8"/>
  <c r="P52" i="8"/>
  <c r="P58" i="8"/>
  <c r="P64" i="8"/>
  <c r="P70" i="8"/>
  <c r="P76" i="8"/>
  <c r="P82" i="8"/>
  <c r="Q82" i="8" s="1"/>
  <c r="P88" i="8"/>
  <c r="P94" i="8"/>
  <c r="P30" i="8"/>
  <c r="P90" i="8"/>
  <c r="O16" i="8"/>
  <c r="Q16" i="8" s="1"/>
  <c r="O28" i="8"/>
  <c r="O58" i="8"/>
  <c r="Q58" i="8" s="1"/>
  <c r="O5" i="8"/>
  <c r="O11" i="8"/>
  <c r="O17" i="8"/>
  <c r="O23" i="8"/>
  <c r="Q23" i="8" s="1"/>
  <c r="O29" i="8"/>
  <c r="O35" i="8"/>
  <c r="O41" i="8"/>
  <c r="O47" i="8"/>
  <c r="O53" i="8"/>
  <c r="O59" i="8"/>
  <c r="O65" i="8"/>
  <c r="O71" i="8"/>
  <c r="Q71" i="8" s="1"/>
  <c r="O77" i="8"/>
  <c r="O83" i="8"/>
  <c r="O89" i="8"/>
  <c r="Q89" i="8" s="1"/>
  <c r="O95" i="8"/>
  <c r="Q95" i="8" s="1"/>
  <c r="O101" i="8"/>
  <c r="P8" i="2"/>
  <c r="P32" i="2"/>
  <c r="P66" i="8"/>
  <c r="P20" i="8"/>
  <c r="Q20" i="8" s="1"/>
  <c r="P5" i="8"/>
  <c r="Q5" i="8" s="1"/>
  <c r="P11" i="8"/>
  <c r="Q11" i="8" s="1"/>
  <c r="P17" i="8"/>
  <c r="P23" i="8"/>
  <c r="P29" i="8"/>
  <c r="Q29" i="8" s="1"/>
  <c r="P35" i="8"/>
  <c r="Q35" i="8" s="1"/>
  <c r="P41" i="8"/>
  <c r="Q41" i="8" s="1"/>
  <c r="P47" i="8"/>
  <c r="Q47" i="8" s="1"/>
  <c r="P53" i="8"/>
  <c r="P59" i="8"/>
  <c r="P65" i="8"/>
  <c r="Q65" i="8" s="1"/>
  <c r="P71" i="8"/>
  <c r="P77" i="8"/>
  <c r="Q77" i="8" s="1"/>
  <c r="P83" i="8"/>
  <c r="Q83" i="8" s="1"/>
  <c r="P89" i="8"/>
  <c r="P95" i="8"/>
  <c r="P24" i="8"/>
  <c r="P96" i="8"/>
  <c r="Q96" i="8" s="1"/>
  <c r="O6" i="8"/>
  <c r="Q6" i="8" s="1"/>
  <c r="O12" i="8"/>
  <c r="Q12" i="8" s="1"/>
  <c r="O18" i="8"/>
  <c r="O24" i="8"/>
  <c r="O30" i="8"/>
  <c r="Q30" i="8" s="1"/>
  <c r="O36" i="8"/>
  <c r="Q36" i="8" s="1"/>
  <c r="O42" i="8"/>
  <c r="Q42" i="8" s="1"/>
  <c r="O48" i="8"/>
  <c r="O54" i="8"/>
  <c r="Q54" i="8" s="1"/>
  <c r="O60" i="8"/>
  <c r="O66" i="8"/>
  <c r="Q66" i="8" s="1"/>
  <c r="O72" i="8"/>
  <c r="Q72" i="8" s="1"/>
  <c r="O78" i="8"/>
  <c r="Q78" i="8" s="1"/>
  <c r="O84" i="8"/>
  <c r="Q84" i="8" s="1"/>
  <c r="O90" i="8"/>
  <c r="O7" i="8"/>
  <c r="O25" i="8"/>
  <c r="O43" i="8"/>
  <c r="Q43" i="8" s="1"/>
  <c r="O61" i="8"/>
  <c r="P24" i="2"/>
  <c r="N48" i="2"/>
  <c r="D48" i="2" s="1"/>
  <c r="F48" i="2" s="1"/>
  <c r="O19" i="2"/>
  <c r="N41" i="2"/>
  <c r="D41" i="2" s="1"/>
  <c r="F41" i="2" s="1"/>
  <c r="O11" i="2"/>
  <c r="O4" i="2"/>
  <c r="M4" i="2" s="1"/>
  <c r="C4" i="2" s="1"/>
  <c r="E4" i="2" s="1"/>
  <c r="O20" i="2"/>
  <c r="O28" i="2"/>
  <c r="P25" i="2"/>
  <c r="O12" i="2"/>
  <c r="O27" i="2"/>
  <c r="O47" i="2"/>
  <c r="O39" i="2"/>
  <c r="O31" i="2"/>
  <c r="O23" i="2"/>
  <c r="O15" i="2"/>
  <c r="O7" i="2"/>
  <c r="P36" i="2"/>
  <c r="P7" i="2"/>
  <c r="P13" i="2"/>
  <c r="P21" i="2"/>
  <c r="P29" i="2"/>
  <c r="P37" i="2"/>
  <c r="P45" i="2"/>
  <c r="N37" i="2"/>
  <c r="D37" i="2" s="1"/>
  <c r="F37" i="2" s="1"/>
  <c r="N45" i="2"/>
  <c r="D45" i="2" s="1"/>
  <c r="F45" i="2" s="1"/>
  <c r="O46" i="2"/>
  <c r="O38" i="2"/>
  <c r="O30" i="2"/>
  <c r="O22" i="2"/>
  <c r="O14" i="2"/>
  <c r="O6" i="2"/>
  <c r="P33" i="2"/>
  <c r="P5" i="2"/>
  <c r="P6" i="2"/>
  <c r="P14" i="2"/>
  <c r="P22" i="2"/>
  <c r="P30" i="2"/>
  <c r="P38" i="2"/>
  <c r="P46" i="2"/>
  <c r="N38" i="2"/>
  <c r="D38" i="2" s="1"/>
  <c r="F38" i="2" s="1"/>
  <c r="N46" i="2"/>
  <c r="D46" i="2" s="1"/>
  <c r="F46" i="2" s="1"/>
  <c r="O45" i="2"/>
  <c r="O37" i="2"/>
  <c r="O29" i="2"/>
  <c r="O21" i="2"/>
  <c r="O13" i="2"/>
  <c r="O5" i="2"/>
  <c r="P31" i="2"/>
  <c r="N39" i="2"/>
  <c r="D39" i="2" s="1"/>
  <c r="F39" i="2" s="1"/>
  <c r="N47" i="2"/>
  <c r="D47" i="2" s="1"/>
  <c r="F47" i="2" s="1"/>
  <c r="O36" i="2"/>
  <c r="P23" i="2"/>
  <c r="N33" i="2"/>
  <c r="D33" i="2" s="1"/>
  <c r="F33" i="2" s="1"/>
  <c r="O42" i="2"/>
  <c r="O34" i="2"/>
  <c r="O26" i="2"/>
  <c r="O18" i="2"/>
  <c r="O10" i="2"/>
  <c r="P47" i="2"/>
  <c r="P17" i="2"/>
  <c r="P10" i="2"/>
  <c r="P18" i="2"/>
  <c r="P26" i="2"/>
  <c r="P34" i="2"/>
  <c r="P42" i="2"/>
  <c r="N34" i="2"/>
  <c r="D34" i="2" s="1"/>
  <c r="F34" i="2" s="1"/>
  <c r="N42" i="2"/>
  <c r="D42" i="2" s="1"/>
  <c r="F42" i="2" s="1"/>
  <c r="O44" i="2"/>
  <c r="M48" i="2"/>
  <c r="O35" i="2"/>
  <c r="O41" i="2"/>
  <c r="O33" i="2"/>
  <c r="O25" i="2"/>
  <c r="O17" i="2"/>
  <c r="O9" i="2"/>
  <c r="P41" i="2"/>
  <c r="P15" i="2"/>
  <c r="P11" i="2"/>
  <c r="P19" i="2"/>
  <c r="P27" i="2"/>
  <c r="P35" i="2"/>
  <c r="P43" i="2"/>
  <c r="N35" i="2"/>
  <c r="D35" i="2" s="1"/>
  <c r="F35" i="2" s="1"/>
  <c r="N43" i="2"/>
  <c r="D43" i="2" s="1"/>
  <c r="F43" i="2" s="1"/>
  <c r="O43" i="2"/>
  <c r="O48" i="2"/>
  <c r="O40" i="2"/>
  <c r="O32" i="2"/>
  <c r="O24" i="2"/>
  <c r="O16" i="2"/>
  <c r="O8" i="2"/>
  <c r="P39" i="2"/>
  <c r="P9" i="2"/>
  <c r="P4" i="2"/>
  <c r="N4" i="2" s="1"/>
  <c r="D4" i="2" s="1"/>
  <c r="F4" i="2" s="1"/>
  <c r="P12" i="2"/>
  <c r="P20" i="2"/>
  <c r="P28" i="2"/>
  <c r="P44" i="2"/>
  <c r="N36" i="2"/>
  <c r="D36" i="2" s="1"/>
  <c r="F36" i="2" s="1"/>
  <c r="N44" i="2"/>
  <c r="D44" i="2" s="1"/>
  <c r="F44" i="2" s="1"/>
  <c r="Q73" i="8"/>
  <c r="Q81" i="8"/>
  <c r="Q75" i="8"/>
  <c r="Q7" i="8"/>
  <c r="Q15" i="8"/>
  <c r="Q27" i="8"/>
  <c r="Q31" i="8"/>
  <c r="Q8" i="8"/>
  <c r="Q60" i="8"/>
  <c r="Q80" i="8"/>
  <c r="Q88" i="8"/>
  <c r="Q37" i="8"/>
  <c r="Q45" i="8"/>
  <c r="Q18" i="8"/>
  <c r="Q26" i="8"/>
  <c r="Q50" i="8"/>
  <c r="K5" i="42" l="1"/>
  <c r="K17" i="42"/>
  <c r="K27" i="42"/>
  <c r="K21" i="42"/>
  <c r="K24" i="42"/>
  <c r="K25" i="42"/>
  <c r="K13" i="42"/>
  <c r="K28" i="42"/>
  <c r="K16" i="42"/>
  <c r="K23" i="42"/>
  <c r="K20" i="42"/>
  <c r="K19" i="42"/>
  <c r="K22" i="42"/>
  <c r="K15" i="42"/>
  <c r="K18" i="42"/>
  <c r="K14" i="42"/>
  <c r="K7" i="42"/>
  <c r="K6" i="42"/>
  <c r="K11" i="42"/>
  <c r="K12" i="42"/>
  <c r="K8" i="42"/>
  <c r="K10" i="42"/>
  <c r="K26" i="42"/>
  <c r="K9" i="42"/>
  <c r="C3" i="33"/>
  <c r="C2" i="33"/>
  <c r="Q53" i="8"/>
  <c r="Q90" i="8"/>
  <c r="Q93" i="8"/>
  <c r="Q99" i="8"/>
  <c r="Q55" i="8"/>
  <c r="Q14" i="8"/>
  <c r="Q64" i="8"/>
  <c r="Q94" i="8"/>
  <c r="Q44" i="8"/>
  <c r="Q98" i="8"/>
  <c r="Q48" i="8"/>
  <c r="Q40" i="8"/>
  <c r="Q68" i="8"/>
  <c r="Q61" i="8"/>
  <c r="Q28" i="8"/>
  <c r="Q22" i="8"/>
  <c r="Q9" i="8"/>
  <c r="Q59" i="8"/>
  <c r="Q21" i="8"/>
  <c r="Q97" i="8"/>
  <c r="Q91" i="8"/>
  <c r="Q85" i="8"/>
  <c r="Q17" i="8"/>
  <c r="Q76" i="8"/>
  <c r="Q51" i="8"/>
  <c r="Q24" i="8"/>
  <c r="Q101" i="8"/>
  <c r="T3" i="8"/>
  <c r="D3" i="8" s="1"/>
  <c r="Q49" i="8"/>
  <c r="Q25" i="8"/>
  <c r="M5" i="2"/>
  <c r="M6" i="2" s="1"/>
  <c r="M7" i="2" s="1"/>
  <c r="M8" i="2" s="1"/>
  <c r="N5" i="2"/>
  <c r="T9" i="8"/>
  <c r="D37" i="8" s="1"/>
  <c r="T10" i="8"/>
  <c r="T5" i="8"/>
  <c r="T4" i="8"/>
  <c r="T11" i="8"/>
  <c r="T7" i="8"/>
  <c r="T6" i="8"/>
  <c r="T8" i="8"/>
  <c r="C6" i="2" l="1"/>
  <c r="E6" i="2" s="1"/>
  <c r="C5" i="2"/>
  <c r="E5" i="2" s="1"/>
  <c r="N6" i="2"/>
  <c r="D5" i="2"/>
  <c r="F5" i="2" s="1"/>
  <c r="M9" i="2"/>
  <c r="M10" i="2" s="1"/>
  <c r="M11" i="2" s="1"/>
  <c r="M12" i="2" s="1"/>
  <c r="M13" i="2" s="1"/>
  <c r="M14" i="2" s="1"/>
  <c r="M15" i="2" s="1"/>
  <c r="M16" i="2" s="1"/>
  <c r="M17" i="2" s="1"/>
  <c r="M18" i="2" s="1"/>
  <c r="M19" i="2" s="1"/>
  <c r="M20" i="2" s="1"/>
  <c r="M21" i="2" s="1"/>
  <c r="M22" i="2" s="1"/>
  <c r="M23" i="2" s="1"/>
  <c r="M24" i="2" s="1"/>
  <c r="M25" i="2" s="1"/>
  <c r="M26" i="2" s="1"/>
  <c r="M27" i="2" s="1"/>
  <c r="M28" i="2" s="1"/>
  <c r="M29" i="2" s="1"/>
  <c r="M30" i="2" s="1"/>
  <c r="M31" i="2" s="1"/>
  <c r="M32" i="2" s="1"/>
  <c r="M33" i="2" s="1"/>
  <c r="M34" i="2" s="1"/>
  <c r="M35" i="2" s="1"/>
  <c r="M36" i="2" s="1"/>
  <c r="M37" i="2" s="1"/>
  <c r="M38" i="2" s="1"/>
  <c r="M39" i="2" s="1"/>
  <c r="M40" i="2" s="1"/>
  <c r="M41" i="2" s="1"/>
  <c r="M42" i="2" s="1"/>
  <c r="M43" i="2" s="1"/>
  <c r="M44" i="2" s="1"/>
  <c r="M45" i="2" s="1"/>
  <c r="M46" i="2" s="1"/>
  <c r="M47" i="2" s="1"/>
  <c r="C7" i="2"/>
  <c r="E7" i="2" s="1"/>
  <c r="D70" i="8"/>
  <c r="D71" i="8"/>
  <c r="D75" i="8"/>
  <c r="D74" i="8"/>
  <c r="D78" i="8"/>
  <c r="D76" i="8"/>
  <c r="D72" i="8"/>
  <c r="D77" i="8"/>
  <c r="D73" i="8"/>
  <c r="D69" i="8"/>
  <c r="D57" i="8"/>
  <c r="D61" i="8"/>
  <c r="D68" i="8"/>
  <c r="D60" i="8"/>
  <c r="D66" i="8"/>
  <c r="D64" i="8"/>
  <c r="D62" i="8"/>
  <c r="D56" i="8"/>
  <c r="D58" i="8"/>
  <c r="D67" i="8"/>
  <c r="D63" i="8"/>
  <c r="D65" i="8"/>
  <c r="D59" i="8"/>
  <c r="D55" i="8"/>
  <c r="D51" i="8"/>
  <c r="D54" i="8"/>
  <c r="D49" i="8"/>
  <c r="D50" i="8"/>
  <c r="D52" i="8"/>
  <c r="D53" i="8"/>
  <c r="D33" i="8"/>
  <c r="D34" i="8"/>
  <c r="D35" i="8"/>
  <c r="D36" i="8"/>
  <c r="D48" i="8"/>
  <c r="D47" i="8"/>
  <c r="D46" i="8"/>
  <c r="D45" i="8"/>
  <c r="D44" i="8"/>
  <c r="D43" i="8"/>
  <c r="D8" i="8"/>
  <c r="D12" i="8"/>
  <c r="D11" i="8"/>
  <c r="D10" i="8"/>
  <c r="D9" i="8"/>
  <c r="D32" i="8"/>
  <c r="D31" i="8"/>
  <c r="D30" i="8"/>
  <c r="D29" i="8"/>
  <c r="D28" i="8"/>
  <c r="D40" i="8"/>
  <c r="D39" i="8"/>
  <c r="D38" i="8"/>
  <c r="D42" i="8"/>
  <c r="D41" i="8"/>
  <c r="D7" i="8"/>
  <c r="D6" i="8"/>
  <c r="D5" i="8"/>
  <c r="D4" i="8"/>
  <c r="E4" i="8" s="1"/>
  <c r="D22" i="8"/>
  <c r="D21" i="8"/>
  <c r="D20" i="8"/>
  <c r="D19" i="8"/>
  <c r="D18" i="8"/>
  <c r="D16" i="8"/>
  <c r="D15" i="8"/>
  <c r="D14" i="8"/>
  <c r="D13" i="8"/>
  <c r="D17" i="8"/>
  <c r="D24" i="8"/>
  <c r="D23" i="8"/>
  <c r="D27" i="8"/>
  <c r="D26" i="8"/>
  <c r="D25" i="8"/>
  <c r="D3" i="33" l="1"/>
  <c r="D2" i="33"/>
  <c r="F2" i="33"/>
  <c r="E2" i="33"/>
  <c r="N7" i="2"/>
  <c r="D6" i="2"/>
  <c r="F6" i="2" s="1"/>
  <c r="C8" i="2"/>
  <c r="E8" i="2" s="1"/>
  <c r="E5" i="8"/>
  <c r="E3" i="33" l="1"/>
  <c r="G2" i="33"/>
  <c r="N8" i="2"/>
  <c r="D7" i="2"/>
  <c r="F7" i="2" s="1"/>
  <c r="C9" i="2"/>
  <c r="E9" i="2" s="1"/>
  <c r="E6" i="8"/>
  <c r="E7" i="8" s="1"/>
  <c r="H2" i="33" l="1"/>
  <c r="F3" i="33"/>
  <c r="N9" i="2"/>
  <c r="D8" i="2"/>
  <c r="F8" i="2" s="1"/>
  <c r="C10" i="2"/>
  <c r="E10" i="2" s="1"/>
  <c r="E8" i="8"/>
  <c r="E9" i="8" s="1"/>
  <c r="I2" i="33" l="1"/>
  <c r="G3" i="33"/>
  <c r="N10" i="2"/>
  <c r="D9" i="2"/>
  <c r="F9" i="2" s="1"/>
  <c r="C11" i="2"/>
  <c r="E11" i="2" s="1"/>
  <c r="E10" i="8"/>
  <c r="E11" i="8" s="1"/>
  <c r="J2" i="33" l="1"/>
  <c r="H3" i="33"/>
  <c r="N11" i="2"/>
  <c r="D10" i="2"/>
  <c r="F10" i="2" s="1"/>
  <c r="I3" i="33" s="1"/>
  <c r="C12" i="2"/>
  <c r="E12" i="2" s="1"/>
  <c r="E12" i="8"/>
  <c r="N12" i="2" l="1"/>
  <c r="D11" i="2"/>
  <c r="F11" i="2" s="1"/>
  <c r="C13" i="2"/>
  <c r="E13" i="2" s="1"/>
  <c r="E13" i="8"/>
  <c r="N13" i="2" l="1"/>
  <c r="D12" i="2"/>
  <c r="F12" i="2" s="1"/>
  <c r="C14" i="2"/>
  <c r="E14" i="2" s="1"/>
  <c r="E14" i="8"/>
  <c r="N14" i="2" l="1"/>
  <c r="D13" i="2"/>
  <c r="F13" i="2" s="1"/>
  <c r="C15" i="2"/>
  <c r="E15" i="2" s="1"/>
  <c r="E15" i="8"/>
  <c r="E16" i="8" s="1"/>
  <c r="N15" i="2" l="1"/>
  <c r="D14" i="2"/>
  <c r="F14" i="2" s="1"/>
  <c r="C16" i="2"/>
  <c r="E16" i="2" s="1"/>
  <c r="E17" i="8"/>
  <c r="E18" i="8" s="1"/>
  <c r="N16" i="2" l="1"/>
  <c r="D15" i="2"/>
  <c r="F15" i="2" s="1"/>
  <c r="C17" i="2"/>
  <c r="E17" i="2" s="1"/>
  <c r="E19" i="8"/>
  <c r="N17" i="2" l="1"/>
  <c r="D16" i="2"/>
  <c r="F16" i="2" s="1"/>
  <c r="C18" i="2"/>
  <c r="E18" i="2" s="1"/>
  <c r="E20" i="8"/>
  <c r="N18" i="2" l="1"/>
  <c r="D17" i="2"/>
  <c r="F17" i="2" s="1"/>
  <c r="C19" i="2"/>
  <c r="E19" i="2" s="1"/>
  <c r="E21" i="8"/>
  <c r="N19" i="2" l="1"/>
  <c r="D18" i="2"/>
  <c r="F18" i="2" s="1"/>
  <c r="C20" i="2"/>
  <c r="E20" i="2" s="1"/>
  <c r="E22" i="8"/>
  <c r="E23" i="8" s="1"/>
  <c r="N20" i="2" l="1"/>
  <c r="D19" i="2"/>
  <c r="F19" i="2" s="1"/>
  <c r="C21" i="2"/>
  <c r="E21" i="2" s="1"/>
  <c r="E24" i="8"/>
  <c r="E25" i="8" s="1"/>
  <c r="N21" i="2" l="1"/>
  <c r="D20" i="2"/>
  <c r="F20" i="2" s="1"/>
  <c r="C22" i="2"/>
  <c r="E22" i="2" s="1"/>
  <c r="E26" i="8"/>
  <c r="N22" i="2" l="1"/>
  <c r="D21" i="2"/>
  <c r="F21" i="2" s="1"/>
  <c r="C23" i="2"/>
  <c r="E23" i="2" s="1"/>
  <c r="E27" i="8"/>
  <c r="E28" i="8" s="1"/>
  <c r="N23" i="2" l="1"/>
  <c r="D22" i="2"/>
  <c r="F22" i="2" s="1"/>
  <c r="C24" i="2"/>
  <c r="E24" i="2" s="1"/>
  <c r="E29" i="8"/>
  <c r="E30" i="8" s="1"/>
  <c r="N24" i="2" l="1"/>
  <c r="D23" i="2"/>
  <c r="F23" i="2" s="1"/>
  <c r="C25" i="2"/>
  <c r="E25" i="2" s="1"/>
  <c r="E31" i="8"/>
  <c r="E32" i="8" s="1"/>
  <c r="E33" i="8" s="1"/>
  <c r="N25" i="2" l="1"/>
  <c r="D24" i="2"/>
  <c r="F24" i="2" s="1"/>
  <c r="C26" i="2"/>
  <c r="E26" i="2" s="1"/>
  <c r="E34" i="8"/>
  <c r="E35" i="8" s="1"/>
  <c r="N26" i="2" l="1"/>
  <c r="D25" i="2"/>
  <c r="F25" i="2" s="1"/>
  <c r="C27" i="2"/>
  <c r="E27" i="2" s="1"/>
  <c r="E36" i="8"/>
  <c r="N27" i="2" l="1"/>
  <c r="D26" i="2"/>
  <c r="F26" i="2" s="1"/>
  <c r="C28" i="2"/>
  <c r="E28" i="2" s="1"/>
  <c r="E37" i="8"/>
  <c r="N28" i="2" l="1"/>
  <c r="D27" i="2"/>
  <c r="F27" i="2" s="1"/>
  <c r="C29" i="2"/>
  <c r="E29" i="2" s="1"/>
  <c r="E38" i="8"/>
  <c r="N29" i="2" l="1"/>
  <c r="D28" i="2"/>
  <c r="F28" i="2" s="1"/>
  <c r="C30" i="2"/>
  <c r="E30" i="2" s="1"/>
  <c r="E39" i="8"/>
  <c r="N30" i="2" l="1"/>
  <c r="D29" i="2"/>
  <c r="F29" i="2" s="1"/>
  <c r="C31" i="2"/>
  <c r="E31" i="2" s="1"/>
  <c r="E40" i="8"/>
  <c r="N31" i="2" l="1"/>
  <c r="D30" i="2"/>
  <c r="F30" i="2" s="1"/>
  <c r="C32" i="2"/>
  <c r="E32" i="2" s="1"/>
  <c r="E41" i="8"/>
  <c r="N32" i="2" l="1"/>
  <c r="D32" i="2" s="1"/>
  <c r="F32" i="2" s="1"/>
  <c r="D31" i="2"/>
  <c r="F31" i="2" s="1"/>
  <c r="C33" i="2"/>
  <c r="E33" i="2" s="1"/>
  <c r="E42" i="8"/>
  <c r="L3" i="33" l="1"/>
  <c r="AT3" i="33"/>
  <c r="AX3" i="33"/>
  <c r="AN3" i="33"/>
  <c r="AR3" i="33"/>
  <c r="W3" i="33"/>
  <c r="AW3" i="33"/>
  <c r="AA3" i="33"/>
  <c r="Z3" i="33"/>
  <c r="Y3" i="33"/>
  <c r="N3" i="33"/>
  <c r="AZ3" i="33"/>
  <c r="AI3" i="33"/>
  <c r="AS3" i="33"/>
  <c r="AM3" i="33"/>
  <c r="AV3" i="33"/>
  <c r="AU3" i="33"/>
  <c r="AD3" i="33"/>
  <c r="AO3" i="33"/>
  <c r="U3" i="33"/>
  <c r="AP3" i="33"/>
  <c r="J3" i="33"/>
  <c r="V3" i="33"/>
  <c r="AF3" i="33"/>
  <c r="X3" i="33"/>
  <c r="K3" i="33"/>
  <c r="C3" i="30" a="1"/>
  <c r="C3" i="30" s="1"/>
  <c r="AE3" i="33"/>
  <c r="T3" i="33"/>
  <c r="AH3" i="33"/>
  <c r="R3" i="33"/>
  <c r="AB3" i="33"/>
  <c r="AQ3" i="33"/>
  <c r="Q3" i="33"/>
  <c r="AL3" i="33"/>
  <c r="O3" i="33"/>
  <c r="P3" i="33"/>
  <c r="AG3" i="33"/>
  <c r="S3" i="33"/>
  <c r="M3" i="33"/>
  <c r="AK3" i="33"/>
  <c r="AY3" i="33"/>
  <c r="AJ3" i="33"/>
  <c r="AC3" i="33"/>
  <c r="C34" i="2"/>
  <c r="E34" i="2" s="1"/>
  <c r="E43" i="8"/>
  <c r="C35" i="2" l="1"/>
  <c r="E35" i="2" s="1"/>
  <c r="E44" i="8"/>
  <c r="C36" i="2" l="1"/>
  <c r="E36" i="2" s="1"/>
  <c r="E45" i="8"/>
  <c r="C37" i="2" l="1"/>
  <c r="E37" i="2" s="1"/>
  <c r="E46" i="8"/>
  <c r="E47" i="8" s="1"/>
  <c r="C38" i="2" l="1"/>
  <c r="E38" i="2" s="1"/>
  <c r="C39" i="2" l="1"/>
  <c r="E39" i="2" s="1"/>
  <c r="C40" i="2" l="1"/>
  <c r="E40" i="2" s="1"/>
  <c r="C41" i="2" l="1"/>
  <c r="E41" i="2" s="1"/>
  <c r="C42" i="2" l="1"/>
  <c r="E42" i="2" s="1"/>
  <c r="C43" i="2" l="1"/>
  <c r="E43" i="2" s="1"/>
  <c r="C44" i="2" l="1"/>
  <c r="E44" i="2" s="1"/>
  <c r="C45" i="2" l="1"/>
  <c r="E45" i="2" s="1"/>
  <c r="C46" i="2" l="1"/>
  <c r="E46" i="2" s="1"/>
  <c r="C47" i="2" l="1"/>
  <c r="E47" i="2" s="1"/>
  <c r="C48" i="2" l="1"/>
  <c r="E48" i="2" s="1"/>
  <c r="Y2" i="33" l="1"/>
  <c r="AI2" i="33"/>
  <c r="AC2" i="33"/>
  <c r="AF2" i="33"/>
  <c r="T2" i="33"/>
  <c r="AK2" i="33"/>
  <c r="L2" i="33"/>
  <c r="AD2" i="33"/>
  <c r="S2" i="33"/>
  <c r="O2" i="33"/>
  <c r="AV2" i="33"/>
  <c r="U2" i="33"/>
  <c r="X2" i="33"/>
  <c r="AS2" i="33"/>
  <c r="AU2" i="33"/>
  <c r="AR2" i="33"/>
  <c r="N2" i="33"/>
  <c r="K2" i="33"/>
  <c r="V2" i="33"/>
  <c r="R2" i="33"/>
  <c r="AB2" i="33"/>
  <c r="P2" i="33"/>
  <c r="AL2" i="33"/>
  <c r="Z2" i="33"/>
  <c r="AJ2" i="33"/>
  <c r="AW2" i="33"/>
  <c r="Q2" i="33"/>
  <c r="M2" i="33"/>
  <c r="AX2" i="33"/>
  <c r="AZ2" i="33"/>
  <c r="AG2" i="33"/>
  <c r="C2" i="30" a="1"/>
  <c r="C2" i="30" s="1"/>
  <c r="AO2" i="33"/>
  <c r="AN2" i="33"/>
  <c r="AM2" i="33"/>
  <c r="AQ2" i="33"/>
  <c r="AA2" i="33"/>
  <c r="W2" i="33"/>
  <c r="AH2" i="33"/>
  <c r="AP2" i="33"/>
  <c r="AE2" i="33"/>
  <c r="AT2" i="33"/>
  <c r="AY2"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<sst xmlns="http://schemas.openxmlformats.org/spreadsheetml/2006/main" count="2207" uniqueCount="211">
  <si>
    <t>N</t>
  </si>
  <si>
    <t>Year</t>
  </si>
  <si>
    <t>AgeP1</t>
  </si>
  <si>
    <t>AgeP2</t>
  </si>
  <si>
    <t>LoopStatus</t>
  </si>
  <si>
    <t>SalaryP1</t>
  </si>
  <si>
    <t>SalaryP2</t>
  </si>
  <si>
    <t>GrossMonthlySalaryP1</t>
  </si>
  <si>
    <t>GrossMonthlySalaryP2</t>
  </si>
  <si>
    <t>Status på arbejdsmarkedet/ Beskæftigelse og jobskifte/ Antal lønmodtagere efter bopæl</t>
  </si>
  <si>
    <t>Hele landet</t>
  </si>
  <si>
    <t>Herkomst i alt</t>
  </si>
  <si>
    <t>Køn i alt</t>
  </si>
  <si>
    <t>Finansiering og forsikring</t>
  </si>
  <si>
    <t>Antal fuldtidsbeskæftigede lønmodtagere efter bopæl</t>
  </si>
  <si>
    <t>2008</t>
  </si>
  <si>
    <t>25-29 år</t>
  </si>
  <si>
    <t>30-34 år</t>
  </si>
  <si>
    <t>35-39 år</t>
  </si>
  <si>
    <t>40-44 år</t>
  </si>
  <si>
    <t>45-49 år</t>
  </si>
  <si>
    <t>50-54 år</t>
  </si>
  <si>
    <t>55-59 år</t>
  </si>
  <si>
    <t>60-64 år</t>
  </si>
  <si>
    <t>65+ år</t>
  </si>
  <si>
    <t>2009</t>
  </si>
  <si>
    <t>2010</t>
  </si>
  <si>
    <t>2011</t>
  </si>
  <si>
    <t>2012</t>
  </si>
  <si>
    <t>2013</t>
  </si>
  <si>
    <t>2014</t>
  </si>
  <si>
    <t>2015</t>
  </si>
  <si>
    <t>2016</t>
  </si>
  <si>
    <t>2017</t>
  </si>
  <si>
    <t>2018</t>
  </si>
  <si>
    <t>2019</t>
  </si>
  <si>
    <t>2020</t>
  </si>
  <si>
    <t>2021</t>
  </si>
  <si>
    <t>2022</t>
  </si>
  <si>
    <t>2023</t>
  </si>
  <si>
    <t>2024</t>
  </si>
  <si>
    <t>Kilde: CPR-registeret, CVR-registeret og DetailCOR</t>
  </si>
  <si>
    <t>Anm.: Pga. efterregistreringer kan tallene for især den seneste periode stige ved næste opdatering.</t>
  </si>
  <si>
    <t>Status på arbejdsmarkedet/ Beskæftigelse og jobskifte/ Antal personer der har skiftet eller startet i nyt job (jobomsætning)</t>
  </si>
  <si>
    <t>Privat sektor</t>
  </si>
  <si>
    <t>Jobomsætning</t>
  </si>
  <si>
    <t>65-69 år</t>
  </si>
  <si>
    <t>Sheet Colors</t>
  </si>
  <si>
    <t>&lt;-- If we download a report from a source, ex: Djøf, we will store it here and will not directly edit it</t>
  </si>
  <si>
    <t>Table Colors</t>
  </si>
  <si>
    <t>Uploaded to Python</t>
  </si>
  <si>
    <t>Raw Report</t>
  </si>
  <si>
    <t>Calculation</t>
  </si>
  <si>
    <t>Not Uploaded to Python</t>
  </si>
  <si>
    <t>Age</t>
  </si>
  <si>
    <t>Age Group</t>
  </si>
  <si>
    <t>Finance Workers</t>
  </si>
  <si>
    <t>Finance Hoppers</t>
  </si>
  <si>
    <t>FH/FW</t>
  </si>
  <si>
    <t>FH/FV</t>
  </si>
  <si>
    <t>Raw Report with Key</t>
  </si>
  <si>
    <t>&lt;-- Raw Report but a column has been added for lookups</t>
  </si>
  <si>
    <t>SwitchP1</t>
  </si>
  <si>
    <t>SwitchP2</t>
  </si>
  <si>
    <t>Y</t>
  </si>
  <si>
    <t>SwitchP1Static</t>
  </si>
  <si>
    <t>SwitchP2Static</t>
  </si>
  <si>
    <t>Switch</t>
  </si>
  <si>
    <t>Inflation</t>
  </si>
  <si>
    <t>Salary Raise</t>
  </si>
  <si>
    <t>Job Hopping "Bonus"</t>
  </si>
  <si>
    <t>Real Salary Raise</t>
  </si>
  <si>
    <t>Value Ratio</t>
  </si>
  <si>
    <t>Funding Requirement</t>
  </si>
  <si>
    <t>Time Horizon</t>
  </si>
  <si>
    <t>GOAL A</t>
  </si>
  <si>
    <t>GOAL B</t>
  </si>
  <si>
    <t>GOAL C</t>
  </si>
  <si>
    <t>GOAL D</t>
  </si>
  <si>
    <t>Goal Info</t>
  </si>
  <si>
    <t>P2</t>
  </si>
  <si>
    <t>P1</t>
  </si>
  <si>
    <t>% of salary dedicated to investments</t>
  </si>
  <si>
    <t>InvestmentP1</t>
  </si>
  <si>
    <t>InvestmentP2</t>
  </si>
  <si>
    <t>Excel side:</t>
  </si>
  <si>
    <t>Goal calculation</t>
  </si>
  <si>
    <t>Investment income calculation</t>
  </si>
  <si>
    <t>Returns input with samsseewfwfuweerhugf for long term, and simulation for short term</t>
  </si>
  <si>
    <t>Python side:</t>
  </si>
  <si>
    <t>Question for Johan:</t>
  </si>
  <si>
    <t>Vasicek ready, what do we use bond simulation for? How does it correlate to bond ETF</t>
  </si>
  <si>
    <t>For retirement goal: Calculate what the amount needed is and also research from denmark statistik what is the median returns by retirement age.</t>
  </si>
  <si>
    <t>From last meeting Johan mentioned you can put the tax money back into the account???? What does this mean I am not sure: Saxo bank shows this below which might explain</t>
  </si>
  <si>
    <t>Update: I KNOW WHAT HE MEANT AHAHAHA IM A GENIOUS!!!! So basically it means that (from what I understand) the 17% tax deducts from your available input amount, allowing to deposit more into the account.</t>
  </si>
  <si>
    <t>Here</t>
  </si>
  <si>
    <t>ZC Bond</t>
  </si>
  <si>
    <t>SP</t>
  </si>
  <si>
    <t>Return</t>
  </si>
  <si>
    <t>Vol</t>
  </si>
  <si>
    <t>Use value simulated for each year or the average</t>
  </si>
  <si>
    <t>Split each goal into a per year goal, so achieve a % of the total goal in that year, and then the model would actually work as is</t>
  </si>
  <si>
    <t>Goal: House</t>
  </si>
  <si>
    <t>in 10 years</t>
  </si>
  <si>
    <t>Total</t>
  </si>
  <si>
    <t>Task for the master file</t>
  </si>
  <si>
    <t>Emerging Markets - Equities</t>
  </si>
  <si>
    <t>Developed Markets - Equities</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</si>
  <si>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</si>
  <si>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</si>
  <si>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</si>
  <si>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</si>
  <si>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</si>
  <si>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</si>
  <si>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</si>
  <si>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</si>
  <si>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</si>
  <si>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</si>
  <si>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</si>
  <si>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</si>
  <si>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</si>
  <si>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</si>
  <si>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</si>
  <si>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</si>
  <si>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</si>
  <si>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</si>
  <si>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</si>
  <si>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</si>
  <si>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</si>
  <si>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</si>
  <si>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</si>
  <si>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</si>
  <si>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</si>
  <si>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</si>
  <si>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</si>
  <si>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</si>
  <si>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</si>
  <si>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</si>
  <si>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</si>
  <si>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</si>
  <si>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</si>
  <si>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</si>
  <si>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</si>
  <si>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</si>
  <si>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</si>
  <si>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</si>
  <si>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</si>
  <si>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</si>
  <si>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</si>
  <si>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</si>
  <si>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</si>
  <si>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</si>
  <si>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</si>
  <si>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</si>
  <si>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</si>
  <si>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</si>
  <si>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</si>
  <si>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</si>
  <si>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Government ZC Bonds - Obligations</t>
  </si>
  <si>
    <t>Investment Grade Bonds - Obligations</t>
  </si>
  <si>
    <t>High Yield Bonds - Obligations</t>
  </si>
  <si>
    <t>Emerging Markets State - Obligations</t>
  </si>
  <si>
    <t>volatility</t>
  </si>
  <si>
    <t>A</t>
  </si>
  <si>
    <t>B</t>
  </si>
  <si>
    <t>C</t>
  </si>
  <si>
    <t>D</t>
  </si>
  <si>
    <t>2075</t>
  </si>
  <si>
    <t>Asset</t>
  </si>
  <si>
    <t>Cost (Basis Point)</t>
  </si>
  <si>
    <t>Link</t>
  </si>
  <si>
    <t>Equities</t>
  </si>
  <si>
    <t>Obligations</t>
  </si>
  <si>
    <t>Account</t>
  </si>
  <si>
    <t>Invested</t>
  </si>
  <si>
    <t>Gross Gain</t>
  </si>
  <si>
    <t>Tax</t>
  </si>
  <si>
    <t>Net Gain</t>
  </si>
  <si>
    <t>End Value</t>
  </si>
  <si>
    <t>ASK</t>
  </si>
  <si>
    <t>NORMAL</t>
  </si>
  <si>
    <t>Row Labels</t>
  </si>
  <si>
    <t>Grand Total</t>
  </si>
  <si>
    <t>Weight</t>
  </si>
  <si>
    <t>(blank)</t>
  </si>
  <si>
    <t>FinalWealth</t>
  </si>
  <si>
    <t>Salary</t>
  </si>
  <si>
    <t>Diff End</t>
  </si>
  <si>
    <t>End Values</t>
  </si>
  <si>
    <t>Invested Amt</t>
  </si>
  <si>
    <t>Invested Amt Calculated</t>
  </si>
  <si>
    <t>Invested Amt DIFF</t>
  </si>
  <si>
    <t>Sum of Weight</t>
  </si>
  <si>
    <t>https://skat.dk/borger/aktier-og-andre-vaerdipapirer/aktiesparekonto?</t>
  </si>
  <si>
    <t>median:</t>
  </si>
  <si>
    <t>Max cap</t>
  </si>
  <si>
    <t>Change (%)</t>
  </si>
  <si>
    <t>Sum of Invested</t>
  </si>
  <si>
    <t>Column Labels</t>
  </si>
  <si>
    <t>TOTAL ASK Cap (DKK)</t>
  </si>
  <si>
    <t>Goal A Allocation (%)</t>
  </si>
  <si>
    <t>Goal A Amount Taken (DKK)</t>
  </si>
  <si>
    <t>Goal B Allocation (%)</t>
  </si>
  <si>
    <t>Goal B Amount Taken (DKK)</t>
  </si>
  <si>
    <t>Goal C Allocation (%)</t>
  </si>
  <si>
    <t>Goal C Amount Taken (DKK)</t>
  </si>
  <si>
    <t>Goal D Allocation (%)</t>
  </si>
  <si>
    <t>Goal D Amount Taken (DKK)</t>
  </si>
  <si>
    <t>Goals</t>
  </si>
  <si>
    <t>Amt</t>
  </si>
  <si>
    <t>without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</si>
</sst>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0.000"/>
    <numFmt numFmtId="166" formatCode="0.00000"/>
    <numFmt numFmtId="167" formatCode="0.000000"/>
  </numFmts>
  <fonts count="10" x14ac:knownFonts="1">
    <font>
      <sz val="11"/>
      <color theme="1"/>
      <name val="Aptos Narrow"/>
      <family val="2"/>
      <scheme val="minor"/>
    </font>
    <font>
      <sz val="11"/>
      <color theme="1"/>
      <name val="Aptos Narrow"/>
      <family val="2"/>
      <scheme val="minor"/>
    </font>
    <font>
      <b/>
      <sz val="11"/>
      <color theme="0"/>
      <name val="Aptos Narrow"/>
      <family val="2"/>
      <scheme val="minor"/>
    </font>
    <font>
      <b/>
      <sz val="18"/>
      <name val="Calibri"/>
      <family val="2"/>
    </font>
    <font>
      <b/>
      <u/>
      <sz val="18"/>
      <color theme="1"/>
      <name val="Aptos Narrow"/>
      <family val="2"/>
      <scheme val="minor"/>
    </font>
    <font>
      <sz val="11"/>
      <color rgb="FF3F3F76"/>
      <name val="Aptos Narrow"/>
      <family val="2"/>
      <scheme val="minor"/>
    </font>
    <font>
      <b/>
      <sz val="11"/>
      <color rgb="FF3F3F3F"/>
      <name val="Aptos Narrow"/>
      <family val="2"/>
      <scheme val="minor"/>
    </font>
    <font>
      <b/>
      <sz val="11"/>
      <color theme="1"/>
      <name val="Aptos Narrow"/>
      <family val="2"/>
      <scheme val="minor"/>
    </font>
    <font>
      <sz val="8"/>
      <name val="Aptos Narrow"/>
      <family val="2"/>
      <scheme val="minor"/>
    </font>
    <font>
      <sz val="10"/>
      <color theme="1"/>
      <name val="Arial"/>
      <family val="2"/>
    </font>
  </fonts>
  <fills count="11">
    <fill>
      <patternFill patternType="none"/>
    </fill>
    <fill>
      <patternFill patternType="gray125"/>
    </fill>
    <fill>
      <patternFill patternType="solid">
        <fgColor theme="0"/>
        <bgColor indexed="64"/>
      </patternFill>
    </fill>
    <fill>
      <patternFill patternType="solid">
        <fgColor theme="1"/>
        <bgColor theme="1"/>
      </patternFill>
    </fill>
    <fill>
      <patternFill patternType="solid">
        <fgColor theme="5"/>
        <bgColor theme="5"/>
      </patternFill>
    </fill>
    <fill>
      <patternFill patternType="solid">
        <fgColor rgb="FFE5EAF3"/>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C99"/>
      </patternFill>
    </fill>
    <fill>
      <patternFill patternType="solid">
        <fgColor rgb="FFF2F2F2"/>
      </patternFill>
    </fill>
  </fills>
  <borders count="10">
    <border>
      <left/>
      <right/>
      <top/>
      <bottom/>
      <diagonal/>
    </border>
    <border>
      <left/>
      <right/>
      <top style="thin">
        <color theme="1"/>
      </top>
      <bottom/>
      <diagonal/>
    </border>
    <border>
      <left style="thin">
        <color theme="5"/>
      </left>
      <right/>
      <top style="thin">
        <color theme="5"/>
      </top>
      <bottom/>
      <diagonal/>
    </border>
    <border>
      <left/>
      <right/>
      <top/>
      <bottom style="thick">
        <color rgb="FF003087"/>
      </bottom>
      <diagonal/>
    </border>
    <border>
      <left style="hair">
        <color rgb="FF003087"/>
      </left>
      <right style="hair">
        <color rgb="FF003087"/>
      </right>
      <top style="hair">
        <color rgb="FF003087"/>
      </top>
      <bottom style="hair">
        <color rgb="FF003087"/>
      </bottom>
      <diagonal/>
    </border>
    <border>
      <left/>
      <right/>
      <top style="thick">
        <color rgb="FF003087"/>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right style="thin">
        <color theme="1"/>
      </right>
      <top style="thin">
        <color theme="1"/>
      </top>
      <bottom style="thin">
        <color theme="1"/>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9" borderId="6" applyNumberFormat="0" applyAlignment="0" applyProtection="0"/>
    <xf numFmtId="0" fontId="6" fillId="10" borderId="7" applyNumberFormat="0" applyAlignment="0" applyProtection="0"/>
    <xf numFmtId="0" fontId="9" fillId="0" borderId="0"/>
  </cellStyleXfs>
  <cellXfs count="52">
    <xf numFmtId="0" fontId="0" fillId="0" borderId="0" xfId="0"/>
    <xf numFmtId="0" fontId="0" fillId="2" borderId="0" xfId="0" applyFill="1"/>
    <xf numFmtId="0" fontId="0" fillId="0" borderId="0" xfId="0" applyAlignment="1">
      <alignment horizontal="center"/>
    </xf>
    <xf numFmtId="43" fontId="0" fillId="0" borderId="0" xfId="1" applyFont="1" applyFill="1" applyAlignment="1">
      <alignment horizontal="center"/>
    </xf>
    <xf numFmtId="43" fontId="0" fillId="0" borderId="0" xfId="0" applyNumberFormat="1" applyAlignment="1">
      <alignment horizontal="center"/>
    </xf>
    <xf numFmtId="0" fontId="0" fillId="0" borderId="0" xfId="0" applyAlignment="1">
      <alignment horizontal="center" vertical="center"/>
    </xf>
    <xf numFmtId="0" fontId="3" fillId="0" borderId="3" xfId="0" applyFont="1" applyBorder="1"/>
    <xf numFmtId="0" fontId="0" fillId="0" borderId="3" xfId="0" applyBorder="1"/>
    <xf numFmtId="0" fontId="0" fillId="5" borderId="4" xfId="0" applyFill="1" applyBorder="1" applyAlignment="1">
      <alignment horizontal="center" vertical="top"/>
    </xf>
    <xf numFmtId="3" fontId="0" fillId="0" borderId="4" xfId="0" applyNumberFormat="1" applyBorder="1" applyAlignment="1">
      <alignment horizontal="right" vertical="top"/>
    </xf>
    <xf numFmtId="0" fontId="0" fillId="0" borderId="5" xfId="0" applyBorder="1"/>
    <xf numFmtId="0" fontId="0" fillId="6" borderId="0" xfId="0" applyFill="1"/>
    <xf numFmtId="0" fontId="0" fillId="7" borderId="0" xfId="0" applyFill="1"/>
    <xf numFmtId="0" fontId="4" fillId="2" borderId="0" xfId="0" applyFont="1" applyFill="1"/>
    <xf numFmtId="0" fontId="2" fillId="3" borderId="1" xfId="0" applyFont="1" applyFill="1" applyBorder="1" applyAlignment="1">
      <alignment horizontal="center"/>
    </xf>
    <xf numFmtId="0" fontId="2" fillId="4" borderId="2" xfId="0" applyFont="1" applyFill="1" applyBorder="1" applyAlignment="1">
      <alignment horizontal="center" vertical="center"/>
    </xf>
    <xf numFmtId="9" fontId="0" fillId="0" borderId="0" xfId="2" applyFont="1" applyFill="1" applyAlignment="1">
      <alignment horizontal="center" vertical="center"/>
    </xf>
    <xf numFmtId="0" fontId="0" fillId="8" borderId="0" xfId="0" applyFill="1"/>
    <xf numFmtId="0" fontId="6" fillId="10" borderId="7" xfId="4"/>
    <xf numFmtId="9" fontId="5" fillId="9" borderId="6" xfId="3" applyNumberFormat="1" applyAlignment="1">
      <alignment horizontal="center" vertical="center"/>
    </xf>
    <xf numFmtId="3" fontId="0" fillId="0" borderId="0" xfId="0" applyNumberFormat="1"/>
    <xf numFmtId="43" fontId="0" fillId="0" borderId="0" xfId="1" applyFont="1"/>
    <xf numFmtId="0" fontId="0" fillId="2" borderId="0" xfId="0" applyFill="1" applyAlignment="1">
      <alignment horizontal="center"/>
    </xf>
    <xf numFmtId="43" fontId="0" fillId="0" borderId="0" xfId="1" applyFont="1" applyFill="1"/>
    <xf numFmtId="43" fontId="0" fillId="0" borderId="0" xfId="1" applyFont="1" applyAlignment="1">
      <alignment horizontal="center"/>
    </xf>
    <xf numFmtId="0" fontId="0" fillId="2" borderId="0" xfId="0" applyFill="1" applyAlignment="1">
      <alignment horizontal="center" wrapText="1"/>
    </xf>
    <xf numFmtId="9" fontId="0" fillId="2" borderId="0" xfId="0" applyNumberFormat="1" applyFill="1"/>
    <xf numFmtId="0" fontId="7" fillId="2" borderId="0" xfId="0" applyFont="1" applyFill="1"/>
    <xf numFmtId="10" fontId="0" fillId="0" borderId="0" xfId="0" applyNumberFormat="1"/>
    <xf numFmtId="164" fontId="0" fillId="0" borderId="0" xfId="0" applyNumberFormat="1"/>
    <xf numFmtId="0" fontId="0" fillId="0" borderId="9" xfId="0" applyBorder="1" applyAlignment="1">
      <alignment horizontal="center"/>
    </xf>
    <xf numFmtId="49" fontId="0" fillId="0" borderId="0" xfId="0" applyNumberFormat="1"/>
    <xf numFmtId="0" fontId="0" fillId="0" borderId="0" xfId="0" quotePrefix="1"/>
    <xf numFmtId="2" fontId="0" fillId="0" borderId="0" xfId="0" applyNumberFormat="1"/>
    <xf numFmtId="165" fontId="0" fillId="0" borderId="0" xfId="0" applyNumberFormat="1"/>
    <xf numFmtId="166" fontId="0" fillId="0" borderId="0" xfId="0" applyNumberFormat="1"/>
    <xf numFmtId="167" fontId="0" fillId="0" borderId="0" xfId="0" applyNumberFormat="1"/>
    <xf numFmtId="166" fontId="7" fillId="0" borderId="0" xfId="0" applyNumberFormat="1" applyFont="1"/>
    <xf numFmtId="0" fontId="0" fillId="0" borderId="0" xfId="0" pivotButton="1"/>
    <xf numFmtId="0" fontId="0" fillId="0" borderId="0" xfId="0" applyAlignment="1">
      <alignment horizontal="left"/>
    </xf>
    <xf numFmtId="43" fontId="0" fillId="0" borderId="0" xfId="0" applyNumberFormat="1"/>
    <xf numFmtId="9" fontId="0" fillId="0" borderId="0" xfId="2" applyFont="1"/>
    <xf numFmtId="11" fontId="0" fillId="0" borderId="0" xfId="0" applyNumberFormat="1"/>
    <xf numFmtId="0" fontId="7" fillId="0" borderId="0" xfId="0" applyFont="1"/>
    <xf numFmtId="2" fontId="0" fillId="0" borderId="0" xfId="1" applyNumberFormat="1" applyFont="1"/>
    <xf numFmtId="10" fontId="0" fillId="2" borderId="0" xfId="2" applyNumberFormat="1" applyFont="1" applyFill="1"/>
    <xf numFmtId="10" fontId="7" fillId="2" borderId="0" xfId="0" applyNumberFormat="1" applyFont="1" applyFill="1"/>
    <xf numFmtId="10" fontId="0" fillId="2" borderId="0" xfId="0" applyNumberFormat="1" applyFill="1"/>
    <xf numFmtId="10" fontId="0" fillId="0" borderId="0" xfId="2" applyNumberFormat="1" applyFont="1"/>
    <xf numFmtId="0" fontId="7" fillId="2" borderId="0" xfId="0" applyFont="1" applyFill="1" applyAlignment="1">
      <alignment horizontal="center" vertical="center"/>
    </xf>
    <xf numFmtId="0" fontId="0" fillId="2" borderId="8" xfId="0" applyFill="1" applyBorder="1" applyAlignment="1">
      <alignment horizontal="center" vertical="center" wrapText="1"/>
    </xf>
    <xf numFmtId="0" fontId="0" fillId="2" borderId="8" xfId="0" applyFill="1" applyBorder="1" applyAlignment="1">
      <alignment horizontal="center" wrapText="1"/>
    </xf>
  </cellXfs>
  <cellStyles count="6">
    <cellStyle name="Comma" xfId="1" builtinId="3"/>
    <cellStyle name="Input" xfId="3" builtinId="20"/>
    <cellStyle name="Normal" xfId="0" builtinId="0"/>
    <cellStyle name="Normal 2" xfId="5" xr:uid="{41E29A97-4811-40B2-832B-A941F46C3049}"/>
    <cellStyle name="Output" xfId="4" builtinId="21"/>
    <cellStyle name="Percent" xfId="2" builtinId="5"/>
  </cellStyles>
  <dxfs count="53">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3" formatCode="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numFmt numFmtId="35" formatCode="_-* #,##0.00_-;\-* #,##0.00_-;_-* &quot;-&quot;??_-;_-@_-"/>
      <fill>
        <patternFill patternType="none">
          <fgColor rgb="FF000000"/>
          <bgColor auto="1"/>
        </patternFill>
      </fill>
      <alignment horizontal="center" vertical="bottom" textRotation="0" wrapText="0" indent="0" justifyLastLine="0" shrinkToFit="0" readingOrder="0"/>
    </dxf>
    <dxf>
      <numFmt numFmtId="35" formatCode="_-* #,##0.00_-;\-* #,##0.00_-;_-* &quot;-&quot;??_-;_-@_-"/>
      <fill>
        <patternFill patternType="none">
          <fgColor rgb="FF000000"/>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numFmt numFmtId="35" formatCode="_-* #,##0.00_-;\-* #,##0.00_-;_-* &quot;-&quot;??_-;_-@_-"/>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xml"/><Relationship Id="rId21" Type="http://schemas.openxmlformats.org/officeDocument/2006/relationships/worksheet" Target="worksheets/sheet21.xml"/><Relationship Id="rId42" Type="http://schemas.openxmlformats.org/officeDocument/2006/relationships/externalLink" Target="externalLinks/externalLink17.xml"/><Relationship Id="rId47" Type="http://schemas.openxmlformats.org/officeDocument/2006/relationships/externalLink" Target="externalLinks/externalLink22.xml"/><Relationship Id="rId63" Type="http://schemas.openxmlformats.org/officeDocument/2006/relationships/pivotCacheDefinition" Target="pivotCache/pivotCacheDefinition2.xml"/><Relationship Id="rId68"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3" Type="http://schemas.openxmlformats.org/officeDocument/2006/relationships/externalLink" Target="externalLinks/externalLink28.xml"/><Relationship Id="rId58" Type="http://schemas.openxmlformats.org/officeDocument/2006/relationships/externalLink" Target="externalLinks/externalLink33.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3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externalLink" Target="externalLinks/externalLink23.xml"/><Relationship Id="rId56" Type="http://schemas.openxmlformats.org/officeDocument/2006/relationships/externalLink" Target="externalLinks/externalLink31.xml"/><Relationship Id="rId64" Type="http://schemas.openxmlformats.org/officeDocument/2006/relationships/theme" Target="theme/theme1.xml"/><Relationship Id="rId69"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externalLink" Target="externalLinks/externalLink26.xml"/><Relationship Id="rId72" Type="http://schemas.openxmlformats.org/officeDocument/2006/relationships/customXml" Target="../customXml/item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externalLink" Target="externalLinks/externalLink21.xml"/><Relationship Id="rId59" Type="http://schemas.openxmlformats.org/officeDocument/2006/relationships/externalLink" Target="externalLinks/externalLink34.xml"/><Relationship Id="rId67" Type="http://schemas.openxmlformats.org/officeDocument/2006/relationships/sheetMetadata" Target="metadata.xml"/><Relationship Id="rId20" Type="http://schemas.openxmlformats.org/officeDocument/2006/relationships/worksheet" Target="worksheets/sheet20.xml"/><Relationship Id="rId41" Type="http://schemas.openxmlformats.org/officeDocument/2006/relationships/externalLink" Target="externalLinks/externalLink16.xml"/><Relationship Id="rId54" Type="http://schemas.openxmlformats.org/officeDocument/2006/relationships/externalLink" Target="externalLinks/externalLink29.xml"/><Relationship Id="rId62" Type="http://schemas.openxmlformats.org/officeDocument/2006/relationships/pivotCacheDefinition" Target="pivotCache/pivotCacheDefinition1.xml"/><Relationship Id="rId7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externalLink" Target="externalLinks/externalLink24.xml"/><Relationship Id="rId57" Type="http://schemas.openxmlformats.org/officeDocument/2006/relationships/externalLink" Target="externalLinks/externalLink32.xml"/><Relationship Id="rId10" Type="http://schemas.openxmlformats.org/officeDocument/2006/relationships/worksheet" Target="worksheets/sheet10.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52" Type="http://schemas.openxmlformats.org/officeDocument/2006/relationships/externalLink" Target="externalLinks/externalLink27.xml"/><Relationship Id="rId60" Type="http://schemas.openxmlformats.org/officeDocument/2006/relationships/externalLink" Target="externalLinks/externalLink35.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4.xml"/><Relationship Id="rId34" Type="http://schemas.openxmlformats.org/officeDocument/2006/relationships/externalLink" Target="externalLinks/externalLink9.xml"/><Relationship Id="rId50" Type="http://schemas.openxmlformats.org/officeDocument/2006/relationships/externalLink" Target="externalLinks/externalLink25.xml"/><Relationship Id="rId55" Type="http://schemas.openxmlformats.org/officeDocument/2006/relationships/externalLink" Target="externalLinks/externalLink30.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18</xdr:col>
      <xdr:colOff>127000</xdr:colOff>
      <xdr:row>0</xdr:row>
      <xdr:rowOff>177800</xdr:rowOff>
    </xdr:from>
    <xdr:to>
      <xdr:col>30</xdr:col>
      <xdr:colOff>50800</xdr:colOff>
      <xdr:row>14</xdr:row>
      <xdr:rowOff>3175</xdr:rowOff>
    </xdr:to>
    <xdr:sp macro="" textlink="">
      <xdr:nvSpPr>
        <xdr:cNvPr id="2" name="TextBox 1">
          <a:extLst>
            <a:ext uri="{FF2B5EF4-FFF2-40B4-BE49-F238E27FC236}">
              <a16:creationId xmlns:a16="http://schemas.microsoft.com/office/drawing/2014/main" id="{C2E9A848-DC40-7111-B8A2-837FD02ED4C5}"/>
            </a:ext>
          </a:extLst>
        </xdr:cNvPr>
        <xdr:cNvSpPr txBox="1"/>
      </xdr:nvSpPr>
      <xdr:spPr>
        <a:xfrm>
          <a:off x="12680950" y="177800"/>
          <a:ext cx="7239000" cy="2403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a:t>
          </a:r>
          <a:r>
            <a:rPr lang="en-US" sz="1100" baseline="0"/>
            <a:t> Check back on Franklins book to see if he tackles the concept of present value. From what I remember he does not mention it so much but I can also check in the python model if this is being done.</a:t>
          </a:r>
        </a:p>
        <a:p>
          <a:endParaRPr lang="en-US" sz="1100" baseline="0"/>
        </a:p>
        <a:p>
          <a:r>
            <a:rPr lang="en-US" sz="1100" baseline="0"/>
            <a:t>In tab Income, are we effectively using future value since we take into account inflation and salary raise? Is this good enough? Are the goals then in future value and thus when calculating the actual goals we should take into account the inflation for the goals themselves? AKA: If a house today costs 2 mill DKK, but we want to buy in 10 years, we should put in the goal the future price and not the 2 mill DKK.</a:t>
          </a:r>
        </a:p>
        <a:p>
          <a:endParaRPr lang="en-US" sz="1100" baseline="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18</xdr:row>
      <xdr:rowOff>133350</xdr:rowOff>
    </xdr:from>
    <xdr:to>
      <xdr:col>1</xdr:col>
      <xdr:colOff>8125818</xdr:colOff>
      <xdr:row>34</xdr:row>
      <xdr:rowOff>57565</xdr:rowOff>
    </xdr:to>
    <xdr:pic>
      <xdr:nvPicPr>
        <xdr:cNvPr id="2" name="Picture 1">
          <a:extLst>
            <a:ext uri="{FF2B5EF4-FFF2-40B4-BE49-F238E27FC236}">
              <a16:creationId xmlns:a16="http://schemas.microsoft.com/office/drawing/2014/main" id="{20A5AFCD-4AEE-951F-735F-A3BF56C0B7C7}"/>
            </a:ext>
          </a:extLst>
        </xdr:cNvPr>
        <xdr:cNvPicPr>
          <a:picLocks noChangeAspect="1"/>
        </xdr:cNvPicPr>
      </xdr:nvPicPr>
      <xdr:blipFill>
        <a:blip xmlns:r="http://schemas.openxmlformats.org/officeDocument/2006/relationships" r:embed="rId1"/>
        <a:stretch>
          <a:fillRect/>
        </a:stretch>
      </xdr:blipFill>
      <xdr:spPr>
        <a:xfrm>
          <a:off x="447675" y="3562350"/>
          <a:ext cx="7116168" cy="2972215"/>
        </a:xfrm>
        <a:prstGeom prst="rect">
          <a:avLst/>
        </a:prstGeom>
      </xdr:spPr>
    </xdr:pic>
    <xdr:clientData/>
  </xdr:twoCellAnchor>
  <xdr:twoCellAnchor>
    <xdr:from>
      <xdr:col>18</xdr:col>
      <xdr:colOff>123825</xdr:colOff>
      <xdr:row>3</xdr:row>
      <xdr:rowOff>28575</xdr:rowOff>
    </xdr:from>
    <xdr:to>
      <xdr:col>26</xdr:col>
      <xdr:colOff>428625</xdr:colOff>
      <xdr:row>28</xdr:row>
      <xdr:rowOff>142875</xdr:rowOff>
    </xdr:to>
    <xdr:sp macro="" textlink="">
      <xdr:nvSpPr>
        <xdr:cNvPr id="3" name="TextBox 2">
          <a:extLst>
            <a:ext uri="{FF2B5EF4-FFF2-40B4-BE49-F238E27FC236}">
              <a16:creationId xmlns:a16="http://schemas.microsoft.com/office/drawing/2014/main" id="{A1CD5669-DAD2-90DD-A090-F63EE15696D5}"/>
            </a:ext>
          </a:extLst>
        </xdr:cNvPr>
        <xdr:cNvSpPr txBox="1"/>
      </xdr:nvSpPr>
      <xdr:spPr>
        <a:xfrm>
          <a:off x="11096625" y="600075"/>
          <a:ext cx="5181600" cy="487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a:p>
        <a:p>
          <a:r>
            <a:rPr lang="en-GB"/>
            <a:t>bond</a:t>
          </a:r>
          <a:r>
            <a:rPr lang="en-GB" baseline="0"/>
            <a:t> transcript from meeting</a:t>
          </a:r>
          <a:endParaRPr lang="en-GB"/>
        </a:p>
        <a:p>
          <a:r>
            <a:rPr lang="en-GB"/>
            <a:t>Maybe if you just assume that OK, we invest in risk free Parliament bonds, that is like what you can do. </a:t>
          </a:r>
        </a:p>
        <a:p>
          <a:r>
            <a:rPr lang="en-GB"/>
            <a:t>Of course, you then have like a task here to to set the parameters correctly in the budget model, and you may also like estimate the paramics and the budgeting models. From some bond prices. </a:t>
          </a:r>
        </a:p>
        <a:p>
          <a:r>
            <a:rPr lang="en-GB"/>
            <a:t>So that is a task for you to set what the parameter should be. In this model, I just assumed something. But the bond itself, you know, it is like a collection of bonds and it has some, some kind of duration. So it may be a A20 year like 7 to 10 year duration portfolio. And then you say. </a:t>
          </a:r>
        </a:p>
        <a:p>
          <a:r>
            <a:rPr lang="en-GB"/>
            <a:t>Eight years duration in that portfolio and then you may say, OK, I'm modeling as a. Ads coupon bond. And then you can put in return on the ETF as like investing in. ATC Groupon bot and for the 20 year you have a 20 year 2 common bot because a 20 years 0 coupon bond has a duration of 20. You can just calculate the return on that.</a:t>
          </a:r>
          <a:endParaRPr lang="en-UM"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702090</xdr:colOff>
      <xdr:row>19</xdr:row>
      <xdr:rowOff>82826</xdr:rowOff>
    </xdr:from>
    <xdr:to>
      <xdr:col>9</xdr:col>
      <xdr:colOff>231914</xdr:colOff>
      <xdr:row>39</xdr:row>
      <xdr:rowOff>74543</xdr:rowOff>
    </xdr:to>
    <xdr:sp macro="" textlink="">
      <xdr:nvSpPr>
        <xdr:cNvPr id="2" name="TextBox 1">
          <a:extLst>
            <a:ext uri="{FF2B5EF4-FFF2-40B4-BE49-F238E27FC236}">
              <a16:creationId xmlns:a16="http://schemas.microsoft.com/office/drawing/2014/main" id="{2DC845ED-9F3F-F3F5-C69E-2F8DD9A75F57}"/>
            </a:ext>
          </a:extLst>
        </xdr:cNvPr>
        <xdr:cNvSpPr txBox="1"/>
      </xdr:nvSpPr>
      <xdr:spPr>
        <a:xfrm>
          <a:off x="4114525" y="4273826"/>
          <a:ext cx="3397802"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16</xdr:col>
      <xdr:colOff>222405</xdr:colOff>
      <xdr:row>3</xdr:row>
      <xdr:rowOff>160385</xdr:rowOff>
    </xdr:from>
    <xdr:to>
      <xdr:col>21</xdr:col>
      <xdr:colOff>542141</xdr:colOff>
      <xdr:row>20</xdr:row>
      <xdr:rowOff>141335</xdr:rowOff>
    </xdr:to>
    <xdr:sp macro="" textlink="">
      <xdr:nvSpPr>
        <xdr:cNvPr id="7" name="TextBox 2">
          <a:extLst>
            <a:ext uri="{FF2B5EF4-FFF2-40B4-BE49-F238E27FC236}">
              <a16:creationId xmlns:a16="http://schemas.microsoft.com/office/drawing/2014/main" id="{88172C51-5511-4734-80A4-7930D9CDE8A2}"/>
            </a:ext>
          </a:extLst>
        </xdr:cNvPr>
        <xdr:cNvSpPr txBox="1"/>
      </xdr:nvSpPr>
      <xdr:spPr>
        <a:xfrm>
          <a:off x="16630253" y="731885"/>
          <a:ext cx="3218649" cy="321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Median Senior</a:t>
          </a:r>
          <a:r>
            <a:rPr lang="en-US" sz="1100" baseline="0"/>
            <a:t> Consultant salary, Djf Privats lnstatistik 2024 - Tendenspapir, Table 1</a:t>
          </a:r>
        </a:p>
        <a:p>
          <a:endParaRPr lang="en-US" sz="1100" b="0" i="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Median</a:t>
          </a:r>
          <a:r>
            <a:rPr lang="en-US" sz="1100" baseline="0">
              <a:solidFill>
                <a:schemeClr val="dk1"/>
              </a:solidFill>
              <a:effectLst/>
              <a:latin typeface="+mn-lt"/>
              <a:ea typeface="+mn-ea"/>
              <a:cs typeface="+mn-cs"/>
            </a:rPr>
            <a:t> Graduate salary, Djf Privats lnstatistik 2024 - Tendenspapir, Table 1</a:t>
          </a:r>
          <a:endParaRPr lang="en-UM">
            <a:effectLst/>
          </a:endParaRPr>
        </a:p>
        <a:p>
          <a:endParaRPr lang="en-UM" sz="1100" b="0" i="0"/>
        </a:p>
      </xdr:txBody>
    </xdr:sp>
    <xdr:clientData/>
  </xdr:twoCellAnchor>
  <xdr:twoCellAnchor>
    <xdr:from>
      <xdr:col>12</xdr:col>
      <xdr:colOff>1341549</xdr:colOff>
      <xdr:row>1</xdr:row>
      <xdr:rowOff>143098</xdr:rowOff>
    </xdr:from>
    <xdr:to>
      <xdr:col>16</xdr:col>
      <xdr:colOff>304084</xdr:colOff>
      <xdr:row>7</xdr:row>
      <xdr:rowOff>17887</xdr:rowOff>
    </xdr:to>
    <xdr:cxnSp macro="">
      <xdr:nvCxnSpPr>
        <xdr:cNvPr id="5" name="Straight Arrow Connector 4">
          <a:extLst>
            <a:ext uri="{FF2B5EF4-FFF2-40B4-BE49-F238E27FC236}">
              <a16:creationId xmlns:a16="http://schemas.microsoft.com/office/drawing/2014/main" id="{BF0F1574-FB35-545B-0984-B31589A6D8FA}"/>
            </a:ext>
          </a:extLst>
        </xdr:cNvPr>
        <xdr:cNvCxnSpPr/>
      </xdr:nvCxnSpPr>
      <xdr:spPr>
        <a:xfrm flipH="1" flipV="1">
          <a:off x="8442817" y="330915"/>
          <a:ext cx="3935211" cy="100169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13</xdr:col>
      <xdr:colOff>1439931</xdr:colOff>
      <xdr:row>1</xdr:row>
      <xdr:rowOff>116267</xdr:rowOff>
    </xdr:from>
    <xdr:to>
      <xdr:col>16</xdr:col>
      <xdr:colOff>268310</xdr:colOff>
      <xdr:row>4</xdr:row>
      <xdr:rowOff>169929</xdr:rowOff>
    </xdr:to>
    <xdr:cxnSp macro="">
      <xdr:nvCxnSpPr>
        <xdr:cNvPr id="6" name="Straight Arrow Connector 5">
          <a:extLst>
            <a:ext uri="{FF2B5EF4-FFF2-40B4-BE49-F238E27FC236}">
              <a16:creationId xmlns:a16="http://schemas.microsoft.com/office/drawing/2014/main" id="{AF50D647-44A3-4B08-BEAE-31FE3E1A340A}"/>
            </a:ext>
          </a:extLst>
        </xdr:cNvPr>
        <xdr:cNvCxnSpPr/>
      </xdr:nvCxnSpPr>
      <xdr:spPr>
        <a:xfrm flipH="1" flipV="1">
          <a:off x="10043734" y="304084"/>
          <a:ext cx="2298520" cy="61711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755099</xdr:colOff>
      <xdr:row>7</xdr:row>
      <xdr:rowOff>168966</xdr:rowOff>
    </xdr:from>
    <xdr:to>
      <xdr:col>9</xdr:col>
      <xdr:colOff>284923</xdr:colOff>
      <xdr:row>13</xdr:row>
      <xdr:rowOff>99391</xdr:rowOff>
    </xdr:to>
    <xdr:sp macro="" textlink="">
      <xdr:nvSpPr>
        <xdr:cNvPr id="4" name="TextBox 3">
          <a:extLst>
            <a:ext uri="{FF2B5EF4-FFF2-40B4-BE49-F238E27FC236}">
              <a16:creationId xmlns:a16="http://schemas.microsoft.com/office/drawing/2014/main" id="{6F20B318-D898-442E-BFCA-8418B7FA1F4F}"/>
            </a:ext>
          </a:extLst>
        </xdr:cNvPr>
        <xdr:cNvSpPr txBox="1"/>
      </xdr:nvSpPr>
      <xdr:spPr>
        <a:xfrm>
          <a:off x="4167534" y="1502466"/>
          <a:ext cx="3397802"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lackrock-my.sharepoint.com/personal/filip_nikolic_blackrock_com/Documents/ECB%20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February%202021%20Update/BII%20GO%20deck%20March%20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tudentcbs.sharepoint.com/ECON/Regional/Monetary/Credit/Regional%20Domestic%20Credit%20to%20Private%20Secto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tudentcbs.sharepoint.com/IRESHK01D/projects/ECON/Database/REER/TradeW%20Re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ABC%20R2K\Disk%201\WPP2000_Excel_Files\DB02_Stock_Indicators\WPP2000_DB2_F1_TOTAL_POPULATION_BOTH_SEXE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N:\data\BII\Portfolio%20Research\1)%20Portfolio%20construction%20research\Model%20portfolios\20240930%20Model%20Portfolios\ISAA_Inputs_2024Q3.xlsx" TargetMode="External"/><Relationship Id="rId1" Type="http://schemas.openxmlformats.org/officeDocument/2006/relationships/externalLinkPath" Target="file:///N:\data\BII\Portfolio%20Research\1)%20Portfolio%20construction%20research\Model%20portfolios\20240930%20Model%20Portfolios\ISAA_Inputs_2024Q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tudentcbs.sharepoint.com/Users/catyler/AppData/Local/Microsoft/Windows/INetCache/Content.Outlook/15K1W2KR/CapexIntensity.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regions-checked0206.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tudentcbs.sharepoint.com/blackrock/dfs/506.HK/Documents%20and%20Settings/Administrator/&#26700;&#38754;/Yifan%20Deng/600519&#36149;&#24030;&#33541;&#2148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workhorse.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tudentcbs.sharepoint.com/ECON/FORECAST/INDONESI/gdp_cpi_for%20data%20commen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lobal%20insights%20publications/Net%20Zero%20shorty%20-%20May%202022/Charts_.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lackrock-my.sharepoint.com/personal/michel_dilmanian_blackrock_com/Documents/Microsoft%20Teams%20Chat%20Files/bear_market_investing_MD_2022.05.3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Portfolio%20Research/CMA%20-%20Q3%202021%20update/CMA%20Q3%202021%20deck%20-%20datashee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blackrock-my.sharepoint.com/personal/tara_sharma_blackrock_com/Documents/Microsoft%20Teams%20Chat%20Files/Chart%20GO_Compilation_HardCo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July%202022/bii-global-outlook-in-charts-july-202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dox/org/859/BII/Publications/BII%20Global%20Outlook%20-%20Q4%202021%20update/bii-global-outlook-in-charts-datashee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studentcbs.sharepoint.com/Users/vsubheda/Downloads/Additional%20Charts%20-%20Japan%20&amp;%20Earnings%20for%20Risk%20Taking.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studentcbs.sharepoint.com/na.blkint.com/dfs/data/BII/Individual%20Folders/Virginia/20211122%205y5y%20inflation%20vs%2010y%20yiel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dox/My%20Documents/margin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outlook/2022_Outlook_Chart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2022%20Outlook%20deck/bii-2022-global-outlook-in-charts-feb22-upd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go-sept2021-datasheet.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studentcbs.sharepoint.com/Users/nagill/Downloads/Equities%20(1).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studentcbs.sharepoint.com/Users/nfawcett/Downloads/Chin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midyear%20outlook/BII-2022-midyear-outlook-charts.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dox/My%20Documents/Temp_GPS/2021.10.25%20GPS%20In%20Focus%20-%20Chin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200chartpack.blackrock.com/ChartPack200DataFiles/Bonds.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Weekly%20Commentary/0314%20Weekly/weekly%20commentary%20data%20files_20220314.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blackrock-my.sharepoint.com/personal/scott_barber_blackrock_com/Documents/Microsoft%20Teams%20Chat%20Files/jb-forum-charts.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lackrock-my.sharepoint.com/data/BII/Investment%20Strategy/Tracking%20TAA%20views/TAA%20P&amp;L/P&amp;L%20Report/2021/20210628_BII%20TAA%20Performance.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studentcbs.sharepoint.com/na.blkint.com/dfs/data/BII/Investment%20Strategy/Tracking%20TAA%20views/20200810_Tracking%20TAA%20P&amp;L.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930%20forecasts/Equities/Generating%20input%20files/Topdowndata_input.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ASR/Alternative_US_ASR_Curve.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20-%20GO%20July%202021%20-%20charts%20datasheet%2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Financing%20EM%20green%20transition/Mismatched%20resour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s flow (2)"/>
      <sheetName val="Rates"/>
      <sheetName val="Purchases stock"/>
      <sheetName val="Purchases flow"/>
    </sheetNames>
    <sheetDataSet>
      <sheetData sheetId="0">
        <row r="9">
          <cell r="G9" t="str">
            <v>CBPP</v>
          </cell>
        </row>
      </sheetData>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sheetName val="Activity impact"/>
      <sheetName val="Pent up demand"/>
      <sheetName val="Shock vs response"/>
      <sheetName val="US debt"/>
      <sheetName val="New nominal"/>
      <sheetName val="ERP (March 2021 update)"/>
      <sheetName val="HY and credit"/>
      <sheetName val="Treasuries"/>
      <sheetName val="Breakeven"/>
      <sheetName val="Peripheral"/>
      <sheetName val="Trade"/>
      <sheetName val="Supply chain"/>
      <sheetName val="China"/>
      <sheetName val="UK"/>
      <sheetName val="Business formations"/>
      <sheetName val="Car Air"/>
      <sheetName val="ROE"/>
      <sheetName val="ERP plot"/>
    </sheetNames>
    <sheetDataSet>
      <sheetData sheetId="0"/>
      <sheetData sheetId="1">
        <row r="8">
          <cell r="C8" t="str">
            <v>Global financial crisis</v>
          </cell>
        </row>
      </sheetData>
      <sheetData sheetId="2"/>
      <sheetData sheetId="3">
        <row r="6">
          <cell r="C6">
            <v>3.5930000000000004E-2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8)"/>
      <sheetName val="Chart5 (7)"/>
      <sheetName val="Bank Loans Data"/>
      <sheetName val="Sheet1"/>
      <sheetName val="Chart5 (6)"/>
      <sheetName val="Chart1"/>
      <sheetName val="Chart5 (2)"/>
      <sheetName val="CNKR"/>
      <sheetName val="Exh Cumulative change_CN UK US"/>
      <sheetName val="Exh Cumulative change_US&amp;EU (2)"/>
      <sheetName val="Exh Cumulative change_US&amp;EU"/>
      <sheetName val="Exh Cumulative change"/>
      <sheetName val="Exh Cumulative change_US&amp;EU (3)"/>
      <sheetName val="CrossCountry_Accumulative"/>
      <sheetName val="Credit GDP stock"/>
      <sheetName val="Excess Credit Growth Bonds"/>
      <sheetName val="Exh Cumulative change_Bonds"/>
      <sheetName val="Exh Cumulative change_Bonds His"/>
      <sheetName val="Excess_history_MY_Bonds"/>
      <sheetName val="Exh Cumulative change_Bonds_MY"/>
      <sheetName val="Exh Cumulative change_CN08"/>
      <sheetName val="Exh_Cumulative excess"/>
      <sheetName val="Exh Cumulative change_CN"/>
      <sheetName val="Chart5"/>
      <sheetName val="Chart5 total credit"/>
      <sheetName val="Chart5 (3)"/>
      <sheetName val="Chart5 (5)"/>
      <sheetName val="Chart5 (4)"/>
      <sheetName val="Chart7"/>
      <sheetName val="Chart2"/>
      <sheetName val="Chart3"/>
      <sheetName val="Bank Loans&amp;Corp Bonds_Original"/>
      <sheetName val="Bank Loans&amp;Corp Bonds_IN_Change"/>
      <sheetName val="Bank Loans&amp;Bonds Data"/>
      <sheetName val="US&amp;Europe"/>
      <sheetName val="Bonds Data B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 to Forecast"/>
      <sheetName val="NEER ANALYSIS"/>
      <sheetName val="ERWINLink"/>
      <sheetName val="REER ANALYSIS"/>
      <sheetName val="Exh_12mFctBil"/>
      <sheetName val="II_Exh2_NEER"/>
      <sheetName val="Exh_NJATWI"/>
      <sheetName val="Exh_NEERchange"/>
      <sheetName val="NEER Summary"/>
      <sheetName val="REER Summary"/>
      <sheetName val="Xrate"/>
      <sheetName val="CPI"/>
      <sheetName val="Weights"/>
      <sheetName val="TradeW"/>
      <sheetName val="Compute"/>
      <sheetName val="Module1"/>
      <sheetName val="Sheet2"/>
      <sheetName val="Sheet1"/>
      <sheetName val="KRW"/>
      <sheetName val="RMB"/>
      <sheetName val="HKD"/>
      <sheetName val="IDR"/>
      <sheetName val="KRW2"/>
      <sheetName val="MYR"/>
      <sheetName val="PHP"/>
      <sheetName val="SGD"/>
      <sheetName val="TWD"/>
      <sheetName val="THB"/>
      <sheetName val="ASIA"/>
      <sheetName val="Modified Goal Seek"/>
      <sheetName val="Goal Seek Module"/>
      <sheetName val="All _eer Summary Update"/>
      <sheetName val="All _eer Update"/>
      <sheetName val="Module2"/>
      <sheetName val="NEER Summary (2)"/>
      <sheetName val="Scenario"/>
      <sheetName val="Exh_12mFct"/>
      <sheetName val="Chart1"/>
      <sheetName val="DDETABLE"/>
      <sheetName val="Market Shares"/>
      <sheetName val="PA vs CL"/>
      <sheetName val="Data_CPI"/>
      <sheetName val="F-DCF"/>
      <sheetName val="Profile"/>
      <sheetName val="JSW Financials"/>
      <sheetName val="TradeW Reer"/>
      <sheetName val="CATTLE"/>
      <sheetName val="FormerEB monthly prod"/>
      <sheetName val="Capex"/>
      <sheetName val="NPV Summary"/>
      <sheetName val="Operating Segments"/>
      <sheetName val="Monthly bulker supply"/>
    </sheetNames>
    <sheetDataSet>
      <sheetData sheetId="0"/>
      <sheetData sheetId="1"/>
      <sheetData sheetId="2"/>
      <sheetData sheetId="3"/>
      <sheetData sheetId="4" refreshError="1"/>
      <sheetData sheetId="5" refreshError="1"/>
      <sheetData sheetId="6" refreshError="1"/>
      <sheetData sheetId="7" refreshError="1"/>
      <sheetData sheetId="8"/>
      <sheetData sheetId="9" refreshError="1"/>
      <sheetData sheetId="10"/>
      <sheetData sheetId="11"/>
      <sheetData sheetId="12" refreshError="1">
        <row r="5">
          <cell r="J5">
            <v>0.17560387366627594</v>
          </cell>
        </row>
        <row r="6">
          <cell r="J6">
            <v>6.8242266652505518E-2</v>
          </cell>
          <cell r="K6">
            <v>0.13674861185796486</v>
          </cell>
        </row>
        <row r="7">
          <cell r="J7">
            <v>5.2245866762161725E-2</v>
          </cell>
        </row>
        <row r="8">
          <cell r="J8">
            <v>5.9987925955747541E-2</v>
          </cell>
          <cell r="L8">
            <v>0.21964280790904137</v>
          </cell>
          <cell r="M8">
            <v>0.16393461566217618</v>
          </cell>
        </row>
        <row r="9">
          <cell r="J9">
            <v>0.18367957240015098</v>
          </cell>
          <cell r="K9">
            <v>0.36806993355433915</v>
          </cell>
        </row>
        <row r="10">
          <cell r="J10">
            <v>8.76950679178891E-2</v>
          </cell>
          <cell r="L10">
            <v>0.32109113042961884</v>
          </cell>
          <cell r="M10">
            <v>0.23965251382741251</v>
          </cell>
        </row>
        <row r="11">
          <cell r="J11">
            <v>3.3864992574666679E-2</v>
          </cell>
          <cell r="L11">
            <v>0.12399498633117785</v>
          </cell>
          <cell r="M11">
            <v>9.2546032450360458E-2</v>
          </cell>
        </row>
        <row r="12">
          <cell r="J12">
            <v>9.281010381935717E-2</v>
          </cell>
          <cell r="K12">
            <v>0.18597935687449385</v>
          </cell>
          <cell r="M12">
            <v>0.25363085082182668</v>
          </cell>
        </row>
        <row r="13">
          <cell r="J13">
            <v>0.1543024950306244</v>
          </cell>
          <cell r="K13">
            <v>0.30920209771320217</v>
          </cell>
        </row>
        <row r="14">
          <cell r="J14">
            <v>9.1567835220621008E-2</v>
          </cell>
          <cell r="L14">
            <v>0.33527107533016198</v>
          </cell>
          <cell r="M14">
            <v>0.25023598723822427</v>
          </cell>
        </row>
      </sheetData>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S"/>
      <sheetName val="LOW"/>
      <sheetName val="MEDIUM"/>
      <sheetName val="HIGH"/>
      <sheetName val="CONSTANT"/>
      <sheetName val="NO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amily_Office_Input"/>
      <sheetName val="US_PP_Input"/>
      <sheetName val="Reserve_Manager_Input"/>
      <sheetName val="UK_Multi_Asset_Input"/>
      <sheetName val="UK_Charity_Input"/>
      <sheetName val="EUR_Wealth_Input"/>
      <sheetName val="US_CP_Input"/>
      <sheetName val="Unconstrained_Input"/>
      <sheetName val="Unconstrained_PerfTracking"/>
      <sheetName val="BPAS_portfolios_Input"/>
      <sheetName val="UK_DB_Inp"/>
      <sheetName val="USWA_Inp"/>
      <sheetName val="Currency bucketing mapping"/>
      <sheetName val="Active risk calculation"/>
      <sheetName val="mkt cap python"/>
      <sheetName val="Fees and Alpha"/>
      <sheetName val="Mapping"/>
      <sheetName val="Old_Cusi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35">
          <cell r="B35" t="str">
            <v>Cus</v>
          </cell>
          <cell r="C35" t="str">
            <v>Sec</v>
          </cell>
          <cell r="D35" t="str">
            <v>Sec</v>
          </cell>
          <cell r="E35" t="str">
            <v>Pct</v>
          </cell>
          <cell r="F35" t="str">
            <v>Unn</v>
          </cell>
          <cell r="G35" t="str">
            <v>Unn</v>
          </cell>
          <cell r="H35" t="str">
            <v>Unn</v>
          </cell>
          <cell r="I35" t="str">
            <v>Unn</v>
          </cell>
          <cell r="J35" t="str">
            <v>Unn</v>
          </cell>
          <cell r="K35" t="str">
            <v>Unn</v>
          </cell>
          <cell r="L35" t="str">
            <v>AED</v>
          </cell>
          <cell r="M35" t="str">
            <v>AUD</v>
          </cell>
          <cell r="N35" t="str">
            <v>BRL</v>
          </cell>
          <cell r="O35" t="str">
            <v>CAD</v>
          </cell>
          <cell r="P35" t="str">
            <v>CHF</v>
          </cell>
          <cell r="Q35" t="str">
            <v>CLP</v>
          </cell>
          <cell r="R35" t="str">
            <v>CNY</v>
          </cell>
          <cell r="S35" t="str">
            <v>COP</v>
          </cell>
          <cell r="T35" t="str">
            <v>CZK</v>
          </cell>
          <cell r="U35" t="str">
            <v>DEM</v>
          </cell>
          <cell r="V35" t="str">
            <v>DKK</v>
          </cell>
          <cell r="W35" t="str">
            <v>DOP</v>
          </cell>
          <cell r="X35" t="str">
            <v>EGP</v>
          </cell>
          <cell r="Y35" t="str">
            <v>EUR</v>
          </cell>
          <cell r="Z35" t="str">
            <v>GBP</v>
          </cell>
          <cell r="AA35" t="str">
            <v>HKD</v>
          </cell>
          <cell r="AB35" t="str">
            <v>HUF</v>
          </cell>
          <cell r="AC35" t="str">
            <v>IDR</v>
          </cell>
          <cell r="AD35" t="str">
            <v>ILS</v>
          </cell>
          <cell r="AE35" t="str">
            <v>INR</v>
          </cell>
          <cell r="AF35" t="str">
            <v>ITL</v>
          </cell>
          <cell r="AG35" t="str">
            <v>JPY</v>
          </cell>
          <cell r="AH35" t="str">
            <v>KRW</v>
          </cell>
          <cell r="AI35" t="str">
            <v>KWD</v>
          </cell>
          <cell r="AJ35" t="str">
            <v>MXN</v>
          </cell>
          <cell r="AK35" t="str">
            <v>MYR</v>
          </cell>
          <cell r="AL35" t="str">
            <v>NOK</v>
          </cell>
          <cell r="AM35" t="str">
            <v>NZD</v>
          </cell>
          <cell r="AN35" t="str">
            <v>PEN</v>
          </cell>
          <cell r="AO35" t="str">
            <v>PHP</v>
          </cell>
          <cell r="AP35" t="str">
            <v>PLN</v>
          </cell>
          <cell r="AQ35" t="str">
            <v>QAR</v>
          </cell>
          <cell r="AR35" t="str">
            <v>RON</v>
          </cell>
          <cell r="AS35" t="str">
            <v>RSD</v>
          </cell>
          <cell r="AT35" t="str">
            <v>RUB</v>
          </cell>
          <cell r="AU35" t="str">
            <v>SAR</v>
          </cell>
          <cell r="AV35" t="str">
            <v>SEK</v>
          </cell>
          <cell r="AW35" t="str">
            <v>SGD</v>
          </cell>
          <cell r="AX35" t="str">
            <v>THB</v>
          </cell>
          <cell r="AY35" t="str">
            <v>TRY</v>
          </cell>
          <cell r="AZ35" t="str">
            <v>TWD</v>
          </cell>
          <cell r="BA35" t="str">
            <v>UYU</v>
          </cell>
          <cell r="BB35" t="str">
            <v>ZAR</v>
          </cell>
          <cell r="BC35" t="str">
            <v>USD</v>
          </cell>
          <cell r="BD35" t="str">
            <v>Unn</v>
          </cell>
          <cell r="BE35" t="str">
            <v>Unn</v>
          </cell>
          <cell r="BF35" t="str">
            <v>Unn</v>
          </cell>
        </row>
        <row r="36">
          <cell r="B36" t="str">
            <v>Cusip</v>
          </cell>
          <cell r="C36" t="str">
            <v>Security Name</v>
          </cell>
          <cell r="D36" t="str">
            <v>Security Ticker</v>
          </cell>
          <cell r="E36" t="str">
            <v>Pct Weight</v>
          </cell>
          <cell r="F36" t="str">
            <v>Unnamed Column</v>
          </cell>
          <cell r="G36" t="str">
            <v>Unnamed Column 2</v>
          </cell>
          <cell r="H36" t="str">
            <v>Unnamed Column 3</v>
          </cell>
          <cell r="I36" t="str">
            <v>Unnamed Column 4</v>
          </cell>
          <cell r="J36" t="str">
            <v>Unnamed Column 5</v>
          </cell>
          <cell r="K36" t="str">
            <v>Unnamed Column 6</v>
          </cell>
          <cell r="L36" t="str">
            <v>AED/PLN Exposure</v>
          </cell>
          <cell r="M36" t="str">
            <v>AUD/PLN Exposure</v>
          </cell>
          <cell r="N36" t="str">
            <v>BRL/PLN Exposure</v>
          </cell>
          <cell r="O36" t="str">
            <v>CAD/PLN Exposure</v>
          </cell>
          <cell r="P36" t="str">
            <v>CHF/PLN Exposure</v>
          </cell>
          <cell r="Q36" t="str">
            <v>CLP/PLN Exposure</v>
          </cell>
          <cell r="R36" t="str">
            <v>CNY/PLN Exposure</v>
          </cell>
          <cell r="S36" t="str">
            <v>COP/PLN Exposure</v>
          </cell>
          <cell r="T36" t="str">
            <v>CZK/PLN Exposure</v>
          </cell>
          <cell r="U36" t="str">
            <v>DEM/PLN Exposure</v>
          </cell>
          <cell r="V36" t="str">
            <v>DKK/PLN Exposure</v>
          </cell>
          <cell r="W36" t="str">
            <v>DOP/PLN Exposure</v>
          </cell>
          <cell r="X36" t="str">
            <v>EGP/PLN Exposure</v>
          </cell>
          <cell r="Y36" t="str">
            <v>EUR/PLN Exposure</v>
          </cell>
          <cell r="Z36" t="str">
            <v>GBP/PLN Exposure</v>
          </cell>
          <cell r="AA36" t="str">
            <v>HKD/PLN Exposure</v>
          </cell>
          <cell r="AB36" t="str">
            <v>HUF/PLN Exposure</v>
          </cell>
          <cell r="AC36" t="str">
            <v>IDR/PLN Exposure</v>
          </cell>
          <cell r="AD36" t="str">
            <v>ILS/PLN Exposure</v>
          </cell>
          <cell r="AE36" t="str">
            <v>INR/PLN Exposure</v>
          </cell>
          <cell r="AF36" t="str">
            <v>ITL/PLN Exposure</v>
          </cell>
          <cell r="AG36" t="str">
            <v>JPY/PLN Exposure</v>
          </cell>
          <cell r="AH36" t="str">
            <v>KRW/PLN Exposure</v>
          </cell>
          <cell r="AI36" t="str">
            <v>KWD/PLN Exposure</v>
          </cell>
          <cell r="AJ36" t="str">
            <v>MXN/PLN Exposure</v>
          </cell>
          <cell r="AK36" t="str">
            <v>MYR/PLN Exposure</v>
          </cell>
          <cell r="AL36" t="str">
            <v>NOK/PLN Exposure</v>
          </cell>
          <cell r="AM36" t="str">
            <v>NZD/PLN Exposure</v>
          </cell>
          <cell r="AN36" t="str">
            <v>PEN/PLN Exposure</v>
          </cell>
          <cell r="AO36" t="str">
            <v>PHP/PLN Exposure</v>
          </cell>
          <cell r="AP36" t="str">
            <v>PLN/PLN Exposure</v>
          </cell>
          <cell r="AQ36" t="str">
            <v>QAR/PLN Exposure</v>
          </cell>
          <cell r="AR36" t="str">
            <v>RON/PLN Exposure</v>
          </cell>
          <cell r="AS36" t="str">
            <v>RSD/PLN Exposure</v>
          </cell>
          <cell r="AT36" t="str">
            <v>RUB/PLN Exposure</v>
          </cell>
          <cell r="AU36" t="str">
            <v>SAR/PLN Exposure</v>
          </cell>
          <cell r="AV36" t="str">
            <v>SEK/PLN Exposure</v>
          </cell>
          <cell r="AW36" t="str">
            <v>SGD/PLN Exposure</v>
          </cell>
          <cell r="AX36" t="str">
            <v>THB/PLN Exposure</v>
          </cell>
          <cell r="AY36" t="str">
            <v>TRY/PLN Exposure</v>
          </cell>
          <cell r="AZ36" t="str">
            <v>TWD/PLN Exposure</v>
          </cell>
          <cell r="BA36" t="str">
            <v>UYU/PLN Exposure</v>
          </cell>
          <cell r="BB36" t="str">
            <v>ZAR/PLN Exposure</v>
          </cell>
          <cell r="BC36" t="str">
            <v>USD/PLN Exposure</v>
          </cell>
          <cell r="BD36" t="str">
            <v>Unnamed Column 7</v>
          </cell>
          <cell r="BE36" t="str">
            <v>Unnamed Column 8</v>
          </cell>
          <cell r="BF36" t="str">
            <v>Unnamed Column 9</v>
          </cell>
        </row>
        <row r="37">
          <cell r="B37" t="str">
            <v>TOTAL</v>
          </cell>
          <cell r="E37">
            <v>105.00000000000004</v>
          </cell>
          <cell r="L37">
            <v>4.6398388039028453E-2</v>
          </cell>
          <cell r="M37">
            <v>1.7939653535259705</v>
          </cell>
          <cell r="N37">
            <v>0.29900714062552364</v>
          </cell>
          <cell r="O37">
            <v>2.1686753785802368</v>
          </cell>
          <cell r="P37">
            <v>1.3404615418728523</v>
          </cell>
          <cell r="Q37">
            <v>3.8342040844500012E-2</v>
          </cell>
          <cell r="R37">
            <v>3.1255298869057491</v>
          </cell>
          <cell r="S37">
            <v>4.4285535611645423E-2</v>
          </cell>
          <cell r="T37">
            <v>5.9042173181467712E-2</v>
          </cell>
          <cell r="U37">
            <v>-1.7296074113373476E-4</v>
          </cell>
          <cell r="V37">
            <v>0.13225713422224841</v>
          </cell>
          <cell r="W37">
            <v>2.3860346633626322E-3</v>
          </cell>
          <cell r="X37">
            <v>3.1431635700494859E-3</v>
          </cell>
          <cell r="Y37">
            <v>28.104006669174403</v>
          </cell>
          <cell r="Z37">
            <v>13.9289290629661</v>
          </cell>
          <cell r="AA37">
            <v>1.1933478154798198</v>
          </cell>
          <cell r="AB37">
            <v>3.7361975756028017E-2</v>
          </cell>
          <cell r="AC37">
            <v>0.16320375669267118</v>
          </cell>
          <cell r="AD37">
            <v>1.236952276884732E-2</v>
          </cell>
          <cell r="AE37">
            <v>1.4391113488195619</v>
          </cell>
          <cell r="AF37">
            <v>-3.1132166817913589E-3</v>
          </cell>
          <cell r="AG37">
            <v>4.1145424728849536</v>
          </cell>
          <cell r="AH37">
            <v>0.44967534495446815</v>
          </cell>
          <cell r="AI37">
            <v>2.86132057624758E-2</v>
          </cell>
          <cell r="AJ37">
            <v>0.17878933526931376</v>
          </cell>
          <cell r="AK37">
            <v>0.15696237033145291</v>
          </cell>
          <cell r="AL37">
            <v>4.141019561658045E-2</v>
          </cell>
          <cell r="AM37">
            <v>3.0629648736613852E-2</v>
          </cell>
          <cell r="AN37">
            <v>3.0988150308036099E-2</v>
          </cell>
          <cell r="AO37">
            <v>2.2834463136629238E-2</v>
          </cell>
          <cell r="AP37">
            <v>-98.912041692481722</v>
          </cell>
          <cell r="AQ37">
            <v>3.1024126701633681E-2</v>
          </cell>
          <cell r="AR37">
            <v>3.9748682614886455E-2</v>
          </cell>
          <cell r="AS37">
            <v>3.4080715512909373E-3</v>
          </cell>
          <cell r="AT37">
            <v>1.2045904761904756E-2</v>
          </cell>
          <cell r="AU37">
            <v>0.15965280771461066</v>
          </cell>
          <cell r="AV37">
            <v>0.20940594793865475</v>
          </cell>
          <cell r="AW37">
            <v>0.18298427260585456</v>
          </cell>
          <cell r="AX37">
            <v>0.14748181302003158</v>
          </cell>
          <cell r="AY37">
            <v>6.2215717836401133E-2</v>
          </cell>
          <cell r="AZ37">
            <v>0.71425497114479508</v>
          </cell>
          <cell r="BA37">
            <v>1.7943095520610104E-3</v>
          </cell>
          <cell r="BB37">
            <v>0.20464069383815453</v>
          </cell>
          <cell r="BC37">
            <v>38.160401440323746</v>
          </cell>
        </row>
        <row r="38">
          <cell r="B38" t="str">
            <v>BRS26QQW4</v>
          </cell>
          <cell r="C38" t="str">
            <v>FTSE Actuaries UK Index-Linked Gilts ove</v>
          </cell>
          <cell r="D38" t="str">
            <v>FTILGLT5P</v>
          </cell>
          <cell r="E38">
            <v>2</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99.999999999999972</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-99.999999999999972</v>
          </cell>
          <cell r="AQ38">
            <v>0</v>
          </cell>
          <cell r="AR38">
            <v>0</v>
          </cell>
          <cell r="AS38">
            <v>0</v>
          </cell>
          <cell r="AT38">
            <v>0</v>
          </cell>
          <cell r="AU38">
            <v>0</v>
          </cell>
          <cell r="AV38">
            <v>0</v>
          </cell>
          <cell r="AW38">
            <v>0</v>
          </cell>
          <cell r="AX38">
            <v>0</v>
          </cell>
          <cell r="AY38">
            <v>0</v>
          </cell>
          <cell r="AZ38">
            <v>0</v>
          </cell>
          <cell r="BA38">
            <v>0</v>
          </cell>
          <cell r="BB38">
            <v>0</v>
          </cell>
          <cell r="BC38">
            <v>0</v>
          </cell>
        </row>
        <row r="39">
          <cell r="B39" t="str">
            <v>BRT9TAL37</v>
          </cell>
          <cell r="C39" t="str">
            <v>CMA - Core Real Estate UK hedged</v>
          </cell>
          <cell r="D39" t="str">
            <v>CMA_UKREHD</v>
          </cell>
          <cell r="E39">
            <v>1</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-100</v>
          </cell>
          <cell r="AQ39">
            <v>0</v>
          </cell>
          <cell r="AR39">
            <v>0</v>
          </cell>
          <cell r="AS39">
            <v>0</v>
          </cell>
          <cell r="AT39">
            <v>0</v>
          </cell>
          <cell r="AU39">
            <v>0</v>
          </cell>
          <cell r="AV39">
            <v>0</v>
          </cell>
          <cell r="AW39">
            <v>0</v>
          </cell>
          <cell r="AX39">
            <v>0</v>
          </cell>
          <cell r="AY39">
            <v>0</v>
          </cell>
          <cell r="AZ39">
            <v>0</v>
          </cell>
          <cell r="BA39">
            <v>0</v>
          </cell>
          <cell r="BB39">
            <v>0</v>
          </cell>
          <cell r="BC39">
            <v>100</v>
          </cell>
        </row>
        <row r="40">
          <cell r="B40" t="str">
            <v>BRTE916L5</v>
          </cell>
          <cell r="C40" t="str">
            <v>MSCI China A Inclusion NET Index</v>
          </cell>
          <cell r="D40" t="str">
            <v>MSCNAINCLN</v>
          </cell>
          <cell r="E40">
            <v>1</v>
          </cell>
          <cell r="L40">
            <v>0</v>
          </cell>
          <cell r="M40">
            <v>0</v>
          </cell>
          <cell r="N40">
            <v>0</v>
          </cell>
          <cell r="O40">
            <v>0</v>
          </cell>
          <cell r="P40">
            <v>0</v>
          </cell>
          <cell r="Q40">
            <v>0</v>
          </cell>
          <cell r="R40">
            <v>99.295500264355596</v>
          </cell>
          <cell r="S40">
            <v>0</v>
          </cell>
          <cell r="T40">
            <v>0</v>
          </cell>
          <cell r="U40">
            <v>0</v>
          </cell>
          <cell r="V40">
            <v>0</v>
          </cell>
          <cell r="W40">
            <v>0</v>
          </cell>
          <cell r="X40">
            <v>0</v>
          </cell>
          <cell r="Y40">
            <v>0</v>
          </cell>
          <cell r="Z40">
            <v>0</v>
          </cell>
          <cell r="AA40">
            <v>0.70449973564454815</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-100.00000000000016</v>
          </cell>
          <cell r="AQ40">
            <v>0</v>
          </cell>
          <cell r="AR40">
            <v>0</v>
          </cell>
          <cell r="AS40">
            <v>0</v>
          </cell>
          <cell r="AT40">
            <v>0</v>
          </cell>
          <cell r="AU40">
            <v>0</v>
          </cell>
          <cell r="AV40">
            <v>0</v>
          </cell>
          <cell r="AW40">
            <v>0</v>
          </cell>
          <cell r="AX40">
            <v>0</v>
          </cell>
          <cell r="AY40">
            <v>0</v>
          </cell>
          <cell r="AZ40">
            <v>0</v>
          </cell>
          <cell r="BA40">
            <v>0</v>
          </cell>
          <cell r="BB40">
            <v>0</v>
          </cell>
          <cell r="BC40">
            <v>0</v>
          </cell>
        </row>
        <row r="41">
          <cell r="B41" t="str">
            <v>BRSJNB3E6</v>
          </cell>
          <cell r="C41" t="str">
            <v>MSCI USA Information Technology Index</v>
          </cell>
          <cell r="D41" t="str">
            <v>MSUSATEC</v>
          </cell>
          <cell r="E41">
            <v>1</v>
          </cell>
          <cell r="L41">
            <v>0</v>
          </cell>
          <cell r="M41">
            <v>0</v>
          </cell>
          <cell r="N41">
            <v>0</v>
          </cell>
          <cell r="O41">
            <v>0</v>
          </cell>
          <cell r="P41">
            <v>0</v>
          </cell>
          <cell r="Q41">
            <v>0</v>
          </cell>
          <cell r="R41">
            <v>0</v>
          </cell>
          <cell r="S41">
            <v>0</v>
          </cell>
          <cell r="T41">
            <v>0</v>
          </cell>
          <cell r="U41">
            <v>0</v>
          </cell>
          <cell r="V41">
            <v>0</v>
          </cell>
          <cell r="W41">
            <v>0</v>
          </cell>
          <cell r="X41">
            <v>0</v>
          </cell>
          <cell r="Y41">
            <v>0.43084455216596806</v>
          </cell>
          <cell r="Z41">
            <v>0</v>
          </cell>
          <cell r="AA41">
            <v>0</v>
          </cell>
          <cell r="AB41">
            <v>0</v>
          </cell>
          <cell r="AC41">
            <v>0</v>
          </cell>
          <cell r="AD41">
            <v>0</v>
          </cell>
          <cell r="AE41">
            <v>0.25416129060443943</v>
          </cell>
          <cell r="AF41">
            <v>0</v>
          </cell>
          <cell r="AG41">
            <v>0</v>
          </cell>
          <cell r="AH41">
            <v>0</v>
          </cell>
          <cell r="AI41">
            <v>0</v>
          </cell>
          <cell r="AJ41">
            <v>0</v>
          </cell>
          <cell r="AK41">
            <v>0</v>
          </cell>
          <cell r="AL41">
            <v>0</v>
          </cell>
          <cell r="AM41">
            <v>0</v>
          </cell>
          <cell r="AN41">
            <v>0</v>
          </cell>
          <cell r="AO41">
            <v>0</v>
          </cell>
          <cell r="AP41">
            <v>-100</v>
          </cell>
          <cell r="AQ41">
            <v>0</v>
          </cell>
          <cell r="AR41">
            <v>0</v>
          </cell>
          <cell r="AS41">
            <v>0</v>
          </cell>
          <cell r="AT41">
            <v>0</v>
          </cell>
          <cell r="AU41">
            <v>0</v>
          </cell>
          <cell r="AV41">
            <v>0</v>
          </cell>
          <cell r="AW41">
            <v>0</v>
          </cell>
          <cell r="AX41">
            <v>0</v>
          </cell>
          <cell r="AY41">
            <v>0</v>
          </cell>
          <cell r="AZ41">
            <v>0</v>
          </cell>
          <cell r="BA41">
            <v>0</v>
          </cell>
          <cell r="BB41">
            <v>0</v>
          </cell>
          <cell r="BC41">
            <v>99.314994157229592</v>
          </cell>
        </row>
        <row r="42">
          <cell r="B42" t="str">
            <v>BRSJNAPD6</v>
          </cell>
          <cell r="C42" t="str">
            <v>MSCI USA Consumer Discretionary Index</v>
          </cell>
          <cell r="D42" t="str">
            <v>MSUSACDS</v>
          </cell>
          <cell r="E42">
            <v>1.0000000000000002</v>
          </cell>
          <cell r="L42">
            <v>0</v>
          </cell>
          <cell r="M42">
            <v>0</v>
          </cell>
          <cell r="N42">
            <v>1.9460381601536236</v>
          </cell>
          <cell r="O42">
            <v>0</v>
          </cell>
          <cell r="P42">
            <v>0</v>
          </cell>
          <cell r="Q42">
            <v>0</v>
          </cell>
          <cell r="R42">
            <v>0</v>
          </cell>
          <cell r="S42">
            <v>0</v>
          </cell>
          <cell r="T42">
            <v>0</v>
          </cell>
          <cell r="U42">
            <v>0</v>
          </cell>
          <cell r="V42">
            <v>0</v>
          </cell>
          <cell r="W42">
            <v>0</v>
          </cell>
          <cell r="X42">
            <v>0</v>
          </cell>
          <cell r="Y42">
            <v>0.78077143133591376</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-99.999999999999957</v>
          </cell>
          <cell r="AQ42">
            <v>0</v>
          </cell>
          <cell r="AR42">
            <v>0</v>
          </cell>
          <cell r="AS42">
            <v>0</v>
          </cell>
          <cell r="AT42">
            <v>0</v>
          </cell>
          <cell r="AU42">
            <v>0</v>
          </cell>
          <cell r="AV42">
            <v>0</v>
          </cell>
          <cell r="AW42">
            <v>0</v>
          </cell>
          <cell r="AX42">
            <v>0</v>
          </cell>
          <cell r="AY42">
            <v>0</v>
          </cell>
          <cell r="AZ42">
            <v>0</v>
          </cell>
          <cell r="BA42">
            <v>0</v>
          </cell>
          <cell r="BB42">
            <v>0</v>
          </cell>
          <cell r="BC42">
            <v>97.27319040851043</v>
          </cell>
        </row>
        <row r="43">
          <cell r="B43" t="str">
            <v>BRSLC4YJ4</v>
          </cell>
          <cell r="C43" t="str">
            <v>PE - Buyout Global Fund</v>
          </cell>
          <cell r="E43">
            <v>1</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-100</v>
          </cell>
          <cell r="AQ43">
            <v>0</v>
          </cell>
          <cell r="AR43">
            <v>0</v>
          </cell>
          <cell r="AS43">
            <v>0</v>
          </cell>
          <cell r="AT43">
            <v>0</v>
          </cell>
          <cell r="AU43">
            <v>0</v>
          </cell>
          <cell r="AV43">
            <v>0</v>
          </cell>
          <cell r="AW43">
            <v>0</v>
          </cell>
          <cell r="AX43">
            <v>0</v>
          </cell>
          <cell r="AY43">
            <v>0</v>
          </cell>
          <cell r="AZ43">
            <v>0</v>
          </cell>
          <cell r="BA43">
            <v>0</v>
          </cell>
          <cell r="BB43">
            <v>0</v>
          </cell>
          <cell r="BC43">
            <v>100</v>
          </cell>
        </row>
        <row r="44">
          <cell r="B44" t="str">
            <v>BRTDWC9U4</v>
          </cell>
          <cell r="C44" t="str">
            <v>MSCI USA/REAL ESTATE Index</v>
          </cell>
          <cell r="D44" t="str">
            <v>MSCIUSDRS</v>
          </cell>
          <cell r="E44">
            <v>1.0000000000000002</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-100</v>
          </cell>
          <cell r="AQ44">
            <v>0</v>
          </cell>
          <cell r="AR44">
            <v>0</v>
          </cell>
          <cell r="AS44">
            <v>0</v>
          </cell>
          <cell r="AT44">
            <v>0</v>
          </cell>
          <cell r="AU44">
            <v>0</v>
          </cell>
          <cell r="AV44">
            <v>0</v>
          </cell>
          <cell r="AW44">
            <v>0</v>
          </cell>
          <cell r="AX44">
            <v>0</v>
          </cell>
          <cell r="AY44">
            <v>0</v>
          </cell>
          <cell r="AZ44">
            <v>0</v>
          </cell>
          <cell r="BA44">
            <v>0</v>
          </cell>
          <cell r="BB44">
            <v>0</v>
          </cell>
          <cell r="BC44">
            <v>100</v>
          </cell>
        </row>
        <row r="45">
          <cell r="B45" t="str">
            <v>BRS1PQBB7</v>
          </cell>
          <cell r="C45" t="str">
            <v>BBG Euro Aggregate Corporate Index</v>
          </cell>
          <cell r="D45" t="str">
            <v>LEURAGCORP</v>
          </cell>
          <cell r="E45">
            <v>2</v>
          </cell>
          <cell r="L45">
            <v>0</v>
          </cell>
          <cell r="M45">
            <v>0</v>
          </cell>
          <cell r="N45">
            <v>0</v>
          </cell>
          <cell r="O45">
            <v>0</v>
          </cell>
          <cell r="P45">
            <v>0</v>
          </cell>
          <cell r="Q45">
            <v>0</v>
          </cell>
          <cell r="R45">
            <v>0</v>
          </cell>
          <cell r="S45">
            <v>0</v>
          </cell>
          <cell r="T45">
            <v>0</v>
          </cell>
          <cell r="U45">
            <v>0</v>
          </cell>
          <cell r="V45">
            <v>0</v>
          </cell>
          <cell r="W45">
            <v>0</v>
          </cell>
          <cell r="X45">
            <v>0</v>
          </cell>
          <cell r="Y45">
            <v>100.10632951667607</v>
          </cell>
          <cell r="Z45">
            <v>0</v>
          </cell>
          <cell r="AA45">
            <v>0</v>
          </cell>
          <cell r="AB45">
            <v>0</v>
          </cell>
          <cell r="AC45">
            <v>0</v>
          </cell>
          <cell r="AD45">
            <v>0</v>
          </cell>
          <cell r="AE45">
            <v>0</v>
          </cell>
          <cell r="AF45">
            <v>-0.10632951667613165</v>
          </cell>
          <cell r="AG45">
            <v>0</v>
          </cell>
          <cell r="AH45">
            <v>0</v>
          </cell>
          <cell r="AI45">
            <v>0</v>
          </cell>
          <cell r="AJ45">
            <v>0</v>
          </cell>
          <cell r="AK45">
            <v>0</v>
          </cell>
          <cell r="AL45">
            <v>0</v>
          </cell>
          <cell r="AM45">
            <v>0</v>
          </cell>
          <cell r="AN45">
            <v>0</v>
          </cell>
          <cell r="AO45">
            <v>0</v>
          </cell>
          <cell r="AP45">
            <v>-99.999999999999929</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B46" t="str">
            <v>BRT8ZZBD6</v>
          </cell>
          <cell r="C46" t="str">
            <v>BBG U.S. Tips Index 10Yr Plus - USD GROS</v>
          </cell>
          <cell r="D46" t="str">
            <v>BBUSTIPS10</v>
          </cell>
          <cell r="E46">
            <v>1</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-100</v>
          </cell>
          <cell r="AQ46">
            <v>0</v>
          </cell>
          <cell r="AR46">
            <v>0</v>
          </cell>
          <cell r="AS46">
            <v>0</v>
          </cell>
          <cell r="AT46">
            <v>0</v>
          </cell>
          <cell r="AU46">
            <v>0</v>
          </cell>
          <cell r="AV46">
            <v>0</v>
          </cell>
          <cell r="AW46">
            <v>0</v>
          </cell>
          <cell r="AX46">
            <v>0</v>
          </cell>
          <cell r="AY46">
            <v>0</v>
          </cell>
          <cell r="AZ46">
            <v>0</v>
          </cell>
          <cell r="BA46">
            <v>0</v>
          </cell>
          <cell r="BB46">
            <v>0</v>
          </cell>
          <cell r="BC46">
            <v>100</v>
          </cell>
        </row>
        <row r="47">
          <cell r="B47" t="str">
            <v>BRSJNB3N6</v>
          </cell>
          <cell r="C47" t="str">
            <v>MSCI USA Telecommunication Services Inde</v>
          </cell>
          <cell r="D47" t="str">
            <v>MSUSATEL</v>
          </cell>
          <cell r="E47">
            <v>1</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-99.999999999999986</v>
          </cell>
          <cell r="AQ47">
            <v>0</v>
          </cell>
          <cell r="AR47">
            <v>0</v>
          </cell>
          <cell r="AS47">
            <v>0</v>
          </cell>
          <cell r="AT47">
            <v>0</v>
          </cell>
          <cell r="AU47">
            <v>0</v>
          </cell>
          <cell r="AV47">
            <v>0</v>
          </cell>
          <cell r="AW47">
            <v>0</v>
          </cell>
          <cell r="AX47">
            <v>0</v>
          </cell>
          <cell r="AY47">
            <v>0</v>
          </cell>
          <cell r="AZ47">
            <v>0</v>
          </cell>
          <cell r="BA47">
            <v>0</v>
          </cell>
          <cell r="BB47">
            <v>0</v>
          </cell>
          <cell r="BC47">
            <v>99.999999999999986</v>
          </cell>
        </row>
        <row r="48">
          <cell r="B48" t="str">
            <v>BRS26QUC3</v>
          </cell>
          <cell r="C48" t="str">
            <v>MSCI Developed - US Gross TR Index</v>
          </cell>
          <cell r="D48" t="str">
            <v>MS_US</v>
          </cell>
          <cell r="E48">
            <v>1</v>
          </cell>
          <cell r="L48">
            <v>0</v>
          </cell>
          <cell r="M48">
            <v>3.3572076984601941E-2</v>
          </cell>
          <cell r="N48">
            <v>0.19099711183084575</v>
          </cell>
          <cell r="O48">
            <v>0.12092186133200822</v>
          </cell>
          <cell r="P48">
            <v>0</v>
          </cell>
          <cell r="Q48">
            <v>0</v>
          </cell>
          <cell r="R48">
            <v>0</v>
          </cell>
          <cell r="S48">
            <v>0</v>
          </cell>
          <cell r="T48">
            <v>0</v>
          </cell>
          <cell r="U48">
            <v>0</v>
          </cell>
          <cell r="V48">
            <v>0</v>
          </cell>
          <cell r="W48">
            <v>0</v>
          </cell>
          <cell r="X48">
            <v>0</v>
          </cell>
          <cell r="Y48">
            <v>0.35482724602756144</v>
          </cell>
          <cell r="Z48">
            <v>8.4345037887521901E-2</v>
          </cell>
          <cell r="AA48">
            <v>0</v>
          </cell>
          <cell r="AB48">
            <v>0</v>
          </cell>
          <cell r="AC48">
            <v>0</v>
          </cell>
          <cell r="AD48">
            <v>0</v>
          </cell>
          <cell r="AE48">
            <v>7.8509722597016357E-2</v>
          </cell>
          <cell r="AF48">
            <v>0</v>
          </cell>
          <cell r="AG48">
            <v>0</v>
          </cell>
          <cell r="AH48">
            <v>0</v>
          </cell>
          <cell r="AI48">
            <v>0</v>
          </cell>
          <cell r="AJ48">
            <v>0</v>
          </cell>
          <cell r="AK48">
            <v>0</v>
          </cell>
          <cell r="AL48">
            <v>0</v>
          </cell>
          <cell r="AM48">
            <v>0</v>
          </cell>
          <cell r="AN48">
            <v>0</v>
          </cell>
          <cell r="AO48">
            <v>0</v>
          </cell>
          <cell r="AP48">
            <v>-100.00000000000009</v>
          </cell>
          <cell r="AQ48">
            <v>0</v>
          </cell>
          <cell r="AR48">
            <v>0</v>
          </cell>
          <cell r="AS48">
            <v>0</v>
          </cell>
          <cell r="AT48">
            <v>0</v>
          </cell>
          <cell r="AU48">
            <v>0</v>
          </cell>
          <cell r="AV48">
            <v>0</v>
          </cell>
          <cell r="AW48">
            <v>0</v>
          </cell>
          <cell r="AX48">
            <v>0</v>
          </cell>
          <cell r="AY48">
            <v>0</v>
          </cell>
          <cell r="AZ48">
            <v>0</v>
          </cell>
          <cell r="BA48">
            <v>0</v>
          </cell>
          <cell r="BB48">
            <v>0</v>
          </cell>
          <cell r="BC48">
            <v>99.136826943340537</v>
          </cell>
        </row>
        <row r="49">
          <cell r="B49" t="str">
            <v>B00229466</v>
          </cell>
          <cell r="C49" t="str">
            <v>BBG US Long Credit Index</v>
          </cell>
          <cell r="D49" t="str">
            <v>LCREDLONG</v>
          </cell>
          <cell r="E49">
            <v>1</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-100.00000000000041</v>
          </cell>
          <cell r="AQ49">
            <v>0</v>
          </cell>
          <cell r="AR49">
            <v>0</v>
          </cell>
          <cell r="AS49">
            <v>0</v>
          </cell>
          <cell r="AT49">
            <v>0</v>
          </cell>
          <cell r="AU49">
            <v>0</v>
          </cell>
          <cell r="AV49">
            <v>0</v>
          </cell>
          <cell r="AW49">
            <v>0</v>
          </cell>
          <cell r="AX49">
            <v>0</v>
          </cell>
          <cell r="AY49">
            <v>0</v>
          </cell>
          <cell r="AZ49">
            <v>0</v>
          </cell>
          <cell r="BA49">
            <v>0</v>
          </cell>
          <cell r="BB49">
            <v>0</v>
          </cell>
          <cell r="BC49">
            <v>100.00000000000041</v>
          </cell>
        </row>
        <row r="50">
          <cell r="B50" t="str">
            <v>BRSN0NSF6</v>
          </cell>
          <cell r="C50" t="str">
            <v>FTSE EPRA Nareit Global REITs Index Gros</v>
          </cell>
          <cell r="D50" t="str">
            <v>FTENGRT</v>
          </cell>
          <cell r="E50">
            <v>1</v>
          </cell>
          <cell r="L50">
            <v>0</v>
          </cell>
          <cell r="M50">
            <v>6.2601348063936992</v>
          </cell>
          <cell r="N50">
            <v>0</v>
          </cell>
          <cell r="O50">
            <v>2.2930918018085276</v>
          </cell>
          <cell r="P50">
            <v>0</v>
          </cell>
          <cell r="Q50">
            <v>0</v>
          </cell>
          <cell r="R50">
            <v>0</v>
          </cell>
          <cell r="S50">
            <v>0</v>
          </cell>
          <cell r="T50">
            <v>0</v>
          </cell>
          <cell r="U50">
            <v>0</v>
          </cell>
          <cell r="V50">
            <v>0</v>
          </cell>
          <cell r="W50">
            <v>0</v>
          </cell>
          <cell r="X50">
            <v>0</v>
          </cell>
          <cell r="Y50">
            <v>3.3577822380401856</v>
          </cell>
          <cell r="Z50">
            <v>4.3879649211175691</v>
          </cell>
          <cell r="AA50">
            <v>0.86117122421559933</v>
          </cell>
          <cell r="AB50">
            <v>0</v>
          </cell>
          <cell r="AC50">
            <v>0</v>
          </cell>
          <cell r="AD50">
            <v>0</v>
          </cell>
          <cell r="AE50">
            <v>0.3658270133111528</v>
          </cell>
          <cell r="AF50">
            <v>0</v>
          </cell>
          <cell r="AG50">
            <v>5.73160419241988</v>
          </cell>
          <cell r="AH50">
            <v>0.13380936369076585</v>
          </cell>
          <cell r="AI50">
            <v>0</v>
          </cell>
          <cell r="AJ50">
            <v>0.4935067173689503</v>
          </cell>
          <cell r="AK50">
            <v>7.081801978248671E-2</v>
          </cell>
          <cell r="AL50">
            <v>0</v>
          </cell>
          <cell r="AM50">
            <v>0.25199227967770954</v>
          </cell>
          <cell r="AN50">
            <v>0</v>
          </cell>
          <cell r="AO50">
            <v>3.3589765679158758E-2</v>
          </cell>
          <cell r="AP50">
            <v>-100.00000000000003</v>
          </cell>
          <cell r="AQ50">
            <v>0</v>
          </cell>
          <cell r="AR50">
            <v>0</v>
          </cell>
          <cell r="AS50">
            <v>0</v>
          </cell>
          <cell r="AT50">
            <v>0</v>
          </cell>
          <cell r="AU50">
            <v>0.16007445598490591</v>
          </cell>
          <cell r="AV50">
            <v>0</v>
          </cell>
          <cell r="AW50">
            <v>2.8400180365900254</v>
          </cell>
          <cell r="AX50">
            <v>4.9351121008760337E-2</v>
          </cell>
          <cell r="AY50">
            <v>7.3427256165472896E-2</v>
          </cell>
          <cell r="AZ50">
            <v>0</v>
          </cell>
          <cell r="BA50">
            <v>0</v>
          </cell>
          <cell r="BB50">
            <v>0.41522112856488069</v>
          </cell>
          <cell r="BC50">
            <v>72.220615658180293</v>
          </cell>
        </row>
        <row r="51">
          <cell r="B51" t="str">
            <v>BRT065P53</v>
          </cell>
          <cell r="C51" t="str">
            <v>MSCI USA Industrials Index</v>
          </cell>
          <cell r="D51" t="str">
            <v>MSCIUSAIND</v>
          </cell>
          <cell r="E51">
            <v>1</v>
          </cell>
          <cell r="L51">
            <v>0</v>
          </cell>
          <cell r="M51">
            <v>0</v>
          </cell>
          <cell r="N51">
            <v>0</v>
          </cell>
          <cell r="O51">
            <v>1.1115784178547257</v>
          </cell>
          <cell r="P51">
            <v>0</v>
          </cell>
          <cell r="Q51">
            <v>0</v>
          </cell>
          <cell r="R51">
            <v>0</v>
          </cell>
          <cell r="S51">
            <v>0</v>
          </cell>
          <cell r="T51">
            <v>0</v>
          </cell>
          <cell r="U51">
            <v>0</v>
          </cell>
          <cell r="V51">
            <v>0</v>
          </cell>
          <cell r="W51">
            <v>0</v>
          </cell>
          <cell r="X51">
            <v>0</v>
          </cell>
          <cell r="Y51">
            <v>0.21024524679143092</v>
          </cell>
          <cell r="Z51">
            <v>0.95958672192052419</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-100.00000000000003</v>
          </cell>
          <cell r="AQ51">
            <v>0</v>
          </cell>
          <cell r="AR51">
            <v>0</v>
          </cell>
          <cell r="AS51">
            <v>0</v>
          </cell>
          <cell r="AT51">
            <v>0</v>
          </cell>
          <cell r="AU51">
            <v>0</v>
          </cell>
          <cell r="AV51">
            <v>0</v>
          </cell>
          <cell r="AW51">
            <v>0</v>
          </cell>
          <cell r="AX51">
            <v>0</v>
          </cell>
          <cell r="AY51">
            <v>0</v>
          </cell>
          <cell r="AZ51">
            <v>0</v>
          </cell>
          <cell r="BA51">
            <v>0</v>
          </cell>
          <cell r="BB51">
            <v>0</v>
          </cell>
          <cell r="BC51">
            <v>97.718589613433338</v>
          </cell>
        </row>
        <row r="52">
          <cell r="B52" t="str">
            <v>BRS2NHUY6</v>
          </cell>
          <cell r="C52" t="str">
            <v>MSCI World Small Cap</v>
          </cell>
          <cell r="D52" t="str">
            <v>MSW_SMALL</v>
          </cell>
          <cell r="E52">
            <v>1.0000000000000002</v>
          </cell>
          <cell r="L52">
            <v>0</v>
          </cell>
          <cell r="M52">
            <v>3.2080825798300823</v>
          </cell>
          <cell r="N52">
            <v>0</v>
          </cell>
          <cell r="O52">
            <v>3.712418538626324</v>
          </cell>
          <cell r="P52">
            <v>1.5102122160609861</v>
          </cell>
          <cell r="Q52">
            <v>0</v>
          </cell>
          <cell r="R52">
            <v>0</v>
          </cell>
          <cell r="S52">
            <v>3.2838974688585557E-2</v>
          </cell>
          <cell r="T52">
            <v>0</v>
          </cell>
          <cell r="U52">
            <v>0</v>
          </cell>
          <cell r="V52">
            <v>0.74928074687547241</v>
          </cell>
          <cell r="W52">
            <v>0</v>
          </cell>
          <cell r="X52">
            <v>2.3526281963582578E-2</v>
          </cell>
          <cell r="Y52">
            <v>6.5356056436226408</v>
          </cell>
          <cell r="Z52">
            <v>5.6778506524732233</v>
          </cell>
          <cell r="AA52">
            <v>0.58967708040054423</v>
          </cell>
          <cell r="AB52">
            <v>0</v>
          </cell>
          <cell r="AC52">
            <v>7.795668710676427E-3</v>
          </cell>
          <cell r="AD52">
            <v>0.90879989072896894</v>
          </cell>
          <cell r="AE52">
            <v>2.5417522978863152E-2</v>
          </cell>
          <cell r="AF52">
            <v>0</v>
          </cell>
          <cell r="AG52">
            <v>12.512374009821984</v>
          </cell>
          <cell r="AH52">
            <v>0</v>
          </cell>
          <cell r="AI52">
            <v>0</v>
          </cell>
          <cell r="AJ52">
            <v>6.0862335764157061E-2</v>
          </cell>
          <cell r="AK52">
            <v>0</v>
          </cell>
          <cell r="AL52">
            <v>0.75786931564686288</v>
          </cell>
          <cell r="AM52">
            <v>0.28295548778157625</v>
          </cell>
          <cell r="AN52">
            <v>3.9763570920813007E-2</v>
          </cell>
          <cell r="AO52">
            <v>0</v>
          </cell>
          <cell r="AP52">
            <v>-100.00000000000003</v>
          </cell>
          <cell r="AQ52">
            <v>0</v>
          </cell>
          <cell r="AR52">
            <v>0</v>
          </cell>
          <cell r="AS52">
            <v>0</v>
          </cell>
          <cell r="AT52">
            <v>0</v>
          </cell>
          <cell r="AU52">
            <v>0</v>
          </cell>
          <cell r="AV52">
            <v>1.9630865423626467</v>
          </cell>
          <cell r="AW52">
            <v>0.8794518753387971</v>
          </cell>
          <cell r="AX52">
            <v>0</v>
          </cell>
          <cell r="AY52">
            <v>1.5925492828529415E-2</v>
          </cell>
          <cell r="AZ52">
            <v>0</v>
          </cell>
          <cell r="BA52">
            <v>0</v>
          </cell>
          <cell r="BB52">
            <v>1.77312310166803E-2</v>
          </cell>
          <cell r="BC52">
            <v>60.488474341558025</v>
          </cell>
        </row>
        <row r="53">
          <cell r="B53" t="str">
            <v>BRSJNB2T4</v>
          </cell>
          <cell r="C53" t="str">
            <v>MSCI USA Health Care Index</v>
          </cell>
          <cell r="D53" t="str">
            <v>MSUSAHLT</v>
          </cell>
          <cell r="E53">
            <v>1</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-100</v>
          </cell>
          <cell r="AQ53">
            <v>0</v>
          </cell>
          <cell r="AR53">
            <v>0</v>
          </cell>
          <cell r="AS53">
            <v>0</v>
          </cell>
          <cell r="AT53">
            <v>0</v>
          </cell>
          <cell r="AU53">
            <v>0</v>
          </cell>
          <cell r="AV53">
            <v>0</v>
          </cell>
          <cell r="AW53">
            <v>0</v>
          </cell>
          <cell r="AX53">
            <v>0</v>
          </cell>
          <cell r="AY53">
            <v>0</v>
          </cell>
          <cell r="AZ53">
            <v>0</v>
          </cell>
          <cell r="BA53">
            <v>0</v>
          </cell>
          <cell r="BB53">
            <v>0</v>
          </cell>
          <cell r="BC53">
            <v>100</v>
          </cell>
        </row>
        <row r="54">
          <cell r="B54" t="str">
            <v>B00229474</v>
          </cell>
          <cell r="C54" t="str">
            <v>BBG US Long Treasury Index</v>
          </cell>
          <cell r="D54" t="str">
            <v>LEH_10P</v>
          </cell>
          <cell r="E54">
            <v>1</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-100.00000000000003</v>
          </cell>
          <cell r="AQ54">
            <v>0</v>
          </cell>
          <cell r="AR54">
            <v>0</v>
          </cell>
          <cell r="AS54">
            <v>0</v>
          </cell>
          <cell r="AT54">
            <v>0</v>
          </cell>
          <cell r="AU54">
            <v>0</v>
          </cell>
          <cell r="AV54">
            <v>0</v>
          </cell>
          <cell r="AW54">
            <v>0</v>
          </cell>
          <cell r="AX54">
            <v>0</v>
          </cell>
          <cell r="AY54">
            <v>0</v>
          </cell>
          <cell r="AZ54">
            <v>0</v>
          </cell>
          <cell r="BA54">
            <v>0</v>
          </cell>
          <cell r="BB54">
            <v>0</v>
          </cell>
          <cell r="BC54">
            <v>100.00000000000003</v>
          </cell>
        </row>
        <row r="55">
          <cell r="B55" t="str">
            <v>BRTD2AEC5</v>
          </cell>
          <cell r="C55" t="str">
            <v>MSCI Emerging - China  in CNY</v>
          </cell>
          <cell r="D55" t="str">
            <v>MS_CN_CNY</v>
          </cell>
          <cell r="E55">
            <v>0.99999999999999989</v>
          </cell>
          <cell r="L55">
            <v>0</v>
          </cell>
          <cell r="M55">
            <v>0</v>
          </cell>
          <cell r="N55">
            <v>0</v>
          </cell>
          <cell r="O55">
            <v>0</v>
          </cell>
          <cell r="P55">
            <v>0</v>
          </cell>
          <cell r="Q55">
            <v>0</v>
          </cell>
          <cell r="R55">
            <v>15.239149864171512</v>
          </cell>
          <cell r="S55">
            <v>0</v>
          </cell>
          <cell r="T55">
            <v>0</v>
          </cell>
          <cell r="U55">
            <v>0</v>
          </cell>
          <cell r="V55">
            <v>0</v>
          </cell>
          <cell r="W55">
            <v>0</v>
          </cell>
          <cell r="X55">
            <v>0</v>
          </cell>
          <cell r="Y55">
            <v>0</v>
          </cell>
          <cell r="Z55">
            <v>0</v>
          </cell>
          <cell r="AA55">
            <v>84.760850135828576</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-100.0000000000001</v>
          </cell>
          <cell r="AQ55">
            <v>0</v>
          </cell>
          <cell r="AR55">
            <v>0</v>
          </cell>
          <cell r="AS55">
            <v>0</v>
          </cell>
          <cell r="AT55">
            <v>0</v>
          </cell>
          <cell r="AU55">
            <v>0</v>
          </cell>
          <cell r="AV55">
            <v>0</v>
          </cell>
          <cell r="AW55">
            <v>0</v>
          </cell>
          <cell r="AX55">
            <v>0</v>
          </cell>
          <cell r="AY55">
            <v>0</v>
          </cell>
          <cell r="AZ55">
            <v>0</v>
          </cell>
          <cell r="BA55">
            <v>0</v>
          </cell>
          <cell r="BB55">
            <v>0</v>
          </cell>
          <cell r="BC55">
            <v>0</v>
          </cell>
        </row>
        <row r="56">
          <cell r="B56" t="str">
            <v>BRTN07HB1</v>
          </cell>
          <cell r="C56" t="str">
            <v>CMA - Direct lending proxy</v>
          </cell>
          <cell r="D56" t="str">
            <v>CMA_DIRLEN</v>
          </cell>
          <cell r="E56">
            <v>1</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-99.999899999999997</v>
          </cell>
          <cell r="AQ56">
            <v>0</v>
          </cell>
          <cell r="AR56">
            <v>0</v>
          </cell>
          <cell r="AS56">
            <v>0</v>
          </cell>
          <cell r="AT56">
            <v>0</v>
          </cell>
          <cell r="AU56">
            <v>0</v>
          </cell>
          <cell r="AV56">
            <v>0</v>
          </cell>
          <cell r="AW56">
            <v>0</v>
          </cell>
          <cell r="AX56">
            <v>0</v>
          </cell>
          <cell r="AY56">
            <v>0</v>
          </cell>
          <cell r="AZ56">
            <v>0</v>
          </cell>
          <cell r="BA56">
            <v>0</v>
          </cell>
          <cell r="BB56">
            <v>0</v>
          </cell>
          <cell r="BC56">
            <v>99.999899999999997</v>
          </cell>
        </row>
        <row r="57">
          <cell r="B57" t="str">
            <v>BRSJNAKR0</v>
          </cell>
          <cell r="C57" t="str">
            <v>MSCI USA Energy Index</v>
          </cell>
          <cell r="D57" t="str">
            <v>MSUSAENG</v>
          </cell>
          <cell r="E57">
            <v>1</v>
          </cell>
          <cell r="L57">
            <v>0</v>
          </cell>
          <cell r="M57">
            <v>0</v>
          </cell>
          <cell r="N57">
            <v>0</v>
          </cell>
          <cell r="O57">
            <v>0.64497078299259558</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-100</v>
          </cell>
          <cell r="AQ57">
            <v>0</v>
          </cell>
          <cell r="AR57">
            <v>0</v>
          </cell>
          <cell r="AS57">
            <v>0</v>
          </cell>
          <cell r="AT57">
            <v>0</v>
          </cell>
          <cell r="AU57">
            <v>0</v>
          </cell>
          <cell r="AV57">
            <v>0</v>
          </cell>
          <cell r="AW57">
            <v>0</v>
          </cell>
          <cell r="AX57">
            <v>0</v>
          </cell>
          <cell r="AY57">
            <v>0</v>
          </cell>
          <cell r="AZ57">
            <v>0</v>
          </cell>
          <cell r="BA57">
            <v>0</v>
          </cell>
          <cell r="BB57">
            <v>0</v>
          </cell>
          <cell r="BC57">
            <v>99.355029217007413</v>
          </cell>
        </row>
        <row r="58">
          <cell r="B58" t="str">
            <v>BRSJNB3M8</v>
          </cell>
          <cell r="C58" t="str">
            <v>MSCI USA Materials Index -USD TR</v>
          </cell>
          <cell r="D58" t="str">
            <v>MSUSAMAT</v>
          </cell>
          <cell r="E58">
            <v>1</v>
          </cell>
          <cell r="L58">
            <v>0</v>
          </cell>
          <cell r="M58">
            <v>1.4114313484507652</v>
          </cell>
          <cell r="N58">
            <v>0</v>
          </cell>
          <cell r="O58">
            <v>0</v>
          </cell>
          <cell r="P58">
            <v>0</v>
          </cell>
          <cell r="Q58">
            <v>0</v>
          </cell>
          <cell r="R58">
            <v>0</v>
          </cell>
          <cell r="S58">
            <v>0</v>
          </cell>
          <cell r="T58">
            <v>0</v>
          </cell>
          <cell r="U58">
            <v>0</v>
          </cell>
          <cell r="V58">
            <v>0</v>
          </cell>
          <cell r="W58">
            <v>0</v>
          </cell>
          <cell r="X58">
            <v>0</v>
          </cell>
          <cell r="Y58">
            <v>5.3237761755947632</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-100</v>
          </cell>
          <cell r="AQ58">
            <v>0</v>
          </cell>
          <cell r="AR58">
            <v>0</v>
          </cell>
          <cell r="AS58">
            <v>0</v>
          </cell>
          <cell r="AT58">
            <v>0</v>
          </cell>
          <cell r="AU58">
            <v>0</v>
          </cell>
          <cell r="AV58">
            <v>0</v>
          </cell>
          <cell r="AW58">
            <v>0</v>
          </cell>
          <cell r="AX58">
            <v>0</v>
          </cell>
          <cell r="AY58">
            <v>0</v>
          </cell>
          <cell r="AZ58">
            <v>0</v>
          </cell>
          <cell r="BA58">
            <v>0</v>
          </cell>
          <cell r="BB58">
            <v>0</v>
          </cell>
          <cell r="BC58">
            <v>93.264792475954479</v>
          </cell>
        </row>
        <row r="59">
          <cell r="B59" t="str">
            <v>BRSJNB2E7</v>
          </cell>
          <cell r="C59" t="str">
            <v>MSCI USA Financials Index</v>
          </cell>
          <cell r="D59" t="str">
            <v>MSUSAFIS</v>
          </cell>
          <cell r="E59">
            <v>1.0000000000000002</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-99.999999999999957</v>
          </cell>
          <cell r="AQ59">
            <v>0</v>
          </cell>
          <cell r="AR59">
            <v>0</v>
          </cell>
          <cell r="AS59">
            <v>0</v>
          </cell>
          <cell r="AT59">
            <v>0</v>
          </cell>
          <cell r="AU59">
            <v>0</v>
          </cell>
          <cell r="AV59">
            <v>0</v>
          </cell>
          <cell r="AW59">
            <v>0</v>
          </cell>
          <cell r="AX59">
            <v>0</v>
          </cell>
          <cell r="AY59">
            <v>0</v>
          </cell>
          <cell r="AZ59">
            <v>0</v>
          </cell>
          <cell r="BA59">
            <v>0</v>
          </cell>
          <cell r="BB59">
            <v>0</v>
          </cell>
          <cell r="BC59">
            <v>99.999999999999957</v>
          </cell>
        </row>
        <row r="60">
          <cell r="B60" t="str">
            <v>BRSJNB462</v>
          </cell>
          <cell r="C60" t="str">
            <v>MSCI USA Utilities Index</v>
          </cell>
          <cell r="D60" t="str">
            <v>MSUSAUTI</v>
          </cell>
          <cell r="E60">
            <v>1</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-100</v>
          </cell>
          <cell r="AQ60">
            <v>0</v>
          </cell>
          <cell r="AR60">
            <v>0</v>
          </cell>
          <cell r="AS60">
            <v>0</v>
          </cell>
          <cell r="AT60">
            <v>0</v>
          </cell>
          <cell r="AU60">
            <v>0</v>
          </cell>
          <cell r="AV60">
            <v>0</v>
          </cell>
          <cell r="AW60">
            <v>0</v>
          </cell>
          <cell r="AX60">
            <v>0</v>
          </cell>
          <cell r="AY60">
            <v>0</v>
          </cell>
          <cell r="AZ60">
            <v>0</v>
          </cell>
          <cell r="BA60">
            <v>0</v>
          </cell>
          <cell r="BB60">
            <v>0</v>
          </cell>
          <cell r="BC60">
            <v>100</v>
          </cell>
        </row>
        <row r="61">
          <cell r="B61" t="str">
            <v>BRSJNB280</v>
          </cell>
          <cell r="C61" t="str">
            <v>MSCI USA Consumer Staples Index</v>
          </cell>
          <cell r="D61" t="str">
            <v>MSUSACST</v>
          </cell>
          <cell r="E61">
            <v>1</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-100.00000000000003</v>
          </cell>
          <cell r="AQ61">
            <v>0</v>
          </cell>
          <cell r="AR61">
            <v>0</v>
          </cell>
          <cell r="AS61">
            <v>0</v>
          </cell>
          <cell r="AT61">
            <v>0</v>
          </cell>
          <cell r="AU61">
            <v>0</v>
          </cell>
          <cell r="AV61">
            <v>0</v>
          </cell>
          <cell r="AW61">
            <v>0</v>
          </cell>
          <cell r="AX61">
            <v>0</v>
          </cell>
          <cell r="AY61">
            <v>0</v>
          </cell>
          <cell r="AZ61">
            <v>0</v>
          </cell>
          <cell r="BA61">
            <v>0</v>
          </cell>
          <cell r="BB61">
            <v>0</v>
          </cell>
          <cell r="BC61">
            <v>100.00000000000003</v>
          </cell>
        </row>
        <row r="62">
          <cell r="B62" t="str">
            <v>BRSKXU3M2</v>
          </cell>
          <cell r="C62" t="str">
            <v>FTSE Developed Core Infrastructure Net I</v>
          </cell>
          <cell r="D62" t="str">
            <v>FTDEVCRINF</v>
          </cell>
          <cell r="E62">
            <v>1</v>
          </cell>
          <cell r="L62">
            <v>0</v>
          </cell>
          <cell r="M62">
            <v>1.7141957906748544</v>
          </cell>
          <cell r="N62">
            <v>0</v>
          </cell>
          <cell r="O62">
            <v>13.601259478306988</v>
          </cell>
          <cell r="P62">
            <v>0.17456679126346872</v>
          </cell>
          <cell r="Q62">
            <v>0</v>
          </cell>
          <cell r="R62">
            <v>0</v>
          </cell>
          <cell r="S62">
            <v>0</v>
          </cell>
          <cell r="T62">
            <v>0</v>
          </cell>
          <cell r="U62">
            <v>0</v>
          </cell>
          <cell r="V62">
            <v>0</v>
          </cell>
          <cell r="W62">
            <v>0</v>
          </cell>
          <cell r="X62">
            <v>0</v>
          </cell>
          <cell r="Y62">
            <v>4.3380140032177996</v>
          </cell>
          <cell r="Z62">
            <v>3.7485104562072222</v>
          </cell>
          <cell r="AA62">
            <v>1.6781940591633424</v>
          </cell>
          <cell r="AB62">
            <v>0</v>
          </cell>
          <cell r="AC62">
            <v>0</v>
          </cell>
          <cell r="AD62">
            <v>0</v>
          </cell>
          <cell r="AE62">
            <v>0</v>
          </cell>
          <cell r="AF62">
            <v>0</v>
          </cell>
          <cell r="AG62">
            <v>4.2133122065497597</v>
          </cell>
          <cell r="AH62">
            <v>0.2071852504397734</v>
          </cell>
          <cell r="AI62">
            <v>0</v>
          </cell>
          <cell r="AJ62">
            <v>0</v>
          </cell>
          <cell r="AK62">
            <v>0</v>
          </cell>
          <cell r="AL62">
            <v>0</v>
          </cell>
          <cell r="AM62">
            <v>0.27013872252915538</v>
          </cell>
          <cell r="AN62">
            <v>0</v>
          </cell>
          <cell r="AO62">
            <v>0</v>
          </cell>
          <cell r="AP62">
            <v>-100.00000000000003</v>
          </cell>
          <cell r="AQ62">
            <v>0</v>
          </cell>
          <cell r="AR62">
            <v>0</v>
          </cell>
          <cell r="AS62">
            <v>0</v>
          </cell>
          <cell r="AT62">
            <v>0</v>
          </cell>
          <cell r="AU62">
            <v>0</v>
          </cell>
          <cell r="AV62">
            <v>0</v>
          </cell>
          <cell r="AW62">
            <v>0.10307687821889483</v>
          </cell>
          <cell r="AX62">
            <v>0</v>
          </cell>
          <cell r="AY62">
            <v>0</v>
          </cell>
          <cell r="AZ62">
            <v>0</v>
          </cell>
          <cell r="BA62">
            <v>0</v>
          </cell>
          <cell r="BB62">
            <v>0</v>
          </cell>
          <cell r="BC62">
            <v>69.951546363428776</v>
          </cell>
        </row>
        <row r="63">
          <cell r="B63" t="str">
            <v>B00211043</v>
          </cell>
          <cell r="C63" t="str">
            <v>Bloomberg U.S. Credit Index</v>
          </cell>
          <cell r="D63" t="str">
            <v>LEH_CREDIT</v>
          </cell>
          <cell r="E63">
            <v>1.0000000000000002</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-100</v>
          </cell>
          <cell r="AQ63">
            <v>0</v>
          </cell>
          <cell r="AR63">
            <v>0</v>
          </cell>
          <cell r="AS63">
            <v>0</v>
          </cell>
          <cell r="AT63">
            <v>0</v>
          </cell>
          <cell r="AU63">
            <v>0</v>
          </cell>
          <cell r="AV63">
            <v>0</v>
          </cell>
          <cell r="AW63">
            <v>0</v>
          </cell>
          <cell r="AX63">
            <v>0</v>
          </cell>
          <cell r="AY63">
            <v>0</v>
          </cell>
          <cell r="AZ63">
            <v>0</v>
          </cell>
          <cell r="BA63">
            <v>0</v>
          </cell>
          <cell r="BB63">
            <v>0</v>
          </cell>
          <cell r="BC63">
            <v>100</v>
          </cell>
        </row>
        <row r="64">
          <cell r="B64" t="str">
            <v>BRS2NHV82</v>
          </cell>
          <cell r="C64" t="str">
            <v xml:space="preserve">MSCI Developed - Japan Gross TR Index - </v>
          </cell>
          <cell r="D64" t="str">
            <v>MS_JP</v>
          </cell>
          <cell r="E64">
            <v>1.0000000000000002</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99.999999999999957</v>
          </cell>
          <cell r="AH64">
            <v>0</v>
          </cell>
          <cell r="AI64">
            <v>0</v>
          </cell>
          <cell r="AJ64">
            <v>0</v>
          </cell>
          <cell r="AK64">
            <v>0</v>
          </cell>
          <cell r="AL64">
            <v>0</v>
          </cell>
          <cell r="AM64">
            <v>0</v>
          </cell>
          <cell r="AN64">
            <v>0</v>
          </cell>
          <cell r="AO64">
            <v>0</v>
          </cell>
          <cell r="AP64">
            <v>-99.999999999999957</v>
          </cell>
          <cell r="AQ64">
            <v>0</v>
          </cell>
          <cell r="AR64">
            <v>0</v>
          </cell>
          <cell r="AS64">
            <v>0</v>
          </cell>
          <cell r="AT64">
            <v>0</v>
          </cell>
          <cell r="AU64">
            <v>0</v>
          </cell>
          <cell r="AV64">
            <v>0</v>
          </cell>
          <cell r="AW64">
            <v>0</v>
          </cell>
          <cell r="AX64">
            <v>0</v>
          </cell>
          <cell r="AY64">
            <v>0</v>
          </cell>
          <cell r="AZ64">
            <v>0</v>
          </cell>
          <cell r="BA64">
            <v>0</v>
          </cell>
          <cell r="BB64">
            <v>0</v>
          </cell>
          <cell r="BC64">
            <v>0</v>
          </cell>
        </row>
        <row r="65">
          <cell r="B65" t="str">
            <v>BRS8R3LP9</v>
          </cell>
          <cell r="C65" t="str">
            <v>S&amp;P India LargeCap Index</v>
          </cell>
          <cell r="D65" t="str">
            <v>SPBMIINL</v>
          </cell>
          <cell r="E65">
            <v>0.99999999999999989</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100</v>
          </cell>
          <cell r="AF65">
            <v>0</v>
          </cell>
          <cell r="AG65">
            <v>0</v>
          </cell>
          <cell r="AH65">
            <v>0</v>
          </cell>
          <cell r="AI65">
            <v>0</v>
          </cell>
          <cell r="AJ65">
            <v>0</v>
          </cell>
          <cell r="AK65">
            <v>0</v>
          </cell>
          <cell r="AL65">
            <v>0</v>
          </cell>
          <cell r="AM65">
            <v>0</v>
          </cell>
          <cell r="AN65">
            <v>0</v>
          </cell>
          <cell r="AO65">
            <v>0</v>
          </cell>
          <cell r="AP65">
            <v>-100</v>
          </cell>
          <cell r="AQ65">
            <v>0</v>
          </cell>
          <cell r="AR65">
            <v>0</v>
          </cell>
          <cell r="AS65">
            <v>0</v>
          </cell>
          <cell r="AT65">
            <v>0</v>
          </cell>
          <cell r="AU65">
            <v>0</v>
          </cell>
          <cell r="AV65">
            <v>0</v>
          </cell>
          <cell r="AW65">
            <v>0</v>
          </cell>
          <cell r="AX65">
            <v>0</v>
          </cell>
          <cell r="AY65">
            <v>0</v>
          </cell>
          <cell r="AZ65">
            <v>0</v>
          </cell>
          <cell r="BA65">
            <v>0</v>
          </cell>
          <cell r="BB65">
            <v>0</v>
          </cell>
          <cell r="BC65">
            <v>0</v>
          </cell>
        </row>
        <row r="66">
          <cell r="B66" t="str">
            <v>BRS029DE4</v>
          </cell>
          <cell r="C66" t="str">
            <v>BBG TIPS 5-10 Year Index</v>
          </cell>
          <cell r="D66" t="str">
            <v>LTIPS5-10</v>
          </cell>
          <cell r="E66">
            <v>1</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-100</v>
          </cell>
          <cell r="AQ66">
            <v>0</v>
          </cell>
          <cell r="AR66">
            <v>0</v>
          </cell>
          <cell r="AS66">
            <v>0</v>
          </cell>
          <cell r="AT66">
            <v>0</v>
          </cell>
          <cell r="AU66">
            <v>0</v>
          </cell>
          <cell r="AV66">
            <v>0</v>
          </cell>
          <cell r="AW66">
            <v>0</v>
          </cell>
          <cell r="AX66">
            <v>0</v>
          </cell>
          <cell r="AY66">
            <v>0</v>
          </cell>
          <cell r="AZ66">
            <v>0</v>
          </cell>
          <cell r="BA66">
            <v>0</v>
          </cell>
          <cell r="BB66">
            <v>0</v>
          </cell>
          <cell r="BC66">
            <v>100</v>
          </cell>
        </row>
        <row r="67">
          <cell r="B67" t="str">
            <v>BRS18RDA4</v>
          </cell>
          <cell r="C67" t="str">
            <v>Bloomberg U.S. Corporate High Yield 2% I</v>
          </cell>
          <cell r="D67" t="str">
            <v>LHY2ICAP</v>
          </cell>
          <cell r="E67">
            <v>1.0000000000000002</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-100.0000000000003</v>
          </cell>
          <cell r="AQ67">
            <v>0</v>
          </cell>
          <cell r="AR67">
            <v>0</v>
          </cell>
          <cell r="AS67">
            <v>0</v>
          </cell>
          <cell r="AT67">
            <v>0</v>
          </cell>
          <cell r="AU67">
            <v>0</v>
          </cell>
          <cell r="AV67">
            <v>0</v>
          </cell>
          <cell r="AW67">
            <v>0</v>
          </cell>
          <cell r="AX67">
            <v>0</v>
          </cell>
          <cell r="AY67">
            <v>0</v>
          </cell>
          <cell r="AZ67">
            <v>0</v>
          </cell>
          <cell r="BA67">
            <v>0</v>
          </cell>
          <cell r="BB67">
            <v>0</v>
          </cell>
          <cell r="BC67">
            <v>100.0000000000003</v>
          </cell>
        </row>
        <row r="68">
          <cell r="B68" t="str">
            <v>BRS1RYD42</v>
          </cell>
          <cell r="C68" t="str">
            <v xml:space="preserve">BBG US Government Inflation-Linked Bond </v>
          </cell>
          <cell r="D68" t="str">
            <v>BCLYUSDIL</v>
          </cell>
          <cell r="E68">
            <v>1</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-100</v>
          </cell>
          <cell r="AQ68">
            <v>0</v>
          </cell>
          <cell r="AR68">
            <v>0</v>
          </cell>
          <cell r="AS68">
            <v>0</v>
          </cell>
          <cell r="AT68">
            <v>0</v>
          </cell>
          <cell r="AU68">
            <v>0</v>
          </cell>
          <cell r="AV68">
            <v>0</v>
          </cell>
          <cell r="AW68">
            <v>0</v>
          </cell>
          <cell r="AX68">
            <v>0</v>
          </cell>
          <cell r="AY68">
            <v>0</v>
          </cell>
          <cell r="AZ68">
            <v>0</v>
          </cell>
          <cell r="BA68">
            <v>0</v>
          </cell>
          <cell r="BB68">
            <v>0</v>
          </cell>
          <cell r="BC68">
            <v>100</v>
          </cell>
        </row>
        <row r="69">
          <cell r="B69" t="str">
            <v>B06040008</v>
          </cell>
          <cell r="C69" t="str">
            <v>JP Morgan EMBI Global Diversified Index</v>
          </cell>
          <cell r="D69" t="str">
            <v>EMBIGLDIV</v>
          </cell>
          <cell r="E69">
            <v>1</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-99.999999999999844</v>
          </cell>
          <cell r="AQ69">
            <v>0</v>
          </cell>
          <cell r="AR69">
            <v>0</v>
          </cell>
          <cell r="AS69">
            <v>0</v>
          </cell>
          <cell r="AT69">
            <v>0</v>
          </cell>
          <cell r="AU69">
            <v>0</v>
          </cell>
          <cell r="AV69">
            <v>0</v>
          </cell>
          <cell r="AW69">
            <v>0</v>
          </cell>
          <cell r="AX69">
            <v>0</v>
          </cell>
          <cell r="AY69">
            <v>0</v>
          </cell>
          <cell r="AZ69">
            <v>0</v>
          </cell>
          <cell r="BA69">
            <v>0</v>
          </cell>
          <cell r="BB69">
            <v>0</v>
          </cell>
          <cell r="BC69">
            <v>99.999999999999844</v>
          </cell>
        </row>
        <row r="70">
          <cell r="B70" t="str">
            <v>BRS2NHTA0</v>
          </cell>
          <cell r="C70" t="str">
            <v>MSCI Emerging Markets Index</v>
          </cell>
          <cell r="D70" t="str">
            <v>MS_EM</v>
          </cell>
          <cell r="E70">
            <v>1.0000000000000002</v>
          </cell>
          <cell r="L70">
            <v>1.1852283026919415</v>
          </cell>
          <cell r="M70">
            <v>0</v>
          </cell>
          <cell r="N70">
            <v>5.1338091174771874</v>
          </cell>
          <cell r="O70">
            <v>0</v>
          </cell>
          <cell r="P70">
            <v>0</v>
          </cell>
          <cell r="Q70">
            <v>0.4271993581303456</v>
          </cell>
          <cell r="R70">
            <v>3.6511569566592623</v>
          </cell>
          <cell r="S70">
            <v>0.10335209322553947</v>
          </cell>
          <cell r="T70">
            <v>0.128425805920973</v>
          </cell>
          <cell r="U70">
            <v>0</v>
          </cell>
          <cell r="V70">
            <v>0</v>
          </cell>
          <cell r="W70">
            <v>0</v>
          </cell>
          <cell r="X70">
            <v>7.4567339934192581E-2</v>
          </cell>
          <cell r="Y70">
            <v>0.52424804978237627</v>
          </cell>
          <cell r="Z70">
            <v>4.4781615276786813E-2</v>
          </cell>
          <cell r="AA70">
            <v>20.307902368844481</v>
          </cell>
          <cell r="AB70">
            <v>0.24327689046022336</v>
          </cell>
          <cell r="AC70">
            <v>1.7353494674780157</v>
          </cell>
          <cell r="AD70">
            <v>0</v>
          </cell>
          <cell r="AE70">
            <v>20.342320168482861</v>
          </cell>
          <cell r="AF70">
            <v>0</v>
          </cell>
          <cell r="AG70">
            <v>0</v>
          </cell>
          <cell r="AH70">
            <v>11.403819378406402</v>
          </cell>
          <cell r="AI70">
            <v>0.73091292033482014</v>
          </cell>
          <cell r="AJ70">
            <v>1.9810431770223988</v>
          </cell>
          <cell r="AK70">
            <v>1.560584301839951</v>
          </cell>
          <cell r="AL70">
            <v>0</v>
          </cell>
          <cell r="AM70">
            <v>0</v>
          </cell>
          <cell r="AN70">
            <v>0.29438575452860238</v>
          </cell>
          <cell r="AO70">
            <v>0.57512546407592036</v>
          </cell>
          <cell r="AP70">
            <v>-99.059918977166504</v>
          </cell>
          <cell r="AQ70">
            <v>0.79249893341438971</v>
          </cell>
          <cell r="AR70">
            <v>5.870215162008019E-2</v>
          </cell>
          <cell r="AS70">
            <v>0</v>
          </cell>
          <cell r="AT70">
            <v>0</v>
          </cell>
          <cell r="AU70">
            <v>4.0393240283164316</v>
          </cell>
          <cell r="AV70">
            <v>0</v>
          </cell>
          <cell r="AW70">
            <v>0</v>
          </cell>
          <cell r="AX70">
            <v>1.4380078168945987</v>
          </cell>
          <cell r="AY70">
            <v>0.69391750216467629</v>
          </cell>
          <cell r="AZ70">
            <v>18.245358145354935</v>
          </cell>
          <cell r="BA70">
            <v>0</v>
          </cell>
          <cell r="BB70">
            <v>2.9781882437634621</v>
          </cell>
          <cell r="BC70">
            <v>0.36643362506565941</v>
          </cell>
        </row>
        <row r="71">
          <cell r="B71" t="str">
            <v>B00101939</v>
          </cell>
          <cell r="C71" t="str">
            <v>BBG MBS Index</v>
          </cell>
          <cell r="D71" t="str">
            <v>LEH_MBS</v>
          </cell>
          <cell r="E71">
            <v>1</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-100.00000000000006</v>
          </cell>
          <cell r="AQ71">
            <v>0</v>
          </cell>
          <cell r="AR71">
            <v>0</v>
          </cell>
          <cell r="AS71">
            <v>0</v>
          </cell>
          <cell r="AT71">
            <v>0</v>
          </cell>
          <cell r="AU71">
            <v>0</v>
          </cell>
          <cell r="AV71">
            <v>0</v>
          </cell>
          <cell r="AW71">
            <v>0</v>
          </cell>
          <cell r="AX71">
            <v>0</v>
          </cell>
          <cell r="AY71">
            <v>0</v>
          </cell>
          <cell r="AZ71">
            <v>0</v>
          </cell>
          <cell r="BA71">
            <v>0</v>
          </cell>
          <cell r="BB71">
            <v>0</v>
          </cell>
          <cell r="BC71">
            <v>100.00000000000006</v>
          </cell>
        </row>
        <row r="72">
          <cell r="B72" t="str">
            <v>BRSBCB0K4</v>
          </cell>
          <cell r="C72" t="str">
            <v xml:space="preserve">BBG US Government Inflation-Linked Bond </v>
          </cell>
          <cell r="D72" t="str">
            <v>BCLYUS10YR</v>
          </cell>
          <cell r="E72">
            <v>1</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-100</v>
          </cell>
          <cell r="AQ72">
            <v>0</v>
          </cell>
          <cell r="AR72">
            <v>0</v>
          </cell>
          <cell r="AS72">
            <v>0</v>
          </cell>
          <cell r="AT72">
            <v>0</v>
          </cell>
          <cell r="AU72">
            <v>0</v>
          </cell>
          <cell r="AV72">
            <v>0</v>
          </cell>
          <cell r="AW72">
            <v>0</v>
          </cell>
          <cell r="AX72">
            <v>0</v>
          </cell>
          <cell r="AY72">
            <v>0</v>
          </cell>
          <cell r="AZ72">
            <v>0</v>
          </cell>
          <cell r="BA72">
            <v>0</v>
          </cell>
          <cell r="BB72">
            <v>0</v>
          </cell>
          <cell r="BC72">
            <v>100</v>
          </cell>
        </row>
        <row r="73">
          <cell r="B73" t="str">
            <v>BRWFAGPW8</v>
          </cell>
          <cell r="C73" t="str">
            <v>MSCI EMU/INFORMATION TECH Index</v>
          </cell>
          <cell r="D73" t="str">
            <v>MS_EMU45</v>
          </cell>
          <cell r="E73">
            <v>1</v>
          </cell>
          <cell r="L73">
            <v>0</v>
          </cell>
          <cell r="M73">
            <v>0</v>
          </cell>
          <cell r="N73">
            <v>0</v>
          </cell>
          <cell r="O73">
            <v>0</v>
          </cell>
          <cell r="P73">
            <v>0</v>
          </cell>
          <cell r="Q73">
            <v>0</v>
          </cell>
          <cell r="R73">
            <v>0</v>
          </cell>
          <cell r="S73">
            <v>0</v>
          </cell>
          <cell r="T73">
            <v>0</v>
          </cell>
          <cell r="U73">
            <v>0</v>
          </cell>
          <cell r="V73">
            <v>0</v>
          </cell>
          <cell r="W73">
            <v>0</v>
          </cell>
          <cell r="X73">
            <v>0</v>
          </cell>
          <cell r="Y73">
            <v>100.00000000000003</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-100.00000000000003</v>
          </cell>
          <cell r="AQ73">
            <v>0</v>
          </cell>
          <cell r="AR73">
            <v>0</v>
          </cell>
          <cell r="AS73">
            <v>0</v>
          </cell>
          <cell r="AT73">
            <v>0</v>
          </cell>
          <cell r="AU73">
            <v>0</v>
          </cell>
          <cell r="AV73">
            <v>0</v>
          </cell>
          <cell r="AW73">
            <v>0</v>
          </cell>
          <cell r="AX73">
            <v>0</v>
          </cell>
          <cell r="AY73">
            <v>0</v>
          </cell>
          <cell r="AZ73">
            <v>0</v>
          </cell>
          <cell r="BA73">
            <v>0</v>
          </cell>
          <cell r="BB73">
            <v>0</v>
          </cell>
          <cell r="BC73">
            <v>0</v>
          </cell>
        </row>
        <row r="74">
          <cell r="B74" t="str">
            <v>B00216299</v>
          </cell>
          <cell r="C74" t="str">
            <v>BBG Intermediate Credit Index</v>
          </cell>
          <cell r="D74" t="str">
            <v>LCREDINT</v>
          </cell>
          <cell r="E74">
            <v>1</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-99.999999999999844</v>
          </cell>
          <cell r="AQ74">
            <v>0</v>
          </cell>
          <cell r="AR74">
            <v>0</v>
          </cell>
          <cell r="AS74">
            <v>0</v>
          </cell>
          <cell r="AT74">
            <v>0</v>
          </cell>
          <cell r="AU74">
            <v>0</v>
          </cell>
          <cell r="AV74">
            <v>0</v>
          </cell>
          <cell r="AW74">
            <v>0</v>
          </cell>
          <cell r="AX74">
            <v>0</v>
          </cell>
          <cell r="AY74">
            <v>0</v>
          </cell>
          <cell r="AZ74">
            <v>0</v>
          </cell>
          <cell r="BA74">
            <v>0</v>
          </cell>
          <cell r="BB74">
            <v>0</v>
          </cell>
          <cell r="BC74">
            <v>99.999999999999844</v>
          </cell>
        </row>
        <row r="75">
          <cell r="B75" t="str">
            <v>BRSB6JBN6</v>
          </cell>
          <cell r="C75" t="str">
            <v>BBG Sterling Aggregate: Gilts 10+ Year I</v>
          </cell>
          <cell r="D75" t="str">
            <v>LSTRG10PLS</v>
          </cell>
          <cell r="E75">
            <v>1</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100.00000000000003</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-100.00000000000003</v>
          </cell>
          <cell r="AQ75">
            <v>0</v>
          </cell>
          <cell r="AR75">
            <v>0</v>
          </cell>
          <cell r="AS75">
            <v>0</v>
          </cell>
          <cell r="AT75">
            <v>0</v>
          </cell>
          <cell r="AU75">
            <v>0</v>
          </cell>
          <cell r="AV75">
            <v>0</v>
          </cell>
          <cell r="AW75">
            <v>0</v>
          </cell>
          <cell r="AX75">
            <v>0</v>
          </cell>
          <cell r="AY75">
            <v>0</v>
          </cell>
          <cell r="AZ75">
            <v>0</v>
          </cell>
          <cell r="BA75">
            <v>0</v>
          </cell>
          <cell r="BB75">
            <v>0</v>
          </cell>
          <cell r="BC75">
            <v>0</v>
          </cell>
        </row>
        <row r="76">
          <cell r="B76" t="str">
            <v>BRSC6F285</v>
          </cell>
          <cell r="C76" t="str">
            <v>FTSE All Stocks Gilts Over 10 Years Inde</v>
          </cell>
          <cell r="D76" t="str">
            <v>FTSASGO10</v>
          </cell>
          <cell r="E76">
            <v>1</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100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-100</v>
          </cell>
          <cell r="AQ76">
            <v>0</v>
          </cell>
          <cell r="AR76">
            <v>0</v>
          </cell>
          <cell r="AS76">
            <v>0</v>
          </cell>
          <cell r="AT76">
            <v>0</v>
          </cell>
          <cell r="AU76">
            <v>0</v>
          </cell>
          <cell r="AV76">
            <v>0</v>
          </cell>
          <cell r="AW76">
            <v>0</v>
          </cell>
          <cell r="AX76">
            <v>0</v>
          </cell>
          <cell r="AY76">
            <v>0</v>
          </cell>
          <cell r="AZ76">
            <v>0</v>
          </cell>
          <cell r="BA76">
            <v>0</v>
          </cell>
          <cell r="BB76">
            <v>0</v>
          </cell>
          <cell r="BC76">
            <v>0</v>
          </cell>
        </row>
        <row r="77">
          <cell r="B77" t="str">
            <v>B02404059</v>
          </cell>
          <cell r="C77" t="str">
            <v>BBG Treasury 5-10 Yr Index</v>
          </cell>
          <cell r="D77" t="str">
            <v>LTSY5-10</v>
          </cell>
          <cell r="E77">
            <v>1</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-99.999999999999972</v>
          </cell>
          <cell r="AQ77">
            <v>0</v>
          </cell>
          <cell r="AR77">
            <v>0</v>
          </cell>
          <cell r="AS77">
            <v>0</v>
          </cell>
          <cell r="AT77">
            <v>0</v>
          </cell>
          <cell r="AU77">
            <v>0</v>
          </cell>
          <cell r="AV77">
            <v>0</v>
          </cell>
          <cell r="AW77">
            <v>0</v>
          </cell>
          <cell r="AX77">
            <v>0</v>
          </cell>
          <cell r="AY77">
            <v>0</v>
          </cell>
          <cell r="AZ77">
            <v>0</v>
          </cell>
          <cell r="BA77">
            <v>0</v>
          </cell>
          <cell r="BB77">
            <v>0</v>
          </cell>
          <cell r="BC77">
            <v>99.999999999999972</v>
          </cell>
        </row>
        <row r="78">
          <cell r="B78" t="str">
            <v>BRSJ0K9W5</v>
          </cell>
          <cell r="C78" t="str">
            <v>ICE BofA ABS Fixed &amp; Floating Rate / CMB</v>
          </cell>
          <cell r="D78" t="str">
            <v>MLABSCMBS</v>
          </cell>
          <cell r="E78">
            <v>1</v>
          </cell>
          <cell r="L78">
            <v>0</v>
          </cell>
          <cell r="M78">
            <v>0</v>
          </cell>
          <cell r="N78">
            <v>0</v>
          </cell>
          <cell r="O78">
            <v>0.19556185121625677</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-100.00000000000016</v>
          </cell>
          <cell r="AQ78">
            <v>0</v>
          </cell>
          <cell r="AR78">
            <v>0</v>
          </cell>
          <cell r="AS78">
            <v>0</v>
          </cell>
          <cell r="AT78">
            <v>0</v>
          </cell>
          <cell r="AU78">
            <v>0</v>
          </cell>
          <cell r="AV78">
            <v>0</v>
          </cell>
          <cell r="AW78">
            <v>0</v>
          </cell>
          <cell r="AX78">
            <v>0</v>
          </cell>
          <cell r="AY78">
            <v>0</v>
          </cell>
          <cell r="AZ78">
            <v>0</v>
          </cell>
          <cell r="BA78">
            <v>0</v>
          </cell>
          <cell r="BB78">
            <v>0</v>
          </cell>
          <cell r="BC78">
            <v>99.804438148783888</v>
          </cell>
        </row>
        <row r="79">
          <cell r="B79" t="str">
            <v>B01520020</v>
          </cell>
          <cell r="C79" t="str">
            <v>BBG Government Index</v>
          </cell>
          <cell r="D79" t="str">
            <v>GOVERNMENT</v>
          </cell>
          <cell r="E79">
            <v>1</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-100</v>
          </cell>
          <cell r="AQ79">
            <v>0</v>
          </cell>
          <cell r="AR79">
            <v>0</v>
          </cell>
          <cell r="AS79">
            <v>0</v>
          </cell>
          <cell r="AT79">
            <v>0</v>
          </cell>
          <cell r="AU79">
            <v>0</v>
          </cell>
          <cell r="AV79">
            <v>0</v>
          </cell>
          <cell r="AW79">
            <v>0</v>
          </cell>
          <cell r="AX79">
            <v>0</v>
          </cell>
          <cell r="AY79">
            <v>0</v>
          </cell>
          <cell r="AZ79">
            <v>0</v>
          </cell>
          <cell r="BA79">
            <v>0</v>
          </cell>
          <cell r="BB79">
            <v>0</v>
          </cell>
          <cell r="BC79">
            <v>100</v>
          </cell>
        </row>
        <row r="80">
          <cell r="B80" t="str">
            <v>BRT1D5PP9</v>
          </cell>
          <cell r="C80" t="str">
            <v>INF - Diversified Global</v>
          </cell>
          <cell r="E80">
            <v>1</v>
          </cell>
          <cell r="L80">
            <v>0</v>
          </cell>
          <cell r="M80">
            <v>0.45999999999999996</v>
          </cell>
          <cell r="N80">
            <v>0</v>
          </cell>
          <cell r="O80">
            <v>1.89</v>
          </cell>
          <cell r="P80">
            <v>0</v>
          </cell>
          <cell r="Q80">
            <v>0</v>
          </cell>
          <cell r="R80">
            <v>0</v>
          </cell>
          <cell r="S80">
            <v>0</v>
          </cell>
          <cell r="T80">
            <v>0</v>
          </cell>
          <cell r="U80">
            <v>0</v>
          </cell>
          <cell r="V80">
            <v>0</v>
          </cell>
          <cell r="W80">
            <v>0</v>
          </cell>
          <cell r="X80">
            <v>0</v>
          </cell>
          <cell r="Y80">
            <v>35.32</v>
          </cell>
          <cell r="Z80">
            <v>1.48</v>
          </cell>
          <cell r="AA80">
            <v>0</v>
          </cell>
          <cell r="AB80">
            <v>0</v>
          </cell>
          <cell r="AC80">
            <v>0</v>
          </cell>
          <cell r="AD80">
            <v>0.39000000000000007</v>
          </cell>
          <cell r="AE80">
            <v>0.28999999999999998</v>
          </cell>
          <cell r="AF80">
            <v>0</v>
          </cell>
          <cell r="AG80">
            <v>0.13</v>
          </cell>
          <cell r="AH80">
            <v>0</v>
          </cell>
          <cell r="AI80">
            <v>0</v>
          </cell>
          <cell r="AJ80">
            <v>8.0000000000000016E-2</v>
          </cell>
          <cell r="AK80">
            <v>0</v>
          </cell>
          <cell r="AL80">
            <v>0.81000000000000016</v>
          </cell>
          <cell r="AM80">
            <v>0</v>
          </cell>
          <cell r="AN80">
            <v>0</v>
          </cell>
          <cell r="AO80">
            <v>0</v>
          </cell>
          <cell r="AP80">
            <v>-100</v>
          </cell>
          <cell r="AQ80">
            <v>0</v>
          </cell>
          <cell r="AR80">
            <v>0</v>
          </cell>
          <cell r="AS80">
            <v>0</v>
          </cell>
          <cell r="AT80">
            <v>0</v>
          </cell>
          <cell r="AU80">
            <v>0</v>
          </cell>
          <cell r="AV80">
            <v>0</v>
          </cell>
          <cell r="AW80">
            <v>0</v>
          </cell>
          <cell r="AX80">
            <v>0</v>
          </cell>
          <cell r="AY80">
            <v>0</v>
          </cell>
          <cell r="AZ80">
            <v>0</v>
          </cell>
          <cell r="BA80">
            <v>0</v>
          </cell>
          <cell r="BB80">
            <v>0.21</v>
          </cell>
          <cell r="BC80">
            <v>58.940000000000005</v>
          </cell>
        </row>
        <row r="81">
          <cell r="B81" t="str">
            <v>BRTG30Z93</v>
          </cell>
          <cell r="C81" t="str">
            <v>BBG US Govt Inflation-Linked 1-5Yrs</v>
          </cell>
          <cell r="D81" t="str">
            <v>BUKIL1-5</v>
          </cell>
          <cell r="E81">
            <v>1.0000000000000002</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-100</v>
          </cell>
          <cell r="AQ81">
            <v>0</v>
          </cell>
          <cell r="AR81">
            <v>0</v>
          </cell>
          <cell r="AS81">
            <v>0</v>
          </cell>
          <cell r="AT81">
            <v>0</v>
          </cell>
          <cell r="AU81">
            <v>0</v>
          </cell>
          <cell r="AV81">
            <v>0</v>
          </cell>
          <cell r="AW81">
            <v>0</v>
          </cell>
          <cell r="AX81">
            <v>0</v>
          </cell>
          <cell r="AY81">
            <v>0</v>
          </cell>
          <cell r="AZ81">
            <v>0</v>
          </cell>
          <cell r="BA81">
            <v>0</v>
          </cell>
          <cell r="BB81">
            <v>0</v>
          </cell>
          <cell r="BC81">
            <v>100</v>
          </cell>
        </row>
        <row r="82">
          <cell r="B82" t="str">
            <v>BRT9QGML6</v>
          </cell>
          <cell r="C82" t="str">
            <v>MSCI Emerging Markets ex China (Net)</v>
          </cell>
          <cell r="D82" t="str">
            <v>MS_EMXCNN</v>
          </cell>
          <cell r="E82">
            <v>1</v>
          </cell>
          <cell r="L82">
            <v>1.5586712791540487</v>
          </cell>
          <cell r="M82">
            <v>0</v>
          </cell>
          <cell r="N82">
            <v>6.7513750776087429</v>
          </cell>
          <cell r="O82">
            <v>0</v>
          </cell>
          <cell r="P82">
            <v>0</v>
          </cell>
          <cell r="Q82">
            <v>0.56180177985834212</v>
          </cell>
          <cell r="R82">
            <v>0</v>
          </cell>
          <cell r="S82">
            <v>0.13591637913575064</v>
          </cell>
          <cell r="T82">
            <v>0.16889034351996968</v>
          </cell>
          <cell r="U82">
            <v>0</v>
          </cell>
          <cell r="V82">
            <v>0</v>
          </cell>
          <cell r="W82">
            <v>0</v>
          </cell>
          <cell r="X82">
            <v>9.8062095593199505E-2</v>
          </cell>
          <cell r="Y82">
            <v>0.6894286750429639</v>
          </cell>
          <cell r="Z82">
            <v>5.8891453576936592E-2</v>
          </cell>
          <cell r="AA82">
            <v>0</v>
          </cell>
          <cell r="AB82">
            <v>0.3199288282105871</v>
          </cell>
          <cell r="AC82">
            <v>2.2821251974070398</v>
          </cell>
          <cell r="AD82">
            <v>0</v>
          </cell>
          <cell r="AE82">
            <v>26.751799738460605</v>
          </cell>
          <cell r="AF82">
            <v>0</v>
          </cell>
          <cell r="AG82">
            <v>0</v>
          </cell>
          <cell r="AH82">
            <v>14.996946746387625</v>
          </cell>
          <cell r="AI82">
            <v>0.96120972972124885</v>
          </cell>
          <cell r="AJ82">
            <v>2.6052323385931389</v>
          </cell>
          <cell r="AK82">
            <v>2.0522948401180998</v>
          </cell>
          <cell r="AL82">
            <v>0</v>
          </cell>
          <cell r="AM82">
            <v>0</v>
          </cell>
          <cell r="AN82">
            <v>0.38714112676322809</v>
          </cell>
          <cell r="AO82">
            <v>0.75633659838300138</v>
          </cell>
          <cell r="AP82">
            <v>-98.763717262707814</v>
          </cell>
          <cell r="AQ82">
            <v>1.0422003283820378</v>
          </cell>
          <cell r="AR82">
            <v>7.7198087108578645E-2</v>
          </cell>
          <cell r="AS82">
            <v>0</v>
          </cell>
          <cell r="AT82">
            <v>0</v>
          </cell>
          <cell r="AU82">
            <v>5.3120384788601145</v>
          </cell>
          <cell r="AV82">
            <v>0</v>
          </cell>
          <cell r="AW82">
            <v>0</v>
          </cell>
          <cell r="AX82">
            <v>1.8910968277604443</v>
          </cell>
          <cell r="AY82">
            <v>0.91255775640005121</v>
          </cell>
          <cell r="AZ82">
            <v>23.994124722176611</v>
          </cell>
          <cell r="BA82">
            <v>0</v>
          </cell>
          <cell r="BB82">
            <v>3.916558918585729</v>
          </cell>
          <cell r="BC82">
            <v>0.48188991589973029</v>
          </cell>
        </row>
        <row r="83">
          <cell r="B83" t="str">
            <v>BRTAQ5VH6</v>
          </cell>
          <cell r="C83" t="str">
            <v>CMA - Real estate mezzanine debt unhedge</v>
          </cell>
          <cell r="D83" t="str">
            <v>CMA_WMEZUH</v>
          </cell>
          <cell r="E83">
            <v>1</v>
          </cell>
          <cell r="L83">
            <v>0</v>
          </cell>
          <cell r="M83">
            <v>2.2399999999999989</v>
          </cell>
          <cell r="N83">
            <v>0</v>
          </cell>
          <cell r="O83">
            <v>0</v>
          </cell>
          <cell r="P83">
            <v>1.250848854790175</v>
          </cell>
          <cell r="Q83">
            <v>0</v>
          </cell>
          <cell r="R83">
            <v>0</v>
          </cell>
          <cell r="S83">
            <v>0</v>
          </cell>
          <cell r="T83">
            <v>0</v>
          </cell>
          <cell r="U83">
            <v>0</v>
          </cell>
          <cell r="V83">
            <v>8.0999999999999944E-3</v>
          </cell>
          <cell r="W83">
            <v>0</v>
          </cell>
          <cell r="X83">
            <v>0</v>
          </cell>
          <cell r="Y83">
            <v>19.047867981704385</v>
          </cell>
          <cell r="Z83">
            <v>6.2628682130010773</v>
          </cell>
          <cell r="AA83">
            <v>0</v>
          </cell>
          <cell r="AB83">
            <v>0</v>
          </cell>
          <cell r="AC83">
            <v>0</v>
          </cell>
          <cell r="AD83">
            <v>0</v>
          </cell>
          <cell r="AE83">
            <v>0</v>
          </cell>
          <cell r="AF83">
            <v>0</v>
          </cell>
          <cell r="AG83">
            <v>3.1299999999999981</v>
          </cell>
          <cell r="AH83">
            <v>0</v>
          </cell>
          <cell r="AI83">
            <v>0</v>
          </cell>
          <cell r="AJ83">
            <v>0</v>
          </cell>
          <cell r="AK83">
            <v>0</v>
          </cell>
          <cell r="AL83">
            <v>0.25761666794843796</v>
          </cell>
          <cell r="AM83">
            <v>0</v>
          </cell>
          <cell r="AN83">
            <v>0</v>
          </cell>
          <cell r="AO83">
            <v>0</v>
          </cell>
          <cell r="AP83">
            <v>-99.769899999999964</v>
          </cell>
          <cell r="AQ83">
            <v>0</v>
          </cell>
          <cell r="AR83">
            <v>0</v>
          </cell>
          <cell r="AS83">
            <v>0</v>
          </cell>
          <cell r="AT83">
            <v>0.42159999999999986</v>
          </cell>
          <cell r="AU83">
            <v>0</v>
          </cell>
          <cell r="AV83">
            <v>1.5184499999999992</v>
          </cell>
          <cell r="AW83">
            <v>0.9199999999999996</v>
          </cell>
          <cell r="AX83">
            <v>0</v>
          </cell>
          <cell r="AY83">
            <v>0.67829999999999957</v>
          </cell>
          <cell r="AZ83">
            <v>0</v>
          </cell>
          <cell r="BA83">
            <v>0</v>
          </cell>
          <cell r="BB83">
            <v>0</v>
          </cell>
          <cell r="BC83">
            <v>64.034248282555893</v>
          </cell>
        </row>
        <row r="84">
          <cell r="B84" t="str">
            <v>BRSLC50S8</v>
          </cell>
          <cell r="C84" t="str">
            <v>RE - Core Global</v>
          </cell>
          <cell r="E84">
            <v>1</v>
          </cell>
          <cell r="L84">
            <v>0</v>
          </cell>
          <cell r="M84">
            <v>4.4800000000000004</v>
          </cell>
          <cell r="N84">
            <v>0</v>
          </cell>
          <cell r="O84">
            <v>0</v>
          </cell>
          <cell r="P84">
            <v>2.4877499999999997</v>
          </cell>
          <cell r="Q84">
            <v>0</v>
          </cell>
          <cell r="R84">
            <v>0</v>
          </cell>
          <cell r="S84">
            <v>0</v>
          </cell>
          <cell r="T84">
            <v>0</v>
          </cell>
          <cell r="U84">
            <v>0</v>
          </cell>
          <cell r="V84">
            <v>1.6240000000000001E-2</v>
          </cell>
          <cell r="W84">
            <v>0</v>
          </cell>
          <cell r="X84">
            <v>0</v>
          </cell>
          <cell r="Y84">
            <v>21.257569999999994</v>
          </cell>
          <cell r="Z84">
            <v>10.61</v>
          </cell>
          <cell r="AA84">
            <v>0</v>
          </cell>
          <cell r="AB84">
            <v>0</v>
          </cell>
          <cell r="AC84">
            <v>0</v>
          </cell>
          <cell r="AD84">
            <v>0</v>
          </cell>
          <cell r="AE84">
            <v>0</v>
          </cell>
          <cell r="AF84">
            <v>0</v>
          </cell>
          <cell r="AG84">
            <v>6.26</v>
          </cell>
          <cell r="AH84">
            <v>0</v>
          </cell>
          <cell r="AI84">
            <v>0</v>
          </cell>
          <cell r="AJ84">
            <v>0</v>
          </cell>
          <cell r="AK84">
            <v>0</v>
          </cell>
          <cell r="AL84">
            <v>0.5115599999999999</v>
          </cell>
          <cell r="AM84">
            <v>0</v>
          </cell>
          <cell r="AN84">
            <v>0</v>
          </cell>
          <cell r="AO84">
            <v>0</v>
          </cell>
          <cell r="AP84">
            <v>-99.539820000000006</v>
          </cell>
          <cell r="AQ84">
            <v>0</v>
          </cell>
          <cell r="AR84">
            <v>0</v>
          </cell>
          <cell r="AS84">
            <v>0</v>
          </cell>
          <cell r="AT84">
            <v>0.84321999999999997</v>
          </cell>
          <cell r="AU84">
            <v>0</v>
          </cell>
          <cell r="AV84">
            <v>3.03688</v>
          </cell>
          <cell r="AW84">
            <v>1.8399999999999999</v>
          </cell>
          <cell r="AX84">
            <v>0</v>
          </cell>
          <cell r="AY84">
            <v>1.3566000000000003</v>
          </cell>
          <cell r="AZ84">
            <v>0</v>
          </cell>
          <cell r="BA84">
            <v>0</v>
          </cell>
          <cell r="BB84">
            <v>0</v>
          </cell>
          <cell r="BC84">
            <v>46.84</v>
          </cell>
        </row>
        <row r="85">
          <cell r="B85" t="str">
            <v>BRS2NHL83</v>
          </cell>
          <cell r="C85" t="str">
            <v>MSCI Developed - Canada</v>
          </cell>
          <cell r="D85" t="str">
            <v>MS_CA</v>
          </cell>
          <cell r="E85">
            <v>1</v>
          </cell>
          <cell r="L85">
            <v>0</v>
          </cell>
          <cell r="M85">
            <v>0</v>
          </cell>
          <cell r="N85">
            <v>0</v>
          </cell>
          <cell r="O85">
            <v>98.532561333429896</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-100</v>
          </cell>
          <cell r="AQ85">
            <v>0</v>
          </cell>
          <cell r="AR85">
            <v>0</v>
          </cell>
          <cell r="AS85">
            <v>0</v>
          </cell>
          <cell r="AT85">
            <v>0</v>
          </cell>
          <cell r="AU85">
            <v>0</v>
          </cell>
          <cell r="AV85">
            <v>0</v>
          </cell>
          <cell r="AW85">
            <v>0</v>
          </cell>
          <cell r="AX85">
            <v>0</v>
          </cell>
          <cell r="AY85">
            <v>0</v>
          </cell>
          <cell r="AZ85">
            <v>0</v>
          </cell>
          <cell r="BA85">
            <v>0</v>
          </cell>
          <cell r="BB85">
            <v>0</v>
          </cell>
          <cell r="BC85">
            <v>1.4674386665701089</v>
          </cell>
        </row>
        <row r="86">
          <cell r="B86" t="str">
            <v>BRWUM3099</v>
          </cell>
          <cell r="C86" t="str">
            <v>CMA - Infra Debt Unhedged</v>
          </cell>
          <cell r="D86" t="str">
            <v>CMA_GIDUHD</v>
          </cell>
          <cell r="E86">
            <v>1</v>
          </cell>
          <cell r="L86">
            <v>0</v>
          </cell>
          <cell r="M86">
            <v>0</v>
          </cell>
          <cell r="N86">
            <v>0</v>
          </cell>
          <cell r="O86">
            <v>5.4106425921903609</v>
          </cell>
          <cell r="P86">
            <v>0.14435892335046405</v>
          </cell>
          <cell r="Q86">
            <v>0</v>
          </cell>
          <cell r="R86">
            <v>0</v>
          </cell>
          <cell r="S86">
            <v>0</v>
          </cell>
          <cell r="T86">
            <v>0</v>
          </cell>
          <cell r="U86">
            <v>0</v>
          </cell>
          <cell r="V86">
            <v>0</v>
          </cell>
          <cell r="W86">
            <v>0</v>
          </cell>
          <cell r="X86">
            <v>0</v>
          </cell>
          <cell r="Y86">
            <v>23.970798311457639</v>
          </cell>
          <cell r="Z86">
            <v>5.968576705440154</v>
          </cell>
          <cell r="AA86">
            <v>0</v>
          </cell>
          <cell r="AB86">
            <v>0</v>
          </cell>
          <cell r="AC86">
            <v>0</v>
          </cell>
          <cell r="AD86">
            <v>0</v>
          </cell>
          <cell r="AE86">
            <v>0</v>
          </cell>
          <cell r="AF86">
            <v>0</v>
          </cell>
          <cell r="AG86">
            <v>0</v>
          </cell>
          <cell r="AH86">
            <v>0</v>
          </cell>
          <cell r="AI86">
            <v>0</v>
          </cell>
          <cell r="AJ86">
            <v>0</v>
          </cell>
          <cell r="AK86">
            <v>0</v>
          </cell>
          <cell r="AL86">
            <v>8.7464900148482572E-3</v>
          </cell>
          <cell r="AM86">
            <v>0</v>
          </cell>
          <cell r="AN86">
            <v>0</v>
          </cell>
          <cell r="AO86">
            <v>0</v>
          </cell>
          <cell r="AP86">
            <v>-100.00000000000009</v>
          </cell>
          <cell r="AQ86">
            <v>0</v>
          </cell>
          <cell r="AR86">
            <v>0</v>
          </cell>
          <cell r="AS86">
            <v>0</v>
          </cell>
          <cell r="AT86">
            <v>0</v>
          </cell>
          <cell r="AU86">
            <v>0</v>
          </cell>
          <cell r="AV86">
            <v>1.3444371996120115E-2</v>
          </cell>
          <cell r="AW86">
            <v>0</v>
          </cell>
          <cell r="AX86">
            <v>0</v>
          </cell>
          <cell r="AY86">
            <v>0</v>
          </cell>
          <cell r="AZ86">
            <v>0</v>
          </cell>
          <cell r="BA86">
            <v>0</v>
          </cell>
          <cell r="BB86">
            <v>0</v>
          </cell>
          <cell r="BC86">
            <v>64.48343260555049</v>
          </cell>
        </row>
        <row r="87">
          <cell r="B87" t="str">
            <v>BRSM5U6L8</v>
          </cell>
          <cell r="C87" t="str">
            <v>ICE BofA Global Government Bonds G7 1-10</v>
          </cell>
          <cell r="D87" t="str">
            <v>MLW5G7USH</v>
          </cell>
          <cell r="E87">
            <v>1</v>
          </cell>
          <cell r="L87">
            <v>0</v>
          </cell>
          <cell r="M87">
            <v>0</v>
          </cell>
          <cell r="N87">
            <v>0</v>
          </cell>
          <cell r="O87">
            <v>1.3184641317034668E-2</v>
          </cell>
          <cell r="P87">
            <v>0</v>
          </cell>
          <cell r="Q87">
            <v>0</v>
          </cell>
          <cell r="R87">
            <v>0</v>
          </cell>
          <cell r="S87">
            <v>0</v>
          </cell>
          <cell r="T87">
            <v>0</v>
          </cell>
          <cell r="U87">
            <v>0</v>
          </cell>
          <cell r="V87">
            <v>0</v>
          </cell>
          <cell r="W87">
            <v>0</v>
          </cell>
          <cell r="X87">
            <v>0</v>
          </cell>
          <cell r="Y87">
            <v>9.6804238241693791E-2</v>
          </cell>
          <cell r="Z87">
            <v>2.6340236397586796E-2</v>
          </cell>
          <cell r="AA87">
            <v>0</v>
          </cell>
          <cell r="AB87">
            <v>0</v>
          </cell>
          <cell r="AC87">
            <v>0</v>
          </cell>
          <cell r="AD87">
            <v>0</v>
          </cell>
          <cell r="AE87">
            <v>0</v>
          </cell>
          <cell r="AF87">
            <v>0</v>
          </cell>
          <cell r="AG87">
            <v>4.9669244128475988E-2</v>
          </cell>
          <cell r="AH87">
            <v>0</v>
          </cell>
          <cell r="AI87">
            <v>0</v>
          </cell>
          <cell r="AJ87">
            <v>0</v>
          </cell>
          <cell r="AK87">
            <v>0</v>
          </cell>
          <cell r="AL87">
            <v>0</v>
          </cell>
          <cell r="AM87">
            <v>0</v>
          </cell>
          <cell r="AN87">
            <v>0</v>
          </cell>
          <cell r="AO87">
            <v>0</v>
          </cell>
          <cell r="AP87">
            <v>-99.999926249401128</v>
          </cell>
          <cell r="AQ87">
            <v>0</v>
          </cell>
          <cell r="AR87">
            <v>0</v>
          </cell>
          <cell r="AS87">
            <v>0</v>
          </cell>
          <cell r="AT87">
            <v>0</v>
          </cell>
          <cell r="AU87">
            <v>0</v>
          </cell>
          <cell r="AV87">
            <v>0</v>
          </cell>
          <cell r="AW87">
            <v>0</v>
          </cell>
          <cell r="AX87">
            <v>0</v>
          </cell>
          <cell r="AY87">
            <v>0</v>
          </cell>
          <cell r="AZ87">
            <v>0</v>
          </cell>
          <cell r="BA87">
            <v>0</v>
          </cell>
          <cell r="BB87">
            <v>0</v>
          </cell>
          <cell r="BC87">
            <v>99.813927889316332</v>
          </cell>
        </row>
        <row r="88">
          <cell r="B88" t="str">
            <v>BRS1LX887</v>
          </cell>
          <cell r="C88" t="str">
            <v>BBG Global High Yield Index</v>
          </cell>
          <cell r="D88" t="str">
            <v>LEHGLBHY</v>
          </cell>
          <cell r="E88">
            <v>1</v>
          </cell>
          <cell r="L88">
            <v>0</v>
          </cell>
          <cell r="M88">
            <v>0</v>
          </cell>
          <cell r="N88">
            <v>0</v>
          </cell>
          <cell r="O88">
            <v>0</v>
          </cell>
          <cell r="P88">
            <v>1.3997709580351254E-2</v>
          </cell>
          <cell r="Q88">
            <v>0</v>
          </cell>
          <cell r="R88">
            <v>0</v>
          </cell>
          <cell r="S88">
            <v>0</v>
          </cell>
          <cell r="T88">
            <v>0</v>
          </cell>
          <cell r="U88">
            <v>0</v>
          </cell>
          <cell r="V88">
            <v>0</v>
          </cell>
          <cell r="W88">
            <v>0</v>
          </cell>
          <cell r="X88">
            <v>0</v>
          </cell>
          <cell r="Y88">
            <v>16.838135963408781</v>
          </cell>
          <cell r="Z88">
            <v>1.9157364260021599</v>
          </cell>
          <cell r="AA88">
            <v>0</v>
          </cell>
          <cell r="AB88">
            <v>0</v>
          </cell>
          <cell r="AC88">
            <v>0</v>
          </cell>
          <cell r="AD88">
            <v>0</v>
          </cell>
          <cell r="AE88">
            <v>0</v>
          </cell>
          <cell r="AF88">
            <v>0</v>
          </cell>
          <cell r="AG88">
            <v>0</v>
          </cell>
          <cell r="AH88">
            <v>0</v>
          </cell>
          <cell r="AI88">
            <v>0</v>
          </cell>
          <cell r="AJ88">
            <v>0</v>
          </cell>
          <cell r="AK88">
            <v>0</v>
          </cell>
          <cell r="AL88">
            <v>3.6333358968761702E-3</v>
          </cell>
          <cell r="AM88">
            <v>0</v>
          </cell>
          <cell r="AN88">
            <v>0</v>
          </cell>
          <cell r="AO88">
            <v>0</v>
          </cell>
          <cell r="AP88">
            <v>-99.999999999999915</v>
          </cell>
          <cell r="AQ88">
            <v>0</v>
          </cell>
          <cell r="AR88">
            <v>0</v>
          </cell>
          <cell r="AS88">
            <v>0</v>
          </cell>
          <cell r="AT88">
            <v>0</v>
          </cell>
          <cell r="AU88">
            <v>0</v>
          </cell>
          <cell r="AV88">
            <v>0</v>
          </cell>
          <cell r="AW88">
            <v>0</v>
          </cell>
          <cell r="AX88">
            <v>0</v>
          </cell>
          <cell r="AY88">
            <v>0</v>
          </cell>
          <cell r="AZ88">
            <v>0</v>
          </cell>
          <cell r="BA88">
            <v>0</v>
          </cell>
          <cell r="BB88">
            <v>0</v>
          </cell>
          <cell r="BC88">
            <v>81.228496565111755</v>
          </cell>
        </row>
        <row r="89">
          <cell r="B89" t="str">
            <v>BRS14KDH8</v>
          </cell>
          <cell r="C89" t="str">
            <v>BBG Treasury 1-10 Yr Index</v>
          </cell>
          <cell r="D89" t="str">
            <v>LTSY1-10</v>
          </cell>
          <cell r="E89">
            <v>1</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-99.999999999999957</v>
          </cell>
          <cell r="AQ89">
            <v>0</v>
          </cell>
          <cell r="AR89">
            <v>0</v>
          </cell>
          <cell r="AS89">
            <v>0</v>
          </cell>
          <cell r="AT89">
            <v>0</v>
          </cell>
          <cell r="AU89">
            <v>0</v>
          </cell>
          <cell r="AV89">
            <v>0</v>
          </cell>
          <cell r="AW89">
            <v>0</v>
          </cell>
          <cell r="AX89">
            <v>0</v>
          </cell>
          <cell r="AY89">
            <v>0</v>
          </cell>
          <cell r="AZ89">
            <v>0</v>
          </cell>
          <cell r="BA89">
            <v>0</v>
          </cell>
          <cell r="BB89">
            <v>0</v>
          </cell>
          <cell r="BC89">
            <v>99.999999999999957</v>
          </cell>
        </row>
        <row r="90">
          <cell r="B90" t="str">
            <v>BRSM5Y7T2</v>
          </cell>
          <cell r="C90" t="str">
            <v>BBG Sterling Corporates 10-20 Years Inde</v>
          </cell>
          <cell r="D90" t="str">
            <v>B28355EUR</v>
          </cell>
          <cell r="E90">
            <v>1</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99.999999999999986</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-100</v>
          </cell>
          <cell r="AQ90">
            <v>0</v>
          </cell>
          <cell r="AR90">
            <v>0</v>
          </cell>
          <cell r="AS90">
            <v>0</v>
          </cell>
          <cell r="AT90">
            <v>0</v>
          </cell>
          <cell r="AU90">
            <v>0</v>
          </cell>
          <cell r="AV90">
            <v>0</v>
          </cell>
          <cell r="AW90">
            <v>0</v>
          </cell>
          <cell r="AX90">
            <v>0</v>
          </cell>
          <cell r="AY90">
            <v>0</v>
          </cell>
          <cell r="AZ90">
            <v>0</v>
          </cell>
          <cell r="BA90">
            <v>0</v>
          </cell>
          <cell r="BB90">
            <v>0</v>
          </cell>
          <cell r="BC90">
            <v>1.7966634483589833E-14</v>
          </cell>
        </row>
        <row r="91">
          <cell r="B91" t="str">
            <v>BRYPSXJD7</v>
          </cell>
          <cell r="C91" t="str">
            <v>MSCI EM (Emerging Markets) ex China ex I</v>
          </cell>
          <cell r="D91" t="str">
            <v>M738173USD</v>
          </cell>
          <cell r="E91">
            <v>1</v>
          </cell>
          <cell r="L91">
            <v>2.1279311622519983</v>
          </cell>
          <cell r="M91">
            <v>0</v>
          </cell>
          <cell r="N91">
            <v>9.2171207667933555</v>
          </cell>
          <cell r="O91">
            <v>0</v>
          </cell>
          <cell r="P91">
            <v>0</v>
          </cell>
          <cell r="Q91">
            <v>0.76698373182191038</v>
          </cell>
          <cell r="R91">
            <v>0</v>
          </cell>
          <cell r="S91">
            <v>0.1855559299074224</v>
          </cell>
          <cell r="T91">
            <v>0.23057268699699252</v>
          </cell>
          <cell r="U91">
            <v>0</v>
          </cell>
          <cell r="V91">
            <v>0</v>
          </cell>
          <cell r="W91">
            <v>0</v>
          </cell>
          <cell r="X91">
            <v>0.13387645736422146</v>
          </cell>
          <cell r="Y91">
            <v>0.94122268203352821</v>
          </cell>
          <cell r="Z91">
            <v>8.0399864251489025E-2</v>
          </cell>
          <cell r="AA91">
            <v>0</v>
          </cell>
          <cell r="AB91">
            <v>0.43677363685148785</v>
          </cell>
          <cell r="AC91">
            <v>3.1156058295746503</v>
          </cell>
          <cell r="AD91">
            <v>0</v>
          </cell>
          <cell r="AE91">
            <v>0</v>
          </cell>
          <cell r="AF91">
            <v>0</v>
          </cell>
          <cell r="AG91">
            <v>0</v>
          </cell>
          <cell r="AH91">
            <v>20.4741504812946</v>
          </cell>
          <cell r="AI91">
            <v>1.3122639550038913</v>
          </cell>
          <cell r="AJ91">
            <v>3.5567185668602299</v>
          </cell>
          <cell r="AK91">
            <v>2.8018365404067129</v>
          </cell>
          <cell r="AL91">
            <v>0</v>
          </cell>
          <cell r="AM91">
            <v>0</v>
          </cell>
          <cell r="AN91">
            <v>0.52853329553614237</v>
          </cell>
          <cell r="AO91">
            <v>1.03256680120799</v>
          </cell>
          <cell r="AP91">
            <v>-98.312200527961011</v>
          </cell>
          <cell r="AQ91">
            <v>1.4228340418751104</v>
          </cell>
          <cell r="AR91">
            <v>0.10539246948448659</v>
          </cell>
          <cell r="AS91">
            <v>0</v>
          </cell>
          <cell r="AT91">
            <v>0</v>
          </cell>
          <cell r="AU91">
            <v>7.252107846872673</v>
          </cell>
          <cell r="AV91">
            <v>0</v>
          </cell>
          <cell r="AW91">
            <v>0</v>
          </cell>
          <cell r="AX91">
            <v>2.5817655874248198</v>
          </cell>
          <cell r="AY91">
            <v>1.2458432468534091</v>
          </cell>
          <cell r="AZ91">
            <v>32.757289102671962</v>
          </cell>
          <cell r="BA91">
            <v>0</v>
          </cell>
          <cell r="BB91">
            <v>5.3469694881256995</v>
          </cell>
          <cell r="BC91">
            <v>0.65788635649623461</v>
          </cell>
        </row>
        <row r="92">
          <cell r="B92" t="str">
            <v>BRTDPC6C5</v>
          </cell>
          <cell r="C92" t="str">
            <v>BBG China Treasury + Policy Bank Total R</v>
          </cell>
          <cell r="D92" t="str">
            <v>BBGTPBTR</v>
          </cell>
          <cell r="E92">
            <v>1</v>
          </cell>
          <cell r="L92">
            <v>0</v>
          </cell>
          <cell r="M92">
            <v>0</v>
          </cell>
          <cell r="N92">
            <v>0</v>
          </cell>
          <cell r="O92">
            <v>0</v>
          </cell>
          <cell r="P92">
            <v>0</v>
          </cell>
          <cell r="Q92">
            <v>0</v>
          </cell>
          <cell r="R92">
            <v>100.00000000000003</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-100.00000000000003</v>
          </cell>
          <cell r="AQ92">
            <v>0</v>
          </cell>
          <cell r="AR92">
            <v>0</v>
          </cell>
          <cell r="AS92">
            <v>0</v>
          </cell>
          <cell r="AT92">
            <v>0</v>
          </cell>
          <cell r="AU92">
            <v>0</v>
          </cell>
          <cell r="AV92">
            <v>0</v>
          </cell>
          <cell r="AW92">
            <v>0</v>
          </cell>
          <cell r="AX92">
            <v>0</v>
          </cell>
          <cell r="AY92">
            <v>0</v>
          </cell>
          <cell r="AZ92">
            <v>0</v>
          </cell>
          <cell r="BA92">
            <v>0</v>
          </cell>
          <cell r="BB92">
            <v>0</v>
          </cell>
          <cell r="BC92">
            <v>0</v>
          </cell>
        </row>
        <row r="93">
          <cell r="B93" t="str">
            <v>BRSALQX68</v>
          </cell>
          <cell r="C93" t="str">
            <v>USD Cash Benchmark</v>
          </cell>
          <cell r="D93" t="str">
            <v>USDCASHBMK</v>
          </cell>
          <cell r="E93">
            <v>1</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-100</v>
          </cell>
          <cell r="AQ93">
            <v>0</v>
          </cell>
          <cell r="AR93">
            <v>0</v>
          </cell>
          <cell r="AS93">
            <v>0</v>
          </cell>
          <cell r="AT93">
            <v>0</v>
          </cell>
          <cell r="AU93">
            <v>0</v>
          </cell>
          <cell r="AV93">
            <v>0</v>
          </cell>
          <cell r="AW93">
            <v>0</v>
          </cell>
          <cell r="AX93">
            <v>0</v>
          </cell>
          <cell r="AY93">
            <v>0</v>
          </cell>
          <cell r="AZ93">
            <v>0</v>
          </cell>
          <cell r="BA93">
            <v>0</v>
          </cell>
          <cell r="BB93">
            <v>0</v>
          </cell>
          <cell r="BC93">
            <v>100</v>
          </cell>
        </row>
        <row r="94">
          <cell r="B94" t="str">
            <v>B00766442</v>
          </cell>
          <cell r="C94" t="str">
            <v>BBG Treasury 1-5 Yr Index</v>
          </cell>
          <cell r="D94" t="str">
            <v>LTSY1-5</v>
          </cell>
          <cell r="E94">
            <v>1.0000000000000002</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-99.999999999999972</v>
          </cell>
          <cell r="AQ94">
            <v>0</v>
          </cell>
          <cell r="AR94">
            <v>0</v>
          </cell>
          <cell r="AS94">
            <v>0</v>
          </cell>
          <cell r="AT94">
            <v>0</v>
          </cell>
          <cell r="AU94">
            <v>0</v>
          </cell>
          <cell r="AV94">
            <v>0</v>
          </cell>
          <cell r="AW94">
            <v>0</v>
          </cell>
          <cell r="AX94">
            <v>0</v>
          </cell>
          <cell r="AY94">
            <v>0</v>
          </cell>
          <cell r="AZ94">
            <v>0</v>
          </cell>
          <cell r="BA94">
            <v>0</v>
          </cell>
          <cell r="BB94">
            <v>0</v>
          </cell>
          <cell r="BC94">
            <v>99.999999999999972</v>
          </cell>
        </row>
        <row r="95">
          <cell r="B95" t="str">
            <v>BRSDAJPS1</v>
          </cell>
          <cell r="C95" t="str">
            <v>CNY Cash Benchmark</v>
          </cell>
          <cell r="D95" t="str">
            <v>CNYCASHBMK</v>
          </cell>
          <cell r="E95">
            <v>1.0000000000000002</v>
          </cell>
          <cell r="L95">
            <v>0</v>
          </cell>
          <cell r="M95">
            <v>0</v>
          </cell>
          <cell r="N95">
            <v>0</v>
          </cell>
          <cell r="O95">
            <v>0</v>
          </cell>
          <cell r="P95">
            <v>0</v>
          </cell>
          <cell r="Q95">
            <v>0</v>
          </cell>
          <cell r="R95">
            <v>100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-100</v>
          </cell>
          <cell r="AQ95">
            <v>0</v>
          </cell>
          <cell r="AR95">
            <v>0</v>
          </cell>
          <cell r="AS95">
            <v>0</v>
          </cell>
          <cell r="AT95">
            <v>0</v>
          </cell>
          <cell r="AU95">
            <v>0</v>
          </cell>
          <cell r="AV95">
            <v>0</v>
          </cell>
          <cell r="AW95">
            <v>0</v>
          </cell>
          <cell r="AX95">
            <v>0</v>
          </cell>
          <cell r="AY95">
            <v>0</v>
          </cell>
          <cell r="AZ95">
            <v>0</v>
          </cell>
          <cell r="BA95">
            <v>0</v>
          </cell>
          <cell r="BB95">
            <v>0</v>
          </cell>
          <cell r="BC95">
            <v>0</v>
          </cell>
        </row>
        <row r="96">
          <cell r="B96" t="str">
            <v>BRS2NHT69</v>
          </cell>
          <cell r="C96" t="str">
            <v>MSCI Developed - United Kingdom</v>
          </cell>
          <cell r="D96" t="str">
            <v>MS_GB</v>
          </cell>
          <cell r="E96">
            <v>1</v>
          </cell>
          <cell r="L96">
            <v>0</v>
          </cell>
          <cell r="M96">
            <v>0</v>
          </cell>
          <cell r="N96">
            <v>0</v>
          </cell>
          <cell r="O96">
            <v>0.15068909667218697</v>
          </cell>
          <cell r="P96">
            <v>0</v>
          </cell>
          <cell r="Q96">
            <v>0.37157819066921105</v>
          </cell>
          <cell r="R96">
            <v>0</v>
          </cell>
          <cell r="S96">
            <v>0</v>
          </cell>
          <cell r="T96">
            <v>0</v>
          </cell>
          <cell r="U96">
            <v>0</v>
          </cell>
          <cell r="V96">
            <v>0</v>
          </cell>
          <cell r="W96">
            <v>0</v>
          </cell>
          <cell r="X96">
            <v>0</v>
          </cell>
          <cell r="Y96">
            <v>0.58235655029436328</v>
          </cell>
          <cell r="Z96">
            <v>98.895376162364229</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-99.999999999999972</v>
          </cell>
          <cell r="AQ96">
            <v>0</v>
          </cell>
          <cell r="AR96">
            <v>0</v>
          </cell>
          <cell r="AS96">
            <v>0</v>
          </cell>
          <cell r="AT96">
            <v>0</v>
          </cell>
          <cell r="AU96">
            <v>0</v>
          </cell>
          <cell r="AV96">
            <v>0</v>
          </cell>
          <cell r="AW96">
            <v>0</v>
          </cell>
          <cell r="AX96">
            <v>0</v>
          </cell>
          <cell r="AY96">
            <v>0</v>
          </cell>
          <cell r="AZ96">
            <v>0</v>
          </cell>
          <cell r="BA96">
            <v>0</v>
          </cell>
          <cell r="BB96">
            <v>0</v>
          </cell>
          <cell r="BC96">
            <v>-1.7966634483589833E-14</v>
          </cell>
        </row>
        <row r="97">
          <cell r="B97" t="str">
            <v>BRS26QNA5</v>
          </cell>
          <cell r="C97" t="str">
            <v>FTSE Actuaries UK Conventional Gilts All</v>
          </cell>
          <cell r="D97" t="str">
            <v>FTSEASGILT</v>
          </cell>
          <cell r="E97">
            <v>1</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100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-100</v>
          </cell>
          <cell r="AQ97">
            <v>0</v>
          </cell>
          <cell r="AR97">
            <v>0</v>
          </cell>
          <cell r="AS97">
            <v>0</v>
          </cell>
          <cell r="AT97">
            <v>0</v>
          </cell>
          <cell r="AU97">
            <v>0</v>
          </cell>
          <cell r="AV97">
            <v>0</v>
          </cell>
          <cell r="AW97">
            <v>0</v>
          </cell>
          <cell r="AX97">
            <v>0</v>
          </cell>
          <cell r="AY97">
            <v>0</v>
          </cell>
          <cell r="AZ97">
            <v>0</v>
          </cell>
          <cell r="BA97">
            <v>0</v>
          </cell>
          <cell r="BB97">
            <v>0</v>
          </cell>
          <cell r="BC97">
            <v>0</v>
          </cell>
        </row>
        <row r="98">
          <cell r="B98" t="str">
            <v>BRS98Q5C4</v>
          </cell>
          <cell r="C98" t="str">
            <v>BBG Asian Pacific Japan Treasury</v>
          </cell>
          <cell r="D98" t="str">
            <v>BCAPJYJGB</v>
          </cell>
          <cell r="E98">
            <v>1.0000000000000002</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100.00000000000013</v>
          </cell>
          <cell r="AH98">
            <v>0</v>
          </cell>
          <cell r="AI98">
            <v>0</v>
          </cell>
          <cell r="AJ98">
            <v>0</v>
          </cell>
          <cell r="AK98">
            <v>0</v>
          </cell>
          <cell r="AL98">
            <v>0</v>
          </cell>
          <cell r="AM98">
            <v>0</v>
          </cell>
          <cell r="AN98">
            <v>0</v>
          </cell>
          <cell r="AO98">
            <v>0</v>
          </cell>
          <cell r="AP98">
            <v>-100.00000000000013</v>
          </cell>
          <cell r="AQ98">
            <v>0</v>
          </cell>
          <cell r="AR98">
            <v>0</v>
          </cell>
          <cell r="AS98">
            <v>0</v>
          </cell>
          <cell r="AT98">
            <v>0</v>
          </cell>
          <cell r="AU98">
            <v>0</v>
          </cell>
          <cell r="AV98">
            <v>0</v>
          </cell>
          <cell r="AW98">
            <v>0</v>
          </cell>
          <cell r="AX98">
            <v>0</v>
          </cell>
          <cell r="AY98">
            <v>0</v>
          </cell>
          <cell r="AZ98">
            <v>0</v>
          </cell>
          <cell r="BA98">
            <v>0</v>
          </cell>
          <cell r="BB98">
            <v>0</v>
          </cell>
          <cell r="BC98">
            <v>0</v>
          </cell>
        </row>
        <row r="99">
          <cell r="B99" t="str">
            <v>BRSD8ELA8</v>
          </cell>
          <cell r="C99" t="str">
            <v>BBG Japanese Credit Index</v>
          </cell>
          <cell r="D99" t="str">
            <v>LEHCREDJP</v>
          </cell>
          <cell r="E99">
            <v>0.99999999999999989</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100</v>
          </cell>
          <cell r="AH99">
            <v>0</v>
          </cell>
          <cell r="AI99">
            <v>0</v>
          </cell>
          <cell r="AJ99">
            <v>0</v>
          </cell>
          <cell r="AK99">
            <v>0</v>
          </cell>
          <cell r="AL99">
            <v>0</v>
          </cell>
          <cell r="AM99">
            <v>0</v>
          </cell>
          <cell r="AN99">
            <v>0</v>
          </cell>
          <cell r="AO99">
            <v>0</v>
          </cell>
          <cell r="AP99">
            <v>-100</v>
          </cell>
          <cell r="AQ99">
            <v>0</v>
          </cell>
          <cell r="AR99">
            <v>0</v>
          </cell>
          <cell r="AS99">
            <v>0</v>
          </cell>
          <cell r="AT99">
            <v>0</v>
          </cell>
          <cell r="AU99">
            <v>0</v>
          </cell>
          <cell r="AV99">
            <v>0</v>
          </cell>
          <cell r="AW99">
            <v>0</v>
          </cell>
          <cell r="AX99">
            <v>0</v>
          </cell>
          <cell r="AY99">
            <v>0</v>
          </cell>
          <cell r="AZ99">
            <v>0</v>
          </cell>
          <cell r="BA99">
            <v>0</v>
          </cell>
          <cell r="BB99">
            <v>0</v>
          </cell>
          <cell r="BC99">
            <v>0</v>
          </cell>
        </row>
        <row r="100">
          <cell r="B100" t="str">
            <v>BRSC6F368</v>
          </cell>
          <cell r="C100" t="str">
            <v>FTSE All Stocks Gilts between 5-10 Years</v>
          </cell>
          <cell r="D100" t="str">
            <v>FTASG5T10</v>
          </cell>
          <cell r="E100">
            <v>0.99999999999999989</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100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-100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row>
        <row r="101">
          <cell r="B101" t="str">
            <v>BRS7ZVX51</v>
          </cell>
          <cell r="C101" t="str">
            <v>BBG Sterling Aggregate Corporate Bond In</v>
          </cell>
          <cell r="D101" t="str">
            <v>BSTERCORP</v>
          </cell>
          <cell r="E101">
            <v>1</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100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-100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row>
        <row r="102">
          <cell r="B102" t="str">
            <v>BRSC6UDF4</v>
          </cell>
          <cell r="C102" t="str">
            <v>MSCI Daily TR Gross Developed Pacific Ex</v>
          </cell>
          <cell r="D102" t="str">
            <v>MSPAXJPNET</v>
          </cell>
          <cell r="E102">
            <v>1</v>
          </cell>
          <cell r="L102">
            <v>0</v>
          </cell>
          <cell r="M102">
            <v>68.558945517893008</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16.399226021284033</v>
          </cell>
          <cell r="AB102">
            <v>0</v>
          </cell>
          <cell r="AC102">
            <v>0</v>
          </cell>
          <cell r="AD102">
            <v>0</v>
          </cell>
          <cell r="AE102">
            <v>0</v>
          </cell>
          <cell r="AF102">
            <v>0</v>
          </cell>
          <cell r="AG102">
            <v>0</v>
          </cell>
          <cell r="AH102">
            <v>0</v>
          </cell>
          <cell r="AI102">
            <v>0</v>
          </cell>
          <cell r="AJ102">
            <v>0</v>
          </cell>
          <cell r="AK102">
            <v>0</v>
          </cell>
          <cell r="AL102">
            <v>0</v>
          </cell>
          <cell r="AM102">
            <v>2.4110266273560144</v>
          </cell>
          <cell r="AN102">
            <v>0</v>
          </cell>
          <cell r="AO102">
            <v>0</v>
          </cell>
          <cell r="AP102">
            <v>-100.00000000000006</v>
          </cell>
          <cell r="AQ102">
            <v>0</v>
          </cell>
          <cell r="AR102">
            <v>0</v>
          </cell>
          <cell r="AS102">
            <v>0</v>
          </cell>
          <cell r="AT102">
            <v>0</v>
          </cell>
          <cell r="AU102">
            <v>0</v>
          </cell>
          <cell r="AV102">
            <v>0</v>
          </cell>
          <cell r="AW102">
            <v>12.630801833467018</v>
          </cell>
          <cell r="AX102">
            <v>0</v>
          </cell>
          <cell r="AY102">
            <v>0</v>
          </cell>
          <cell r="AZ102">
            <v>0</v>
          </cell>
          <cell r="BA102">
            <v>0</v>
          </cell>
          <cell r="BB102">
            <v>0</v>
          </cell>
          <cell r="BC102">
            <v>-1.3474975862692375E-14</v>
          </cell>
        </row>
        <row r="103">
          <cell r="B103" t="str">
            <v>BRSAMRUN1</v>
          </cell>
          <cell r="C103" t="str">
            <v>JPY Cash Benchmark</v>
          </cell>
          <cell r="D103" t="str">
            <v>JPYCASHBMK</v>
          </cell>
          <cell r="E103">
            <v>1</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100</v>
          </cell>
          <cell r="AH103">
            <v>0</v>
          </cell>
          <cell r="AI103">
            <v>0</v>
          </cell>
          <cell r="AJ103">
            <v>0</v>
          </cell>
          <cell r="AK103">
            <v>0</v>
          </cell>
          <cell r="AL103">
            <v>0</v>
          </cell>
          <cell r="AM103">
            <v>0</v>
          </cell>
          <cell r="AN103">
            <v>0</v>
          </cell>
          <cell r="AO103">
            <v>0</v>
          </cell>
          <cell r="AP103">
            <v>-100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row>
        <row r="104">
          <cell r="B104" t="str">
            <v>BRSCS1TV2</v>
          </cell>
          <cell r="C104" t="str">
            <v>CAD Cash Benchmark</v>
          </cell>
          <cell r="D104" t="str">
            <v>CADCASHBMK</v>
          </cell>
          <cell r="E104">
            <v>1</v>
          </cell>
          <cell r="L104">
            <v>0</v>
          </cell>
          <cell r="M104">
            <v>0</v>
          </cell>
          <cell r="N104">
            <v>0</v>
          </cell>
          <cell r="O104">
            <v>100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-100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row>
        <row r="105">
          <cell r="B105" t="str">
            <v>BRWFALUZ4</v>
          </cell>
          <cell r="C105" t="str">
            <v>MSCI EMU/INDUSTRIALS</v>
          </cell>
          <cell r="D105" t="str">
            <v>MS106696</v>
          </cell>
          <cell r="E105">
            <v>1</v>
          </cell>
          <cell r="L105">
            <v>0</v>
          </cell>
          <cell r="M105">
            <v>0</v>
          </cell>
          <cell r="N105">
            <v>0</v>
          </cell>
          <cell r="O105">
            <v>0</v>
          </cell>
          <cell r="P105">
            <v>0</v>
          </cell>
          <cell r="Q105">
            <v>0</v>
          </cell>
          <cell r="R105">
            <v>0</v>
          </cell>
          <cell r="S105">
            <v>0</v>
          </cell>
          <cell r="T105">
            <v>0</v>
          </cell>
          <cell r="U105">
            <v>0</v>
          </cell>
          <cell r="V105">
            <v>0</v>
          </cell>
          <cell r="W105">
            <v>0</v>
          </cell>
          <cell r="X105">
            <v>0</v>
          </cell>
          <cell r="Y105">
            <v>99.634945833121719</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-99.634945833121733</v>
          </cell>
          <cell r="AQ105">
            <v>0</v>
          </cell>
          <cell r="AR105">
            <v>0</v>
          </cell>
          <cell r="AS105">
            <v>0</v>
          </cell>
          <cell r="AT105">
            <v>0</v>
          </cell>
          <cell r="AU105">
            <v>0</v>
          </cell>
          <cell r="AV105">
            <v>0</v>
          </cell>
          <cell r="AW105">
            <v>0</v>
          </cell>
          <cell r="AX105">
            <v>0</v>
          </cell>
          <cell r="AY105">
            <v>0</v>
          </cell>
          <cell r="AZ105">
            <v>0</v>
          </cell>
          <cell r="BA105">
            <v>0</v>
          </cell>
          <cell r="BB105">
            <v>0</v>
          </cell>
          <cell r="BC105">
            <v>1.7966634483589833E-14</v>
          </cell>
        </row>
        <row r="106">
          <cell r="B106" t="str">
            <v>BRSM5U4X4</v>
          </cell>
          <cell r="C106" t="str">
            <v>BBG Sterling Aggregate Corp 1-10 years I</v>
          </cell>
          <cell r="D106" t="str">
            <v>B17389EUR</v>
          </cell>
          <cell r="E106">
            <v>1</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99.999999999999986</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-100</v>
          </cell>
          <cell r="AQ106">
            <v>0</v>
          </cell>
          <cell r="AR106">
            <v>0</v>
          </cell>
          <cell r="AS106">
            <v>0</v>
          </cell>
          <cell r="AT106">
            <v>0</v>
          </cell>
          <cell r="AU106">
            <v>0</v>
          </cell>
          <cell r="AV106">
            <v>0</v>
          </cell>
          <cell r="AW106">
            <v>0</v>
          </cell>
          <cell r="AX106">
            <v>0</v>
          </cell>
          <cell r="AY106">
            <v>0</v>
          </cell>
          <cell r="AZ106">
            <v>0</v>
          </cell>
          <cell r="BA106">
            <v>0</v>
          </cell>
          <cell r="BB106">
            <v>0</v>
          </cell>
          <cell r="BC106">
            <v>1.7966634483589833E-14</v>
          </cell>
        </row>
        <row r="107">
          <cell r="B107" t="str">
            <v>BRT7CJEE4</v>
          </cell>
          <cell r="C107" t="str">
            <v>BBG Sterling Aggregate Gilts (1-10)</v>
          </cell>
          <cell r="D107" t="str">
            <v>B31677GBP</v>
          </cell>
          <cell r="E107">
            <v>1</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100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-100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row>
        <row r="108">
          <cell r="B108" t="str">
            <v>BRWFALY31</v>
          </cell>
          <cell r="C108" t="str">
            <v>MSCI EMU/CONSUMER DISCR</v>
          </cell>
          <cell r="D108" t="str">
            <v>MS106697</v>
          </cell>
          <cell r="E108">
            <v>1</v>
          </cell>
          <cell r="L108">
            <v>0</v>
          </cell>
          <cell r="M108">
            <v>0</v>
          </cell>
          <cell r="N108">
            <v>0</v>
          </cell>
          <cell r="O108">
            <v>0</v>
          </cell>
          <cell r="P108">
            <v>0</v>
          </cell>
          <cell r="Q108">
            <v>0</v>
          </cell>
          <cell r="R108">
            <v>0</v>
          </cell>
          <cell r="S108">
            <v>0</v>
          </cell>
          <cell r="T108">
            <v>0</v>
          </cell>
          <cell r="U108">
            <v>0</v>
          </cell>
          <cell r="V108">
            <v>0</v>
          </cell>
          <cell r="W108">
            <v>0</v>
          </cell>
          <cell r="X108">
            <v>0</v>
          </cell>
          <cell r="Y108">
            <v>100.00000000000003</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-100.00000000000003</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row>
        <row r="109">
          <cell r="B109" t="str">
            <v>BRS2HF2E2</v>
          </cell>
          <cell r="C109" t="str">
            <v xml:space="preserve">FTSE Actuaries UK Index-Linked Gilts up </v>
          </cell>
          <cell r="D109" t="str">
            <v>FTILGLTL5</v>
          </cell>
          <cell r="E109">
            <v>1.0000000000000002</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100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-100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row>
        <row r="110">
          <cell r="B110" t="str">
            <v>B06384109</v>
          </cell>
          <cell r="C110" t="str">
            <v>MSCI Europe Gross TR Index</v>
          </cell>
          <cell r="D110" t="str">
            <v>MS_EU</v>
          </cell>
          <cell r="E110">
            <v>1</v>
          </cell>
          <cell r="L110">
            <v>0</v>
          </cell>
          <cell r="M110">
            <v>0</v>
          </cell>
          <cell r="N110">
            <v>0</v>
          </cell>
          <cell r="O110">
            <v>3.4034355178053741E-2</v>
          </cell>
          <cell r="P110">
            <v>15.344903860011947</v>
          </cell>
          <cell r="Q110">
            <v>8.3923949356242186E-2</v>
          </cell>
          <cell r="R110">
            <v>0</v>
          </cell>
          <cell r="S110">
            <v>0</v>
          </cell>
          <cell r="T110">
            <v>0</v>
          </cell>
          <cell r="U110">
            <v>0</v>
          </cell>
          <cell r="V110">
            <v>5.7219862317135046</v>
          </cell>
          <cell r="W110">
            <v>0</v>
          </cell>
          <cell r="X110">
            <v>0</v>
          </cell>
          <cell r="Y110">
            <v>50.210165116199086</v>
          </cell>
          <cell r="Z110">
            <v>22.336323145524389</v>
          </cell>
          <cell r="AA110">
            <v>0</v>
          </cell>
          <cell r="AB110">
            <v>0</v>
          </cell>
          <cell r="AC110">
            <v>0</v>
          </cell>
          <cell r="AD110">
            <v>0</v>
          </cell>
          <cell r="AE110">
            <v>0</v>
          </cell>
          <cell r="AF110">
            <v>0</v>
          </cell>
          <cell r="AG110">
            <v>0</v>
          </cell>
          <cell r="AH110">
            <v>0</v>
          </cell>
          <cell r="AI110">
            <v>0</v>
          </cell>
          <cell r="AJ110">
            <v>0</v>
          </cell>
          <cell r="AK110">
            <v>0</v>
          </cell>
          <cell r="AL110">
            <v>0.87210307872890525</v>
          </cell>
          <cell r="AM110">
            <v>0</v>
          </cell>
          <cell r="AN110">
            <v>0</v>
          </cell>
          <cell r="AO110">
            <v>0</v>
          </cell>
          <cell r="AP110">
            <v>-99.921913972530334</v>
          </cell>
          <cell r="AQ110">
            <v>0</v>
          </cell>
          <cell r="AR110">
            <v>0</v>
          </cell>
          <cell r="AS110">
            <v>0</v>
          </cell>
          <cell r="AT110">
            <v>0</v>
          </cell>
          <cell r="AU110">
            <v>0</v>
          </cell>
          <cell r="AV110">
            <v>5.3184742358181945</v>
          </cell>
          <cell r="AW110">
            <v>0</v>
          </cell>
          <cell r="AX110">
            <v>0</v>
          </cell>
          <cell r="AY110">
            <v>0</v>
          </cell>
          <cell r="AZ110">
            <v>0</v>
          </cell>
          <cell r="BA110">
            <v>0</v>
          </cell>
          <cell r="BB110">
            <v>0</v>
          </cell>
          <cell r="BC110">
            <v>5.6145732761218228E-15</v>
          </cell>
        </row>
        <row r="111">
          <cell r="B111" t="str">
            <v>B06384117</v>
          </cell>
          <cell r="C111" t="str">
            <v>MSCI Developed Europe ex UK Gross TR Ind</v>
          </cell>
          <cell r="D111" t="str">
            <v>MS_EUXUK</v>
          </cell>
          <cell r="E111">
            <v>0.99999999999999989</v>
          </cell>
          <cell r="L111">
            <v>0</v>
          </cell>
          <cell r="M111">
            <v>0</v>
          </cell>
          <cell r="N111">
            <v>0</v>
          </cell>
          <cell r="O111">
            <v>0</v>
          </cell>
          <cell r="P111">
            <v>19.821823541592131</v>
          </cell>
          <cell r="Q111">
            <v>0</v>
          </cell>
          <cell r="R111">
            <v>0</v>
          </cell>
          <cell r="S111">
            <v>0</v>
          </cell>
          <cell r="T111">
            <v>0</v>
          </cell>
          <cell r="U111">
            <v>0</v>
          </cell>
          <cell r="V111">
            <v>7.391392114747112</v>
          </cell>
          <cell r="W111">
            <v>0</v>
          </cell>
          <cell r="X111">
            <v>0</v>
          </cell>
          <cell r="Y111">
            <v>64.68922050483414</v>
          </cell>
          <cell r="Z111">
            <v>0</v>
          </cell>
          <cell r="AA111">
            <v>0</v>
          </cell>
          <cell r="AB111">
            <v>0</v>
          </cell>
          <cell r="AC111">
            <v>0</v>
          </cell>
          <cell r="AD111">
            <v>0</v>
          </cell>
          <cell r="AE111">
            <v>0</v>
          </cell>
          <cell r="AF111">
            <v>0</v>
          </cell>
          <cell r="AG111">
            <v>0</v>
          </cell>
          <cell r="AH111">
            <v>0</v>
          </cell>
          <cell r="AI111">
            <v>0</v>
          </cell>
          <cell r="AJ111">
            <v>0</v>
          </cell>
          <cell r="AK111">
            <v>0</v>
          </cell>
          <cell r="AL111">
            <v>1.1265416515050184</v>
          </cell>
          <cell r="AM111">
            <v>0</v>
          </cell>
          <cell r="AN111">
            <v>0</v>
          </cell>
          <cell r="AO111">
            <v>0</v>
          </cell>
          <cell r="AP111">
            <v>-99.899132150211699</v>
          </cell>
          <cell r="AQ111">
            <v>0</v>
          </cell>
          <cell r="AR111">
            <v>0</v>
          </cell>
          <cell r="AS111">
            <v>0</v>
          </cell>
          <cell r="AT111">
            <v>0</v>
          </cell>
          <cell r="AU111">
            <v>0</v>
          </cell>
          <cell r="AV111">
            <v>6.8701543375332843</v>
          </cell>
          <cell r="AW111">
            <v>0</v>
          </cell>
          <cell r="AX111">
            <v>0</v>
          </cell>
          <cell r="AY111">
            <v>0</v>
          </cell>
          <cell r="AZ111">
            <v>0</v>
          </cell>
          <cell r="BA111">
            <v>0</v>
          </cell>
          <cell r="BB111">
            <v>0</v>
          </cell>
          <cell r="BC111">
            <v>-1.1229146552243648E-15</v>
          </cell>
        </row>
        <row r="112">
          <cell r="B112" t="str">
            <v>BRS6WE6V7</v>
          </cell>
          <cell r="C112" t="str">
            <v>BBG Euro Agg Treasury 15 plus</v>
          </cell>
          <cell r="D112" t="str">
            <v>LEURTY15P</v>
          </cell>
          <cell r="E112">
            <v>1</v>
          </cell>
          <cell r="L112">
            <v>0</v>
          </cell>
          <cell r="M112">
            <v>0</v>
          </cell>
          <cell r="N112">
            <v>0</v>
          </cell>
          <cell r="O112">
            <v>0</v>
          </cell>
          <cell r="P112">
            <v>0</v>
          </cell>
          <cell r="Q112">
            <v>0</v>
          </cell>
          <cell r="R112">
            <v>0</v>
          </cell>
          <cell r="S112">
            <v>0</v>
          </cell>
          <cell r="T112">
            <v>0</v>
          </cell>
          <cell r="U112">
            <v>0</v>
          </cell>
          <cell r="V112">
            <v>0</v>
          </cell>
          <cell r="W112">
            <v>0</v>
          </cell>
          <cell r="X112">
            <v>0</v>
          </cell>
          <cell r="Y112">
            <v>100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-100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B113" t="str">
            <v>BRS8KCA78</v>
          </cell>
          <cell r="C113" t="str">
            <v>BBG Euro-Agg Corp Long Index</v>
          </cell>
          <cell r="D113" t="str">
            <v>BEUAGCPLNG</v>
          </cell>
          <cell r="E113">
            <v>1</v>
          </cell>
          <cell r="L113">
            <v>0</v>
          </cell>
          <cell r="M113">
            <v>0</v>
          </cell>
          <cell r="N113">
            <v>0</v>
          </cell>
          <cell r="O113">
            <v>0</v>
          </cell>
          <cell r="P113">
            <v>0</v>
          </cell>
          <cell r="Q113">
            <v>0</v>
          </cell>
          <cell r="R113">
            <v>0</v>
          </cell>
          <cell r="S113">
            <v>0</v>
          </cell>
          <cell r="T113">
            <v>0</v>
          </cell>
          <cell r="U113">
            <v>0</v>
          </cell>
          <cell r="V113">
            <v>0</v>
          </cell>
          <cell r="W113">
            <v>0</v>
          </cell>
          <cell r="X113">
            <v>0</v>
          </cell>
          <cell r="Y113">
            <v>100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-100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B114" t="str">
            <v>BRS26QD24</v>
          </cell>
          <cell r="C114" t="str">
            <v xml:space="preserve">FTSE Actuaries UK Conventional Gilts up </v>
          </cell>
          <cell r="D114" t="str">
            <v>FTGLTL5</v>
          </cell>
          <cell r="E114">
            <v>1</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100.00000000000003</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-100.00000000000003</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15">
          <cell r="B115" t="str">
            <v>BRWFAM6N6</v>
          </cell>
          <cell r="C115" t="str">
            <v>MSCI EMU/HEALTH CARE</v>
          </cell>
          <cell r="D115" t="str">
            <v>MS106699</v>
          </cell>
          <cell r="E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99.999999999999957</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-99.999999999999957</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row>
        <row r="116">
          <cell r="B116" t="str">
            <v>BRTD3ZAC3</v>
          </cell>
          <cell r="C116" t="str">
            <v xml:space="preserve">BBG Inflation Linked Eurozone Inflation </v>
          </cell>
          <cell r="D116" t="str">
            <v>B20720EUR</v>
          </cell>
          <cell r="E116">
            <v>1</v>
          </cell>
          <cell r="L116">
            <v>0</v>
          </cell>
          <cell r="M116">
            <v>0</v>
          </cell>
          <cell r="N116">
            <v>0</v>
          </cell>
          <cell r="O116">
            <v>0</v>
          </cell>
          <cell r="P116">
            <v>0</v>
          </cell>
          <cell r="Q116">
            <v>0</v>
          </cell>
          <cell r="R116">
            <v>0</v>
          </cell>
          <cell r="S116">
            <v>0</v>
          </cell>
          <cell r="T116">
            <v>0</v>
          </cell>
          <cell r="U116">
            <v>0</v>
          </cell>
          <cell r="V116">
            <v>0</v>
          </cell>
          <cell r="W116">
            <v>0</v>
          </cell>
          <cell r="X116">
            <v>0</v>
          </cell>
          <cell r="Y116">
            <v>100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-100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row>
        <row r="117">
          <cell r="B117" t="str">
            <v>BRSAMQMN2</v>
          </cell>
          <cell r="C117" t="str">
            <v>GBP Cash Benchmark</v>
          </cell>
          <cell r="D117" t="str">
            <v>GBPCASHBMK</v>
          </cell>
          <cell r="E117">
            <v>1</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100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-100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row>
        <row r="118">
          <cell r="B118" t="str">
            <v>BRWFALRK1</v>
          </cell>
          <cell r="C118" t="str">
            <v>MSCI EMU/MATERIALS</v>
          </cell>
          <cell r="D118" t="str">
            <v>MS106695</v>
          </cell>
          <cell r="E118">
            <v>1</v>
          </cell>
          <cell r="L118">
            <v>0</v>
          </cell>
          <cell r="M118">
            <v>0</v>
          </cell>
          <cell r="N118">
            <v>0</v>
          </cell>
          <cell r="O118">
            <v>0</v>
          </cell>
          <cell r="P118">
            <v>0</v>
          </cell>
          <cell r="Q118">
            <v>0</v>
          </cell>
          <cell r="R118">
            <v>0</v>
          </cell>
          <cell r="S118">
            <v>0</v>
          </cell>
          <cell r="T118">
            <v>0</v>
          </cell>
          <cell r="U118">
            <v>0</v>
          </cell>
          <cell r="V118">
            <v>0</v>
          </cell>
          <cell r="W118">
            <v>0</v>
          </cell>
          <cell r="X118">
            <v>0</v>
          </cell>
          <cell r="Y118">
            <v>100.00000000000003</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-100.00000000000003</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row>
        <row r="119">
          <cell r="B119" t="str">
            <v>BRWFAM1A9</v>
          </cell>
          <cell r="C119" t="str">
            <v>MSCI EMU/CONSUMER STAPLES</v>
          </cell>
          <cell r="D119" t="str">
            <v>MS106698</v>
          </cell>
          <cell r="E119">
            <v>1.0000000000000002</v>
          </cell>
          <cell r="L119">
            <v>0</v>
          </cell>
          <cell r="M119">
            <v>0</v>
          </cell>
          <cell r="N119">
            <v>0</v>
          </cell>
          <cell r="O119">
            <v>0</v>
          </cell>
          <cell r="P119">
            <v>0</v>
          </cell>
          <cell r="Q119">
            <v>0</v>
          </cell>
          <cell r="R119">
            <v>0</v>
          </cell>
          <cell r="S119">
            <v>0</v>
          </cell>
          <cell r="T119">
            <v>0</v>
          </cell>
          <cell r="U119">
            <v>0</v>
          </cell>
          <cell r="V119">
            <v>0</v>
          </cell>
          <cell r="W119">
            <v>0</v>
          </cell>
          <cell r="X119">
            <v>0</v>
          </cell>
          <cell r="Y119">
            <v>98.708156236837752</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-98.70815623683778</v>
          </cell>
          <cell r="AQ119">
            <v>0</v>
          </cell>
          <cell r="AR119">
            <v>0</v>
          </cell>
          <cell r="AS119">
            <v>0</v>
          </cell>
          <cell r="AT119">
            <v>0</v>
          </cell>
          <cell r="AU119">
            <v>0</v>
          </cell>
          <cell r="AV119">
            <v>0</v>
          </cell>
          <cell r="AW119">
            <v>0</v>
          </cell>
          <cell r="AX119">
            <v>0</v>
          </cell>
          <cell r="AY119">
            <v>0</v>
          </cell>
          <cell r="AZ119">
            <v>0</v>
          </cell>
          <cell r="BA119">
            <v>0</v>
          </cell>
          <cell r="BB119">
            <v>0</v>
          </cell>
          <cell r="BC119">
            <v>1.7966634483589827E-14</v>
          </cell>
        </row>
        <row r="120">
          <cell r="B120" t="str">
            <v>BRWFALQM8</v>
          </cell>
          <cell r="C120" t="str">
            <v>MSCI EMU/ENERGY</v>
          </cell>
          <cell r="D120" t="str">
            <v>MS106694</v>
          </cell>
          <cell r="E120">
            <v>1</v>
          </cell>
          <cell r="L120">
            <v>0</v>
          </cell>
          <cell r="M120">
            <v>0</v>
          </cell>
          <cell r="N120">
            <v>0</v>
          </cell>
          <cell r="O120">
            <v>0</v>
          </cell>
          <cell r="P120">
            <v>0</v>
          </cell>
          <cell r="Q120">
            <v>0</v>
          </cell>
          <cell r="R120">
            <v>0</v>
          </cell>
          <cell r="S120">
            <v>0</v>
          </cell>
          <cell r="T120">
            <v>0</v>
          </cell>
          <cell r="U120">
            <v>0</v>
          </cell>
          <cell r="V120">
            <v>0</v>
          </cell>
          <cell r="W120">
            <v>0</v>
          </cell>
          <cell r="X120">
            <v>0</v>
          </cell>
          <cell r="Y120">
            <v>100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-100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row>
        <row r="121">
          <cell r="B121" t="str">
            <v>BRS36ZT25</v>
          </cell>
          <cell r="C121" t="str">
            <v>JP Morgan GBI-EM Global Diversified Inde</v>
          </cell>
          <cell r="D121" t="str">
            <v>JPMGBIEGDV</v>
          </cell>
          <cell r="E121">
            <v>1</v>
          </cell>
          <cell r="L121">
            <v>0</v>
          </cell>
          <cell r="M121">
            <v>0</v>
          </cell>
          <cell r="N121">
            <v>8.1564095318162373</v>
          </cell>
          <cell r="O121">
            <v>0</v>
          </cell>
          <cell r="P121">
            <v>0</v>
          </cell>
          <cell r="Q121">
            <v>1.8144272788364513</v>
          </cell>
          <cell r="R121">
            <v>9.9948310399173028</v>
          </cell>
          <cell r="S121">
            <v>4.1923178622654733</v>
          </cell>
          <cell r="T121">
            <v>5.6715393476161777</v>
          </cell>
          <cell r="U121">
            <v>0</v>
          </cell>
          <cell r="V121">
            <v>0</v>
          </cell>
          <cell r="W121">
            <v>0.25053363965307646</v>
          </cell>
          <cell r="X121">
            <v>0</v>
          </cell>
          <cell r="Y121">
            <v>0</v>
          </cell>
          <cell r="Z121">
            <v>0</v>
          </cell>
          <cell r="AA121">
            <v>0</v>
          </cell>
          <cell r="AB121">
            <v>2.9230280988606454</v>
          </cell>
          <cell r="AC121">
            <v>9.9955182895600991</v>
          </cell>
          <cell r="AD121">
            <v>0</v>
          </cell>
          <cell r="AE121">
            <v>2.9986561696191516</v>
          </cell>
          <cell r="AF121">
            <v>0</v>
          </cell>
          <cell r="AG121">
            <v>0</v>
          </cell>
          <cell r="AH121">
            <v>0</v>
          </cell>
          <cell r="AI121">
            <v>0</v>
          </cell>
          <cell r="AJ121">
            <v>9.9955170676690788</v>
          </cell>
          <cell r="AK121">
            <v>9.9955151826553088</v>
          </cell>
          <cell r="AL121">
            <v>0</v>
          </cell>
          <cell r="AM121">
            <v>0</v>
          </cell>
          <cell r="AN121">
            <v>2.0039320345950054</v>
          </cell>
          <cell r="AO121">
            <v>0</v>
          </cell>
          <cell r="AP121">
            <v>-92.154846500640346</v>
          </cell>
          <cell r="AQ121">
            <v>0</v>
          </cell>
          <cell r="AR121">
            <v>3.9323189663499343</v>
          </cell>
          <cell r="AS121">
            <v>0.35784751288554856</v>
          </cell>
          <cell r="AT121">
            <v>0</v>
          </cell>
          <cell r="AU121">
            <v>0</v>
          </cell>
          <cell r="AV121">
            <v>0</v>
          </cell>
          <cell r="AW121">
            <v>0</v>
          </cell>
          <cell r="AX121">
            <v>9.5253690140147</v>
          </cell>
          <cell r="AY121">
            <v>1.5560791184099823</v>
          </cell>
          <cell r="AZ121">
            <v>0</v>
          </cell>
          <cell r="BA121">
            <v>0.18840250296640618</v>
          </cell>
          <cell r="BB121">
            <v>8.6026038429497813</v>
          </cell>
          <cell r="BC121">
            <v>-7.8604025865705527E-15</v>
          </cell>
        </row>
        <row r="122">
          <cell r="B122" t="str">
            <v>BRWFAGPX6</v>
          </cell>
          <cell r="C122" t="str">
            <v>MSCI EMU/COMM SVC Index</v>
          </cell>
          <cell r="D122" t="str">
            <v>MS_EMU50</v>
          </cell>
          <cell r="E122">
            <v>1</v>
          </cell>
          <cell r="L122">
            <v>0</v>
          </cell>
          <cell r="M122">
            <v>0</v>
          </cell>
          <cell r="N122">
            <v>0</v>
          </cell>
          <cell r="O122">
            <v>0</v>
          </cell>
          <cell r="P122">
            <v>0</v>
          </cell>
          <cell r="Q122">
            <v>0</v>
          </cell>
          <cell r="R122">
            <v>0</v>
          </cell>
          <cell r="S122">
            <v>0</v>
          </cell>
          <cell r="T122">
            <v>0</v>
          </cell>
          <cell r="U122">
            <v>0</v>
          </cell>
          <cell r="V122">
            <v>0</v>
          </cell>
          <cell r="W122">
            <v>0</v>
          </cell>
          <cell r="X122">
            <v>0</v>
          </cell>
          <cell r="Y122">
            <v>99.999999999999972</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-99.999999999999972</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row>
        <row r="123">
          <cell r="B123" t="str">
            <v>BRSAMQM02</v>
          </cell>
          <cell r="C123" t="str">
            <v xml:space="preserve">	AUD Cash Benchmark</v>
          </cell>
          <cell r="D123" t="str">
            <v>AUDCASHBMK</v>
          </cell>
          <cell r="E123">
            <v>1</v>
          </cell>
          <cell r="L123">
            <v>0</v>
          </cell>
          <cell r="M123">
            <v>100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-100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row>
        <row r="124">
          <cell r="B124" t="str">
            <v>BRWFAGPY4</v>
          </cell>
          <cell r="C124" t="str">
            <v>MSCI EMU/UTILITIES Index</v>
          </cell>
          <cell r="D124" t="str">
            <v>MS_EMU55</v>
          </cell>
          <cell r="E124">
            <v>0.99999999999999989</v>
          </cell>
          <cell r="L124">
            <v>0</v>
          </cell>
          <cell r="M124">
            <v>0</v>
          </cell>
          <cell r="N124">
            <v>0</v>
          </cell>
          <cell r="O124">
            <v>0</v>
          </cell>
          <cell r="P124">
            <v>0</v>
          </cell>
          <cell r="Q124">
            <v>0</v>
          </cell>
          <cell r="R124">
            <v>0</v>
          </cell>
          <cell r="S124">
            <v>0</v>
          </cell>
          <cell r="T124">
            <v>0</v>
          </cell>
          <cell r="U124">
            <v>0</v>
          </cell>
          <cell r="V124">
            <v>0</v>
          </cell>
          <cell r="W124">
            <v>0</v>
          </cell>
          <cell r="X124">
            <v>0</v>
          </cell>
          <cell r="Y124">
            <v>100.00000000000004</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-100.00000000000004</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row>
        <row r="125">
          <cell r="B125" t="str">
            <v>BRTP0QKN4</v>
          </cell>
          <cell r="C125" t="str">
            <v>Bloomberg Commodity Index Total Return (</v>
          </cell>
          <cell r="D125" t="str">
            <v>DJAB3NOUSD</v>
          </cell>
          <cell r="E125">
            <v>1</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-100.00000000000003</v>
          </cell>
          <cell r="AQ125">
            <v>0</v>
          </cell>
          <cell r="AR125">
            <v>0</v>
          </cell>
          <cell r="AS125">
            <v>0</v>
          </cell>
          <cell r="AT125">
            <v>0</v>
          </cell>
          <cell r="AU125">
            <v>0</v>
          </cell>
          <cell r="AV125">
            <v>0</v>
          </cell>
          <cell r="AW125">
            <v>0</v>
          </cell>
          <cell r="AX125">
            <v>0</v>
          </cell>
          <cell r="AY125">
            <v>0</v>
          </cell>
          <cell r="AZ125">
            <v>0</v>
          </cell>
          <cell r="BA125">
            <v>0</v>
          </cell>
          <cell r="BB125">
            <v>0</v>
          </cell>
          <cell r="BC125">
            <v>100.00000000000003</v>
          </cell>
        </row>
        <row r="126">
          <cell r="B126" t="str">
            <v>BRWFAGPV0</v>
          </cell>
          <cell r="C126" t="str">
            <v>MSCI EMU/FINANCIALS Index</v>
          </cell>
          <cell r="D126" t="str">
            <v>MS_EMU40</v>
          </cell>
          <cell r="E126">
            <v>1</v>
          </cell>
          <cell r="L126">
            <v>0</v>
          </cell>
          <cell r="M126">
            <v>0</v>
          </cell>
          <cell r="N126">
            <v>0</v>
          </cell>
          <cell r="O126">
            <v>0</v>
          </cell>
          <cell r="P126">
            <v>0</v>
          </cell>
          <cell r="Q126">
            <v>0</v>
          </cell>
          <cell r="R126">
            <v>0</v>
          </cell>
          <cell r="S126">
            <v>0</v>
          </cell>
          <cell r="T126">
            <v>0</v>
          </cell>
          <cell r="U126">
            <v>0</v>
          </cell>
          <cell r="V126">
            <v>0</v>
          </cell>
          <cell r="W126">
            <v>0</v>
          </cell>
          <cell r="X126">
            <v>0</v>
          </cell>
          <cell r="Y126">
            <v>96.732864954151481</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-100</v>
          </cell>
          <cell r="AQ126">
            <v>0</v>
          </cell>
          <cell r="AR126">
            <v>0</v>
          </cell>
          <cell r="AS126">
            <v>0</v>
          </cell>
          <cell r="AT126">
            <v>0</v>
          </cell>
          <cell r="AU126">
            <v>0</v>
          </cell>
          <cell r="AV126">
            <v>3.2671350458485131</v>
          </cell>
          <cell r="AW126">
            <v>0</v>
          </cell>
          <cell r="AX126">
            <v>0</v>
          </cell>
          <cell r="AY126">
            <v>0</v>
          </cell>
          <cell r="AZ126">
            <v>0</v>
          </cell>
          <cell r="BA126">
            <v>0</v>
          </cell>
          <cell r="BB126">
            <v>0</v>
          </cell>
          <cell r="BC126">
            <v>1.4036433190304557E-14</v>
          </cell>
        </row>
        <row r="127">
          <cell r="B127" t="str">
            <v>BRS32M524</v>
          </cell>
          <cell r="C127" t="str">
            <v>BBG Euro Government Inflation-Linked Bon</v>
          </cell>
          <cell r="D127" t="str">
            <v>BCLYEURLIL</v>
          </cell>
          <cell r="E127">
            <v>1</v>
          </cell>
          <cell r="L127">
            <v>0</v>
          </cell>
          <cell r="M127">
            <v>0</v>
          </cell>
          <cell r="N127">
            <v>0</v>
          </cell>
          <cell r="O127">
            <v>0</v>
          </cell>
          <cell r="P127">
            <v>0</v>
          </cell>
          <cell r="Q127">
            <v>0</v>
          </cell>
          <cell r="R127">
            <v>0</v>
          </cell>
          <cell r="S127">
            <v>0</v>
          </cell>
          <cell r="T127">
            <v>0</v>
          </cell>
          <cell r="U127">
            <v>0</v>
          </cell>
          <cell r="V127">
            <v>0</v>
          </cell>
          <cell r="W127">
            <v>0</v>
          </cell>
          <cell r="X127">
            <v>0</v>
          </cell>
          <cell r="Y127">
            <v>99.999999999999986</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-99.999999999999986</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row>
        <row r="128">
          <cell r="B128" t="str">
            <v>BRSMFB9T9</v>
          </cell>
          <cell r="C128" t="str">
            <v>BBG Euro Aggregate Treasury 10-15 Yr Ind</v>
          </cell>
          <cell r="D128" t="str">
            <v>B10436EUR</v>
          </cell>
          <cell r="E128">
            <v>1</v>
          </cell>
          <cell r="L128">
            <v>0</v>
          </cell>
          <cell r="M128">
            <v>0</v>
          </cell>
          <cell r="N128">
            <v>0</v>
          </cell>
          <cell r="O128">
            <v>0</v>
          </cell>
          <cell r="P128">
            <v>0</v>
          </cell>
          <cell r="Q128">
            <v>0</v>
          </cell>
          <cell r="R128">
            <v>0</v>
          </cell>
          <cell r="S128">
            <v>0</v>
          </cell>
          <cell r="T128">
            <v>0</v>
          </cell>
          <cell r="U128">
            <v>0</v>
          </cell>
          <cell r="V128">
            <v>0</v>
          </cell>
          <cell r="W128">
            <v>0</v>
          </cell>
          <cell r="X128">
            <v>0</v>
          </cell>
          <cell r="Y128">
            <v>100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-100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row>
        <row r="129">
          <cell r="B129" t="str">
            <v>BRS1PQBW1</v>
          </cell>
          <cell r="C129" t="str">
            <v>BBG Euro High Yield Index</v>
          </cell>
          <cell r="D129" t="str">
            <v>LEHEURHY</v>
          </cell>
          <cell r="E129">
            <v>1</v>
          </cell>
          <cell r="L129">
            <v>0</v>
          </cell>
          <cell r="M129">
            <v>0</v>
          </cell>
          <cell r="N129">
            <v>0</v>
          </cell>
          <cell r="O129">
            <v>0</v>
          </cell>
          <cell r="P129">
            <v>0</v>
          </cell>
          <cell r="Q129">
            <v>0</v>
          </cell>
          <cell r="R129">
            <v>0</v>
          </cell>
          <cell r="S129">
            <v>0</v>
          </cell>
          <cell r="T129">
            <v>0</v>
          </cell>
          <cell r="U129">
            <v>0</v>
          </cell>
          <cell r="V129">
            <v>0</v>
          </cell>
          <cell r="W129">
            <v>0</v>
          </cell>
          <cell r="X129">
            <v>0</v>
          </cell>
          <cell r="Y129">
            <v>100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-100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row>
        <row r="130">
          <cell r="B130" t="str">
            <v>BRSRHDSA2</v>
          </cell>
          <cell r="C130" t="str">
            <v>BBG Euro Agg corporate 1-10 years Index</v>
          </cell>
          <cell r="D130" t="str">
            <v>BEAC1-10</v>
          </cell>
          <cell r="E130">
            <v>1.0000000000000002</v>
          </cell>
          <cell r="L130">
            <v>0</v>
          </cell>
          <cell r="M130">
            <v>0</v>
          </cell>
          <cell r="N130">
            <v>0</v>
          </cell>
          <cell r="O130">
            <v>0</v>
          </cell>
          <cell r="P130">
            <v>0</v>
          </cell>
          <cell r="Q130">
            <v>0</v>
          </cell>
          <cell r="R130">
            <v>0</v>
          </cell>
          <cell r="S130">
            <v>0</v>
          </cell>
          <cell r="T130">
            <v>0</v>
          </cell>
          <cell r="U130">
            <v>0</v>
          </cell>
          <cell r="V130">
            <v>0</v>
          </cell>
          <cell r="W130">
            <v>0</v>
          </cell>
          <cell r="X130">
            <v>0</v>
          </cell>
          <cell r="Y130">
            <v>100.11422871823582</v>
          </cell>
          <cell r="Z130">
            <v>0</v>
          </cell>
          <cell r="AA130">
            <v>0</v>
          </cell>
          <cell r="AB130">
            <v>0</v>
          </cell>
          <cell r="AC130">
            <v>0</v>
          </cell>
          <cell r="AD130">
            <v>0</v>
          </cell>
          <cell r="AE130">
            <v>0</v>
          </cell>
          <cell r="AF130">
            <v>-0.11422871823582943</v>
          </cell>
          <cell r="AG130">
            <v>0</v>
          </cell>
          <cell r="AH130">
            <v>0</v>
          </cell>
          <cell r="AI130">
            <v>0</v>
          </cell>
          <cell r="AJ130">
            <v>0</v>
          </cell>
          <cell r="AK130">
            <v>0</v>
          </cell>
          <cell r="AL130">
            <v>0</v>
          </cell>
          <cell r="AM130">
            <v>0</v>
          </cell>
          <cell r="AN130">
            <v>0</v>
          </cell>
          <cell r="AO130">
            <v>0</v>
          </cell>
          <cell r="AP130">
            <v>-100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row>
        <row r="131">
          <cell r="B131" t="str">
            <v>BRS30Y5D6</v>
          </cell>
          <cell r="C131" t="str">
            <v>BBG Global Aggregate Euro Treasury Index</v>
          </cell>
          <cell r="D131" t="str">
            <v>LGA_TSYEUR</v>
          </cell>
          <cell r="E131">
            <v>1</v>
          </cell>
          <cell r="L131">
            <v>0</v>
          </cell>
          <cell r="M131">
            <v>0</v>
          </cell>
          <cell r="N131">
            <v>0</v>
          </cell>
          <cell r="O131">
            <v>0</v>
          </cell>
          <cell r="P131">
            <v>0</v>
          </cell>
          <cell r="Q131">
            <v>0</v>
          </cell>
          <cell r="R131">
            <v>0</v>
          </cell>
          <cell r="S131">
            <v>0</v>
          </cell>
          <cell r="T131">
            <v>0</v>
          </cell>
          <cell r="U131">
            <v>0</v>
          </cell>
          <cell r="V131">
            <v>0</v>
          </cell>
          <cell r="W131">
            <v>0</v>
          </cell>
          <cell r="X131">
            <v>0</v>
          </cell>
          <cell r="Y131">
            <v>100.00000000000003</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-100.00000000000003</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row>
        <row r="132">
          <cell r="B132" t="str">
            <v>BRS8KCBC6</v>
          </cell>
          <cell r="C132" t="str">
            <v>BBG Euro-Agg: Treasury 7-10 Index</v>
          </cell>
          <cell r="D132" t="str">
            <v>BEAGTS7-10</v>
          </cell>
          <cell r="E132">
            <v>0.99999999999999989</v>
          </cell>
          <cell r="L132">
            <v>0</v>
          </cell>
          <cell r="M132">
            <v>0</v>
          </cell>
          <cell r="N132">
            <v>0</v>
          </cell>
          <cell r="O132">
            <v>0</v>
          </cell>
          <cell r="P132">
            <v>0</v>
          </cell>
          <cell r="Q132">
            <v>0</v>
          </cell>
          <cell r="R132">
            <v>0</v>
          </cell>
          <cell r="S132">
            <v>0</v>
          </cell>
          <cell r="T132">
            <v>0</v>
          </cell>
          <cell r="U132">
            <v>0</v>
          </cell>
          <cell r="V132">
            <v>0</v>
          </cell>
          <cell r="W132">
            <v>0</v>
          </cell>
          <cell r="X132">
            <v>0</v>
          </cell>
          <cell r="Y132">
            <v>100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-100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row>
        <row r="133">
          <cell r="B133" t="str">
            <v>BRSE58DH6</v>
          </cell>
          <cell r="C133" t="str">
            <v>BBG Euro Government Inflation-Linked 1-1</v>
          </cell>
          <cell r="D133" t="str">
            <v>BCEUHY1-10</v>
          </cell>
          <cell r="E133">
            <v>1</v>
          </cell>
          <cell r="L133">
            <v>0</v>
          </cell>
          <cell r="M133">
            <v>0</v>
          </cell>
          <cell r="N133">
            <v>0</v>
          </cell>
          <cell r="O133">
            <v>0</v>
          </cell>
          <cell r="P133">
            <v>0</v>
          </cell>
          <cell r="Q133">
            <v>0</v>
          </cell>
          <cell r="R133">
            <v>0</v>
          </cell>
          <cell r="S133">
            <v>0</v>
          </cell>
          <cell r="T133">
            <v>0</v>
          </cell>
          <cell r="U133">
            <v>0</v>
          </cell>
          <cell r="V133">
            <v>0</v>
          </cell>
          <cell r="W133">
            <v>0</v>
          </cell>
          <cell r="X133">
            <v>0</v>
          </cell>
          <cell r="Y133">
            <v>100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-100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row>
        <row r="134">
          <cell r="B134" t="str">
            <v>BRS8FDB71</v>
          </cell>
          <cell r="C134" t="str">
            <v>BBG Euro Agg Treasury 5-7 Yr Index</v>
          </cell>
          <cell r="D134" t="str">
            <v>BEURTY5-7</v>
          </cell>
          <cell r="E134">
            <v>1</v>
          </cell>
          <cell r="L134">
            <v>0</v>
          </cell>
          <cell r="M134">
            <v>0</v>
          </cell>
          <cell r="N134">
            <v>0</v>
          </cell>
          <cell r="O134">
            <v>0</v>
          </cell>
          <cell r="P134">
            <v>0</v>
          </cell>
          <cell r="Q134">
            <v>0</v>
          </cell>
          <cell r="R134">
            <v>0</v>
          </cell>
          <cell r="S134">
            <v>0</v>
          </cell>
          <cell r="T134">
            <v>0</v>
          </cell>
          <cell r="U134">
            <v>0</v>
          </cell>
          <cell r="V134">
            <v>0</v>
          </cell>
          <cell r="W134">
            <v>0</v>
          </cell>
          <cell r="X134">
            <v>0</v>
          </cell>
          <cell r="Y134">
            <v>100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-100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row>
        <row r="135">
          <cell r="B135" t="str">
            <v>BRTDPY7D4</v>
          </cell>
          <cell r="C135" t="str">
            <v>BBG Euro Treasury 1-15 Year Index</v>
          </cell>
          <cell r="D135" t="str">
            <v>B20717EUR</v>
          </cell>
          <cell r="E135">
            <v>1</v>
          </cell>
          <cell r="L135">
            <v>0</v>
          </cell>
          <cell r="M135">
            <v>0</v>
          </cell>
          <cell r="N135">
            <v>0</v>
          </cell>
          <cell r="O135">
            <v>0</v>
          </cell>
          <cell r="P135">
            <v>0</v>
          </cell>
          <cell r="Q135">
            <v>0</v>
          </cell>
          <cell r="R135">
            <v>0</v>
          </cell>
          <cell r="S135">
            <v>0</v>
          </cell>
          <cell r="T135">
            <v>0</v>
          </cell>
          <cell r="U135">
            <v>0</v>
          </cell>
          <cell r="V135">
            <v>0</v>
          </cell>
          <cell r="W135">
            <v>0</v>
          </cell>
          <cell r="X135">
            <v>0</v>
          </cell>
          <cell r="Y135">
            <v>100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-100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row>
        <row r="136">
          <cell r="B136" t="str">
            <v>BRSAMQMK8</v>
          </cell>
          <cell r="C136" t="str">
            <v>CHF Cash Benchmark</v>
          </cell>
          <cell r="D136" t="str">
            <v>CHFCASHBMK</v>
          </cell>
          <cell r="E136">
            <v>1</v>
          </cell>
          <cell r="L136">
            <v>0</v>
          </cell>
          <cell r="M136">
            <v>0</v>
          </cell>
          <cell r="N136">
            <v>0</v>
          </cell>
          <cell r="O136">
            <v>0</v>
          </cell>
          <cell r="P136">
            <v>100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-100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row>
        <row r="137">
          <cell r="B137" t="str">
            <v>BRS716RG6</v>
          </cell>
          <cell r="C137" t="str">
            <v>BBG Euro Agg Government 1-5 year Index</v>
          </cell>
          <cell r="D137" t="str">
            <v>LEURTY1-5</v>
          </cell>
          <cell r="E137">
            <v>1</v>
          </cell>
          <cell r="L137">
            <v>0</v>
          </cell>
          <cell r="M137">
            <v>0</v>
          </cell>
          <cell r="N137">
            <v>0</v>
          </cell>
          <cell r="O137">
            <v>0</v>
          </cell>
          <cell r="P137">
            <v>0</v>
          </cell>
          <cell r="Q137">
            <v>0</v>
          </cell>
          <cell r="R137">
            <v>0</v>
          </cell>
          <cell r="S137">
            <v>0</v>
          </cell>
          <cell r="T137">
            <v>0</v>
          </cell>
          <cell r="U137">
            <v>-1.8160877819042156E-2</v>
          </cell>
          <cell r="V137">
            <v>0</v>
          </cell>
          <cell r="W137">
            <v>0</v>
          </cell>
          <cell r="X137">
            <v>0</v>
          </cell>
          <cell r="Y137">
            <v>100.01816087781904</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-100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row>
        <row r="138">
          <cell r="B138" t="str">
            <v>BRWFAGPZ1</v>
          </cell>
          <cell r="C138" t="str">
            <v>MSCI EMU/REAL ESTATE Index (FX only)</v>
          </cell>
          <cell r="D138" t="str">
            <v>MS_EMURES</v>
          </cell>
          <cell r="E138">
            <v>1.0000000000000004</v>
          </cell>
          <cell r="L138">
            <v>0</v>
          </cell>
          <cell r="M138">
            <v>0</v>
          </cell>
          <cell r="N138">
            <v>0</v>
          </cell>
          <cell r="O138">
            <v>0</v>
          </cell>
          <cell r="P138">
            <v>0</v>
          </cell>
          <cell r="Q138">
            <v>0</v>
          </cell>
          <cell r="R138">
            <v>0</v>
          </cell>
          <cell r="S138">
            <v>0</v>
          </cell>
          <cell r="T138">
            <v>0</v>
          </cell>
          <cell r="U138">
            <v>0</v>
          </cell>
          <cell r="V138">
            <v>0</v>
          </cell>
          <cell r="W138">
            <v>0</v>
          </cell>
          <cell r="X138">
            <v>0</v>
          </cell>
          <cell r="Y138">
            <v>100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-100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row>
        <row r="139">
          <cell r="B139" t="str">
            <v>BRSALQVX1</v>
          </cell>
          <cell r="C139" t="str">
            <v>EURO Cash Benchmark</v>
          </cell>
          <cell r="D139" t="str">
            <v>EURCASHBMK</v>
          </cell>
          <cell r="E139">
            <v>1</v>
          </cell>
          <cell r="L139">
            <v>0</v>
          </cell>
          <cell r="M139">
            <v>0</v>
          </cell>
          <cell r="N139">
            <v>0</v>
          </cell>
          <cell r="O139">
            <v>0</v>
          </cell>
          <cell r="P139">
            <v>0</v>
          </cell>
          <cell r="Q139">
            <v>0</v>
          </cell>
          <cell r="R139">
            <v>0</v>
          </cell>
          <cell r="S139">
            <v>0</v>
          </cell>
          <cell r="T139">
            <v>0</v>
          </cell>
          <cell r="U139">
            <v>0</v>
          </cell>
          <cell r="V139">
            <v>0</v>
          </cell>
          <cell r="W139">
            <v>0</v>
          </cell>
          <cell r="X139">
            <v>0</v>
          </cell>
          <cell r="Y139">
            <v>100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-100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row>
        <row r="140">
          <cell r="B140" t="str">
            <v>.CMAHFDH</v>
          </cell>
          <cell r="C140" t="str">
            <v xml:space="preserve">AGGREGATE PORTFOLIO FOR THE GN ACCOUNTS </v>
          </cell>
          <cell r="D140" t="str">
            <v xml:space="preserve">GN-AGG    </v>
          </cell>
          <cell r="E140">
            <v>1.0000000000000002</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row>
      </sheetData>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SUMM"/>
      <sheetName val="NAMES"/>
    </sheetNames>
    <sheetDataSet>
      <sheetData sheetId="0" refreshError="1">
        <row r="29">
          <cell r="B29">
            <v>365</v>
          </cell>
        </row>
      </sheetData>
      <sheetData sheetId="1">
        <row r="22">
          <cell r="D22" t="str">
            <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CustomG_US"/>
      <sheetName val="CustomG_EU"/>
      <sheetName val="CustomG_Small_cap"/>
      <sheetName val="CustomG_CHN_USD"/>
      <sheetName val="CustomG_CHN_A"/>
      <sheetName val="CustomG_JPN"/>
      <sheetName val="CustomG_EM"/>
      <sheetName val="CustomG_AUS"/>
      <sheetName val="CustomG_UK"/>
      <sheetName val="TopDown_data_US"/>
      <sheetName val="TopDown_data_JPN"/>
      <sheetName val="topdown_data_UK"/>
      <sheetName val="TopDown_data_CHN_USD"/>
      <sheetName val="TopDown_data_EM"/>
      <sheetName val="TopDown_data_EU"/>
      <sheetName val="TopDown_data_AUS"/>
      <sheetName val="TopDown_data_CHN_A"/>
      <sheetName val="TopDown_data_Small_cap"/>
      <sheetName val="Scenario results"/>
      <sheetName val="ASRs"/>
      <sheetName val="BBG prices"/>
      <sheetName val="FE0"/>
      <sheetName val="Sheet1"/>
      <sheetName val="Sheet2"/>
    </sheetNames>
    <sheetDataSet>
      <sheetData sheetId="0"/>
      <sheetData sheetId="1">
        <row r="12">
          <cell r="C12">
            <v>4517.1109999999999</v>
          </cell>
        </row>
        <row r="14">
          <cell r="C14">
            <v>5.5E-2</v>
          </cell>
        </row>
        <row r="18">
          <cell r="C18">
            <v>6.4683596578557503E-2</v>
          </cell>
        </row>
        <row r="59">
          <cell r="F59">
            <v>5.9330705962510111E-2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ntrol"/>
      <sheetName val="IS"/>
      <sheetName val="BS"/>
      <sheetName val="CF"/>
      <sheetName val="Key Ratios"/>
      <sheetName val="Valuation"/>
      <sheetName val="Charts"/>
      <sheetName val="PER Relative"/>
      <sheetName val="PER Band"/>
      <sheetName val="EV-EBIT Data"/>
      <sheetName val="EV-EBIT Band"/>
      <sheetName val="P&amp;L"/>
      <sheetName val="Balance Sheet"/>
      <sheetName val="Cash Flow"/>
      <sheetName val="DCF"/>
      <sheetName val="Associates"/>
      <sheetName val="Interim"/>
      <sheetName val="Fixed Assets"/>
      <sheetName val="Risk Free Rates"/>
      <sheetName val="Module_Main"/>
      <sheetName val="VALUE TABLE"/>
      <sheetName val="Breakdown"/>
      <sheetName val="Hysan"/>
      <sheetName val="PE by Fuel &amp; IPCC 2050-Format"/>
    </sheetNames>
    <sheetDataSet>
      <sheetData sheetId="0"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37.0.602255966</v>
          </cell>
        </row>
        <row r="18">
          <cell r="D18" t="str">
            <v>E:\GLOSS\FRANK\1070.XLS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1</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Regular table for inputs"/>
      <sheetName val="Topdown_data_US"/>
      <sheetName val="Topdown_data_JP"/>
      <sheetName val="Topdown_data_EU"/>
      <sheetName val="Topdown_data_EM"/>
      <sheetName val="Topdown_data_UK"/>
      <sheetName val="Topdown_data_CHN_USD"/>
      <sheetName val="Topdown_data_CHN_A"/>
      <sheetName val="CustomG_US"/>
      <sheetName val="CustomG_JP"/>
      <sheetName val="CustomG_EU"/>
      <sheetName val="CustomG_EM"/>
      <sheetName val="CustomG_UK"/>
      <sheetName val="CustomG_CHN_A"/>
      <sheetName val="CustomG_CHN_USD"/>
      <sheetName val="CustomG_Energy"/>
      <sheetName val="CustomG_Materials"/>
      <sheetName val="CustomG_Industrials"/>
      <sheetName val="CustomG_ConsDisc"/>
      <sheetName val="CustomG_ConsStaples"/>
      <sheetName val="CustomG_Healthcare"/>
      <sheetName val="CustomG_Financials"/>
      <sheetName val="CustomG_IT"/>
      <sheetName val="CustomG_Comms"/>
      <sheetName val="CustomG_Utilities"/>
      <sheetName val="Scenario results"/>
      <sheetName val="ASRs"/>
      <sheetName val="BBG prices"/>
      <sheetName val="Topdown_data_Energy"/>
      <sheetName val="Topdown_data_Materials"/>
      <sheetName val="Topdown_data_Industrials"/>
      <sheetName val="Topdown_data_ConsDisc"/>
      <sheetName val="Topdown_data_ConsStaples"/>
      <sheetName val="Topdown_data_Healthcare"/>
      <sheetName val="Topdown_data_Financials"/>
      <sheetName val="Topdown_data_IT"/>
      <sheetName val="Topdown_data_Comms"/>
      <sheetName val="Topdown_data_Utilities"/>
      <sheetName val="FE0"/>
    </sheetNames>
    <sheetDataSet>
      <sheetData sheetId="0" refreshError="1"/>
      <sheetData sheetId="1" refreshError="1">
        <row r="12">
          <cell r="C12">
            <v>1276.78</v>
          </cell>
        </row>
        <row r="50">
          <cell r="F50">
            <v>7.0173682151927402E-2</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trade_genhol"/>
      <sheetName val="trade_mom"/>
      <sheetName val="CPI_genhol"/>
      <sheetName val="CPI"/>
      <sheetName val="trade"/>
      <sheetName val="GDP"/>
      <sheetName val="GDP table"/>
      <sheetName val="mineral_ore"/>
      <sheetName val="ceic"/>
    </sheetNames>
    <sheetDataSet>
      <sheetData sheetId="0" refreshError="1"/>
      <sheetData sheetId="1"/>
      <sheetData sheetId="2"/>
      <sheetData sheetId="3"/>
      <sheetData sheetId="4"/>
      <sheetData sheetId="5"/>
      <sheetData sheetId="6"/>
      <sheetData sheetId="7"/>
      <sheetData sheetId="8">
        <row r="4">
          <cell r="H4">
            <v>38383</v>
          </cell>
        </row>
      </sheetData>
      <sheetData sheetId="9">
        <row r="5">
          <cell r="A5">
            <v>40909</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5 energy performance"/>
      <sheetName val="Repricing"/>
      <sheetName val="Sector_data"/>
      <sheetName val="Energy demand"/>
      <sheetName val="Capex"/>
    </sheetNames>
    <sheetDataSet>
      <sheetData sheetId="0">
        <row r="7">
          <cell r="B7" t="e">
            <v>#NAME?</v>
          </cell>
        </row>
      </sheetData>
      <sheetData sheetId="1"/>
      <sheetData sheetId="2"/>
      <sheetData sheetId="3"/>
      <sheetData sheetId="4">
        <row r="22">
          <cell r="D22" t="str">
            <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ce move from peak"/>
      <sheetName val="6m returns 2000"/>
      <sheetName val="6m returns 2007"/>
      <sheetName val="1976-90"/>
      <sheetName val="Bear markets"/>
      <sheetName val="Bear markets (2)"/>
      <sheetName val="Bear markets MD"/>
      <sheetName val="equities bonds"/>
      <sheetName val="Indices"/>
      <sheetName val="Inflation"/>
      <sheetName val="Inflation_yoy"/>
      <sheetName val="yield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I2">
            <v>1981</v>
          </cell>
        </row>
      </sheetData>
      <sheetData sheetId="8">
        <row r="5">
          <cell r="U5">
            <v>1973</v>
          </cell>
        </row>
      </sheetData>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 US Treasuries"/>
      <sheetName val="CMAs"/>
      <sheetName val="Front end repricing"/>
      <sheetName val="Core PCE YoY"/>
      <sheetName val="Inflation"/>
      <sheetName val="US Policy rate path"/>
      <sheetName val="Europe policy rate path"/>
      <sheetName val="USD YC"/>
      <sheetName val="EUR YC"/>
      <sheetName val="EPS"/>
      <sheetName val="Data chart ERP China US"/>
      <sheetName val="China shock 2"/>
      <sheetName val="Appendix tables"/>
      <sheetName val="Sheet3"/>
    </sheetNames>
    <sheetDataSet>
      <sheetData sheetId="0" refreshError="1">
        <row r="6">
          <cell r="B6" t="str">
            <v>Name</v>
          </cell>
        </row>
      </sheetData>
      <sheetData sheetId="1"/>
      <sheetData sheetId="2" refreshError="1">
        <row r="2">
          <cell r="E2">
            <v>0</v>
          </cell>
        </row>
      </sheetData>
      <sheetData sheetId="3" refreshError="1">
        <row r="1">
          <cell r="A1">
            <v>0</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Sheet1"/>
      <sheetName val="Chart - Trailing Earnings"/>
      <sheetName val="Forward Earnings"/>
      <sheetName val="China Bond Charts"/>
      <sheetName val="Alternate EM Spread Chart"/>
      <sheetName val="EM CB Policy ve Market Pricing"/>
      <sheetName val="FI"/>
      <sheetName val="FI (2)"/>
    </sheetNames>
    <sheetDataSet>
      <sheetData sheetId="0"/>
      <sheetData sheetId="1"/>
      <sheetData sheetId="2"/>
      <sheetData sheetId="3"/>
      <sheetData sheetId="4"/>
      <sheetData sheetId="5" refreshError="1">
        <row r="1">
          <cell r="A1" t="str">
            <v>Manual Calculation</v>
          </cell>
        </row>
      </sheetData>
      <sheetData sheetId="6"/>
      <sheetData sheetId="7"/>
      <sheetData sheetId="8"/>
      <sheetData sheetId="9"/>
      <sheetData sheetId="1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equity bond scatter"/>
      <sheetName val="3 Timeline"/>
      <sheetName val="4 regime change"/>
      <sheetName val="5 reallocation"/>
      <sheetName val="7 Labor"/>
      <sheetName val="7 Bev curve"/>
      <sheetName val="8 Production constraints"/>
      <sheetName val="8 Labor shifts"/>
      <sheetName val="11 GDP vol"/>
      <sheetName val="11 S&amp;P 500 vol"/>
      <sheetName val="13 pricier debt"/>
      <sheetName val="14 Corp leverage"/>
      <sheetName val="15 Capex"/>
      <sheetName val="16 Climate repricing"/>
      <sheetName val="18 earnings"/>
      <sheetName val="18 S&amp;P 2Yr"/>
      <sheetName val="19 4% yields"/>
      <sheetName val="20 DM central banks"/>
      <sheetName val="21 yield breakdown"/>
      <sheetName val="21 equity bond"/>
      <sheetName val="22 Breakevens"/>
      <sheetName val="22 Energy burden"/>
      <sheetName val="23 EM perf"/>
      <sheetName val="23 EM vs US repricing"/>
      <sheetName val="27 private markets"/>
    </sheetNames>
    <sheetDataSet>
      <sheetData sheetId="0">
        <row r="5">
          <cell r="N5" t="str">
            <v>Type</v>
          </cell>
          <cell r="Q5" t="str">
            <v>Type</v>
          </cell>
        </row>
        <row r="7">
          <cell r="B7" t="str">
            <v>Name</v>
          </cell>
          <cell r="G7" t="str">
            <v>Name</v>
          </cell>
        </row>
      </sheetData>
      <sheetData sheetId="1">
        <row r="4">
          <cell r="D4" t="str">
            <v>Name</v>
          </cell>
        </row>
      </sheetData>
      <sheetData sheetId="2">
        <row r="6">
          <cell r="C6">
            <v>23924</v>
          </cell>
        </row>
      </sheetData>
      <sheetData sheetId="3">
        <row r="3">
          <cell r="R3" t="str">
            <v>Name</v>
          </cell>
        </row>
      </sheetData>
      <sheetData sheetId="4">
        <row r="1">
          <cell r="B1" t="str">
            <v>1953</v>
          </cell>
        </row>
      </sheetData>
      <sheetData sheetId="5">
        <row r="9">
          <cell r="B9" t="str">
            <v>Name</v>
          </cell>
        </row>
      </sheetData>
      <sheetData sheetId="6">
        <row r="1">
          <cell r="J1" t="str">
            <v>1870-1914</v>
          </cell>
        </row>
      </sheetData>
      <sheetData sheetId="7"/>
      <sheetData sheetId="8"/>
      <sheetData sheetId="9"/>
      <sheetData sheetId="10"/>
      <sheetData sheetId="11"/>
      <sheetData sheetId="12"/>
      <sheetData sheetId="13"/>
      <sheetData sheetId="14">
        <row r="6">
          <cell r="A6" t="str">
            <v>Name</v>
          </cell>
        </row>
      </sheetData>
      <sheetData sheetId="15">
        <row r="10">
          <cell r="B10" t="str">
            <v>Name</v>
          </cell>
        </row>
      </sheetData>
      <sheetData sheetId="16"/>
      <sheetData sheetId="17">
        <row r="10">
          <cell r="S10" t="str">
            <v>Name</v>
          </cell>
        </row>
      </sheetData>
      <sheetData sheetId="18">
        <row r="5">
          <cell r="C5" t="str">
            <v>Name</v>
          </cell>
          <cell r="J5" t="str">
            <v>Name</v>
          </cell>
        </row>
      </sheetData>
      <sheetData sheetId="19"/>
      <sheetData sheetId="20">
        <row r="8">
          <cell r="E8" t="str">
            <v>Name</v>
          </cell>
        </row>
      </sheetData>
      <sheetData sheetId="21">
        <row r="5">
          <cell r="D5" t="str">
            <v>U.S.</v>
          </cell>
        </row>
      </sheetData>
      <sheetData sheetId="22">
        <row r="8">
          <cell r="C8" t="str">
            <v>Name</v>
          </cell>
        </row>
      </sheetData>
      <sheetData sheetId="23"/>
      <sheetData sheetId="2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rate path"/>
      <sheetName val="GDP paths"/>
      <sheetName val="Inflation"/>
      <sheetName val="New Nominal- left"/>
      <sheetName val="New Nominal-right"/>
      <sheetName val="Employment"/>
      <sheetName val="ECB"/>
      <sheetName val="China"/>
      <sheetName val="Real yield"/>
      <sheetName val="Rate hike pricing"/>
      <sheetName val="China tactical"/>
      <sheetName val="EMD"/>
      <sheetName val="Equities - earnings"/>
      <sheetName val="Equities - vaccination"/>
      <sheetName val="Yield breakdown"/>
      <sheetName val="US yield curve"/>
      <sheetName val="Europe yield curve"/>
      <sheetName val="SAA - ERP vs spreads"/>
      <sheetName val="CGBs strategic case"/>
      <sheetName val="climate repricing (2)"/>
      <sheetName val="SAA views (Q2 vs Q1)"/>
    </sheetNames>
    <sheetDataSet>
      <sheetData sheetId="0">
        <row r="4">
          <cell r="B4" t="str">
            <v>Name</v>
          </cell>
        </row>
      </sheetData>
      <sheetData sheetId="1">
        <row r="5">
          <cell r="A5">
            <v>43831</v>
          </cell>
        </row>
      </sheetData>
      <sheetData sheetId="2"/>
      <sheetData sheetId="3"/>
      <sheetData sheetId="4"/>
      <sheetData sheetId="5"/>
      <sheetData sheetId="6"/>
      <sheetData sheetId="7"/>
      <sheetData sheetId="8"/>
      <sheetData sheetId="9"/>
      <sheetData sheetId="10"/>
      <sheetData sheetId="11"/>
      <sheetData sheetId="12">
        <row r="1">
          <cell r="A1" t="str">
            <v>Name</v>
          </cell>
        </row>
      </sheetData>
      <sheetData sheetId="13"/>
      <sheetData sheetId="14">
        <row r="4">
          <cell r="B4" t="str">
            <v>Name</v>
          </cell>
        </row>
      </sheetData>
      <sheetData sheetId="15"/>
      <sheetData sheetId="16"/>
      <sheetData sheetId="17">
        <row r="6">
          <cell r="C6" t="str">
            <v>U.S.</v>
          </cell>
        </row>
      </sheetData>
      <sheetData sheetId="18"/>
      <sheetData sheetId="19"/>
      <sheetData sheetId="2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Chart - Trailing Earnings"/>
      <sheetName val="Forward Earnings"/>
      <sheetName val="Chart - MSCI ACWI &amp; Level"/>
      <sheetName val="FI"/>
      <sheetName val="FI (2)"/>
    </sheetNames>
    <sheetDataSet>
      <sheetData sheetId="0"/>
      <sheetData sheetId="1"/>
      <sheetData sheetId="2"/>
      <sheetData sheetId="3" refreshError="1">
        <row r="1">
          <cell r="A1" t="str">
            <v>Name</v>
          </cell>
        </row>
      </sheetData>
      <sheetData sheetId="4" refreshError="1">
        <row r="1">
          <cell r="A1" t="str">
            <v>Name</v>
          </cell>
        </row>
      </sheetData>
      <sheetData sheetId="5">
        <row r="1">
          <cell r="G1" t="str">
            <v>TREND EPS</v>
          </cell>
        </row>
      </sheetData>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sheetName val="5Y5Y"/>
      <sheetName val="Yields"/>
      <sheetName val="5y5y inflation vs EUR 10y"/>
    </sheetNames>
    <sheetDataSet>
      <sheetData sheetId="0"/>
      <sheetData sheetId="1"/>
      <sheetData sheetId="2"/>
      <sheetData sheetId="3">
        <row r="7">
          <cell r="X7" t="str">
            <v>EUR 5y5y inflation</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 inflation bands"/>
      <sheetName val="P6 China exports IP"/>
      <sheetName val="P6 China investment"/>
      <sheetName val="P7 commodities"/>
      <sheetName val="P8 Infrastructure"/>
      <sheetName val="P9 Margins"/>
      <sheetName val="P10 FF Geopolitics"/>
      <sheetName val="P11 Equity risk premium"/>
      <sheetName val="P12 Green transition"/>
      <sheetName val="P13 Cyclicals"/>
    </sheetNames>
    <sheetDataSet>
      <sheetData sheetId="0" refreshError="1"/>
      <sheetData sheetId="1" refreshError="1"/>
      <sheetData sheetId="2" refreshError="1"/>
      <sheetData sheetId="3" refreshError="1">
        <row r="15">
          <cell r="B15" t="str">
            <v>Name</v>
          </cell>
        </row>
      </sheetData>
      <sheetData sheetId="4"/>
      <sheetData sheetId="5" refreshError="1">
        <row r="2">
          <cell r="I2" t="str">
            <v>Name</v>
          </cell>
        </row>
        <row r="9">
          <cell r="B9" t="str">
            <v>Name</v>
          </cell>
        </row>
      </sheetData>
      <sheetData sheetId="6" refreshError="1">
        <row r="8">
          <cell r="A8" t="str">
            <v>Name</v>
          </cell>
        </row>
      </sheetData>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Equity Bond returns"/>
      <sheetName val="P5 Living with inflation"/>
      <sheetName val="P6 Cutting through confusion"/>
      <sheetName val="Good services"/>
      <sheetName val="P7 Mismatched resources"/>
      <sheetName val="P8 Commodity prices"/>
      <sheetName val="P9 FF Geopolitics"/>
      <sheetName val="P10 FF China"/>
      <sheetName val="P12 Yield curves"/>
    </sheetNames>
    <sheetDataSet>
      <sheetData sheetId="0">
        <row r="5">
          <cell r="N5" t="str">
            <v>Type</v>
          </cell>
          <cell r="Q5" t="str">
            <v>Type</v>
          </cell>
        </row>
        <row r="7">
          <cell r="B7" t="str">
            <v>Name</v>
          </cell>
          <cell r="G7" t="str">
            <v>Name</v>
          </cell>
        </row>
      </sheetData>
      <sheetData sheetId="1">
        <row r="2">
          <cell r="S2" t="str">
            <v>Name</v>
          </cell>
        </row>
      </sheetData>
      <sheetData sheetId="2"/>
      <sheetData sheetId="3">
        <row r="6">
          <cell r="B6" t="str">
            <v>Name</v>
          </cell>
        </row>
      </sheetData>
      <sheetData sheetId="4"/>
      <sheetData sheetId="5">
        <row r="4">
          <cell r="AG4" t="str">
            <v>Type</v>
          </cell>
          <cell r="AJ4" t="str">
            <v>X</v>
          </cell>
          <cell r="AK4" t="str">
            <v>X</v>
          </cell>
        </row>
        <row r="5">
          <cell r="B5" t="str">
            <v>Name</v>
          </cell>
          <cell r="S5" t="str">
            <v>Name</v>
          </cell>
        </row>
      </sheetData>
      <sheetData sheetId="6">
        <row r="8">
          <cell r="A8" t="str">
            <v>Name</v>
          </cell>
        </row>
      </sheetData>
      <sheetData sheetId="7">
        <row r="4">
          <cell r="B4" t="str">
            <v>China</v>
          </cell>
        </row>
      </sheetData>
      <sheetData sheetId="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equity bond scatter"/>
      <sheetName val=" 6 7 GDP paths"/>
      <sheetName val="8 China Inflation"/>
      <sheetName val="8 China GDP"/>
      <sheetName val="9 Supply chain"/>
      <sheetName val="10 US PCE"/>
      <sheetName val="11 US inflation decomp"/>
      <sheetName val="11 EA inflation decomp"/>
      <sheetName val="12 new nominal"/>
      <sheetName val="13 Labor market"/>
      <sheetName val="14 U.S. LFPR"/>
      <sheetName val="14 US unemployment"/>
      <sheetName val="16 energy prices"/>
      <sheetName val="18 net-zero China impact"/>
      <sheetName val="19 RealYields"/>
      <sheetName val="19 earnings"/>
      <sheetName val="20 earnings growth"/>
      <sheetName val="20 ERP"/>
      <sheetName val="21 China TSF"/>
      <sheetName val="21 China ERP"/>
      <sheetName val="22 5y5y inflation vs  10y"/>
      <sheetName val="23 5y5y Inflation"/>
      <sheetName val="SAA - ERP vs spreads"/>
    </sheetNames>
    <sheetDataSet>
      <sheetData sheetId="0">
        <row r="5">
          <cell r="N5" t="str">
            <v>Type</v>
          </cell>
        </row>
      </sheetData>
      <sheetData sheetId="1"/>
      <sheetData sheetId="2"/>
      <sheetData sheetId="3"/>
      <sheetData sheetId="4"/>
      <sheetData sheetId="5">
        <row r="2">
          <cell r="A2" t="str">
            <v>Name</v>
          </cell>
        </row>
      </sheetData>
      <sheetData sheetId="6"/>
      <sheetData sheetId="7"/>
      <sheetData sheetId="8"/>
      <sheetData sheetId="9">
        <row r="6">
          <cell r="A6" t="str">
            <v>Name</v>
          </cell>
        </row>
      </sheetData>
      <sheetData sheetId="10">
        <row r="2">
          <cell r="B2" t="str">
            <v>Name</v>
          </cell>
        </row>
      </sheetData>
      <sheetData sheetId="11">
        <row r="6">
          <cell r="A6" t="str">
            <v>Name</v>
          </cell>
        </row>
      </sheetData>
      <sheetData sheetId="12">
        <row r="4">
          <cell r="F4" t="str">
            <v>EU carbon (ETS)</v>
          </cell>
        </row>
      </sheetData>
      <sheetData sheetId="13"/>
      <sheetData sheetId="14">
        <row r="3">
          <cell r="V3" t="str">
            <v>Name</v>
          </cell>
        </row>
      </sheetData>
      <sheetData sheetId="15">
        <row r="1">
          <cell r="A1" t="str">
            <v>Name</v>
          </cell>
          <cell r="N1" t="str">
            <v>Name</v>
          </cell>
          <cell r="T1" t="str">
            <v>Name</v>
          </cell>
        </row>
      </sheetData>
      <sheetData sheetId="16">
        <row r="1">
          <cell r="R1" t="str">
            <v>Name</v>
          </cell>
        </row>
        <row r="124">
          <cell r="C124" t="str">
            <v>Name</v>
          </cell>
        </row>
      </sheetData>
      <sheetData sheetId="17"/>
      <sheetData sheetId="18"/>
      <sheetData sheetId="19"/>
      <sheetData sheetId="20">
        <row r="6">
          <cell r="BA6" t="str">
            <v>Name</v>
          </cell>
          <cell r="BF6" t="str">
            <v>Name</v>
          </cell>
        </row>
      </sheetData>
      <sheetData sheetId="21">
        <row r="6">
          <cell r="A6" t="str">
            <v>Name</v>
          </cell>
        </row>
      </sheetData>
      <sheetData sheetId="2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gt;"/>
      <sheetName val="Inflation Expectations"/>
      <sheetName val="Activity GDP levels hardcoded"/>
      <sheetName val="China GDP and projection"/>
      <sheetName val="ECB asset purchases"/>
      <sheetName val="Inflation and forecasts"/>
      <sheetName val="US prices"/>
      <sheetName val="US rate paths (3)"/>
      <sheetName val="US rate paths (2)"/>
      <sheetName val="US rate paths"/>
      <sheetName val="US rate path expectations"/>
      <sheetName val="Europe rate path expectations"/>
      <sheetName val="US NFP and participation"/>
      <sheetName val="US labor shortfall"/>
      <sheetName val="US LFPR"/>
      <sheetName val="EUR employment data updated"/>
      <sheetName val="CN fisc and credit impulse"/>
      <sheetName val="China govt spending"/>
      <sheetName val="Sheet2"/>
      <sheetName val="EM vs DM vaccination"/>
      <sheetName val="TAA --&gt;"/>
      <sheetName val="Growth vs real rates"/>
      <sheetName val="Vaccination"/>
      <sheetName val="OLD - ERR DS"/>
      <sheetName val="NEW-ERRs (DS)"/>
      <sheetName val="Not taper tantrum"/>
      <sheetName val="no taper tantrum"/>
      <sheetName val="Real yield"/>
      <sheetName val="GBI-EM FX"/>
      <sheetName val="EMD"/>
      <sheetName val="Yield breakdown"/>
      <sheetName val="German yield breakdown"/>
      <sheetName val="China - great struggle"/>
      <sheetName val="Topdown_data_EM"/>
      <sheetName val="Virus - cases and deaths"/>
      <sheetName val="SAA --&gt;"/>
      <sheetName val="US yield curve"/>
      <sheetName val="Europe yield curve"/>
      <sheetName val="SAA - ERP vs spreads"/>
      <sheetName val="Sector earnings"/>
      <sheetName val="CGBs strategic case"/>
      <sheetName val="climate repricing"/>
      <sheetName val="SAA views (granularity)"/>
      <sheetName val="SAA views (Q2 vs Q1)"/>
      <sheetName val="Japan ERRs"/>
      <sheetName val="Japan - ERR DS"/>
    </sheetNames>
    <sheetDataSet>
      <sheetData sheetId="0"/>
      <sheetData sheetId="1"/>
      <sheetData sheetId="2"/>
      <sheetData sheetId="3"/>
      <sheetData sheetId="4"/>
      <sheetData sheetId="5"/>
      <sheetData sheetId="6">
        <row r="92">
          <cell r="A92">
            <v>39083</v>
          </cell>
        </row>
      </sheetData>
      <sheetData sheetId="7">
        <row r="5">
          <cell r="C5" t="str">
            <v>Name</v>
          </cell>
        </row>
      </sheetData>
      <sheetData sheetId="8">
        <row r="5">
          <cell r="C5" t="str">
            <v>Name</v>
          </cell>
        </row>
      </sheetData>
      <sheetData sheetId="9">
        <row r="5">
          <cell r="C5" t="str">
            <v>Name</v>
          </cell>
          <cell r="AC5" t="str">
            <v>Name</v>
          </cell>
        </row>
        <row r="6">
          <cell r="N6" t="str">
            <v>Name</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row r="8">
          <cell r="G8" t="str">
            <v>EM local currency</v>
          </cell>
        </row>
      </sheetData>
      <sheetData sheetId="30"/>
      <sheetData sheetId="31"/>
      <sheetData sheetId="32"/>
      <sheetData sheetId="33"/>
      <sheetData sheetId="34"/>
      <sheetData sheetId="35"/>
      <sheetData sheetId="36">
        <row r="1">
          <cell r="B1">
            <v>0.25</v>
          </cell>
        </row>
      </sheetData>
      <sheetData sheetId="37">
        <row r="1">
          <cell r="B1">
            <v>0.25</v>
          </cell>
        </row>
      </sheetData>
      <sheetData sheetId="38">
        <row r="6">
          <cell r="C6" t="str">
            <v>U.S.</v>
          </cell>
        </row>
      </sheetData>
      <sheetData sheetId="39"/>
      <sheetData sheetId="40">
        <row r="10">
          <cell r="B10" t="str">
            <v>US 10Y</v>
          </cell>
        </row>
      </sheetData>
      <sheetData sheetId="41"/>
      <sheetData sheetId="42"/>
      <sheetData sheetId="43"/>
      <sheetData sheetId="44"/>
      <sheetData sheetId="4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Developed Equity Performance"/>
      <sheetName val="Emerging Eq YTD"/>
      <sheetName val="Country PE Ratios"/>
      <sheetName val="Sources of Return YTD"/>
      <sheetName val="Sources of Return 12m"/>
      <sheetName val="Equity Factors Style"/>
      <sheetName val="Frontier Equities YTD"/>
      <sheetName val="Real Earnings vs Trend"/>
      <sheetName val="Global Eq PE Ratio"/>
      <sheetName val="Global Equity Risk Premium"/>
      <sheetName val="Sector Valuation Performance"/>
      <sheetName val="Sector earnings momentum"/>
      <sheetName val="Index Performance"/>
      <sheetName val="QE Market Reaction"/>
      <sheetName val="VIX"/>
      <sheetName val="Regional PE Ratios"/>
      <sheetName val="Cyclically Adj. PE Ratio"/>
      <sheetName val="Regional Earnings"/>
      <sheetName val="US Earnings Estimates"/>
      <sheetName val="Banks Overview"/>
    </sheetNames>
    <sheetDataSet>
      <sheetData sheetId="0"/>
      <sheetData sheetId="1"/>
      <sheetData sheetId="2"/>
      <sheetData sheetId="3"/>
      <sheetData sheetId="4"/>
      <sheetData sheetId="5"/>
      <sheetData sheetId="6"/>
      <sheetData sheetId="7"/>
      <sheetData sheetId="8"/>
      <sheetData sheetId="9"/>
      <sheetData sheetId="10">
        <row r="3">
          <cell r="C3" t="str">
            <v>MSCI World Earnings Yield</v>
          </cell>
        </row>
      </sheetData>
      <sheetData sheetId="11"/>
      <sheetData sheetId="12"/>
      <sheetData sheetId="13"/>
      <sheetData sheetId="14"/>
      <sheetData sheetId="15"/>
      <sheetData sheetId="16" refreshError="1"/>
      <sheetData sheetId="17"/>
      <sheetData sheetId="18"/>
      <sheetData sheetId="19" refreshError="1"/>
      <sheetData sheetId="2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China FX Reserves"/>
      <sheetName val="China-Related Commodities"/>
      <sheetName val="House Prices"/>
      <sheetName val="Import Export Growth"/>
      <sheetName val="Inflation"/>
      <sheetName val="Interbank Rates &amp; NPLs"/>
      <sheetName val="Investment and Consumption"/>
      <sheetName val="Macro Indicators"/>
      <sheetName val="Market Overview"/>
      <sheetName val="Monetary Policy"/>
      <sheetName val="Money Supply, Loans, GDP"/>
      <sheetName val="PMI and GDP Growth"/>
      <sheetName val="Social Financing"/>
      <sheetName val="Yuan Dollar"/>
      <sheetName val="Economic Overview"/>
      <sheetName val="Direct Exposur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 confidence"/>
      <sheetName val="p3 regime change"/>
      <sheetName val="p4 pricier debt"/>
      <sheetName val="p5 higher risk premia"/>
      <sheetName val="P6 GDP vol"/>
      <sheetName val="P6 S&amp;P 500 vol"/>
      <sheetName val="P7 reallocation"/>
      <sheetName val="P8 Green repricing"/>
      <sheetName val="P9 euro spreads"/>
      <sheetName val="p10 EM"/>
      <sheetName val="p11 yield spike"/>
      <sheetName val="p12 SAA"/>
      <sheetName val="p13 private markets"/>
      <sheetName val="Breakevens"/>
    </sheetNames>
    <sheetDataSet>
      <sheetData sheetId="0"/>
      <sheetData sheetId="1"/>
      <sheetData sheetId="2">
        <row r="8">
          <cell r="C8">
            <v>59.9</v>
          </cell>
        </row>
      </sheetData>
      <sheetData sheetId="3"/>
      <sheetData sheetId="4">
        <row r="39">
          <cell r="G39">
            <v>25569</v>
          </cell>
        </row>
      </sheetData>
      <sheetData sheetId="5">
        <row r="124">
          <cell r="G124">
            <v>25569</v>
          </cell>
        </row>
      </sheetData>
      <sheetData sheetId="6"/>
      <sheetData sheetId="7"/>
      <sheetData sheetId="8">
        <row r="7">
          <cell r="B7" t="str">
            <v>Name</v>
          </cell>
        </row>
      </sheetData>
      <sheetData sheetId="9"/>
      <sheetData sheetId="10"/>
      <sheetData sheetId="11"/>
      <sheetData sheetId="12">
        <row r="2">
          <cell r="B2" t="str">
            <v>Private Equity</v>
          </cell>
        </row>
      </sheetData>
      <sheetData sheetId="13">
        <row r="9">
          <cell r="E9">
            <v>40907</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and credit"/>
      <sheetName val="Deficit"/>
      <sheetName val="China Inflation"/>
      <sheetName val="Electricity"/>
      <sheetName val="One-week repo"/>
      <sheetName val="Sheet1"/>
      <sheetName val="Sheet2"/>
      <sheetName val="Sheet3"/>
    </sheetNames>
    <sheetDataSet>
      <sheetData sheetId="0"/>
      <sheetData sheetId="1"/>
      <sheetData sheetId="2"/>
      <sheetData sheetId="3"/>
      <sheetData sheetId="4"/>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Bond Volatility - ML MOVE"/>
      <sheetName val="Credit Spreads"/>
      <sheetName val="EM Debt (Local)"/>
      <sheetName val="EM Debt (EMBI)"/>
      <sheetName val="Yields over 4"/>
      <sheetName val="Euro area 10Y Yields"/>
      <sheetName val="2Y Yields"/>
      <sheetName val="10y gov bond yields"/>
      <sheetName val="Index Performance"/>
      <sheetName val="Primary Dealer Holdings"/>
      <sheetName val="Global 10Y Govt. Bond Yields"/>
      <sheetName val="Gov. Bond Returns YTD"/>
      <sheetName val="Government Bond Yield Curves"/>
      <sheetName val="Bond Yield Curves Through Time"/>
      <sheetName val="Real Gov. Bond Yields"/>
      <sheetName val="US 10 year Treasury breakdown"/>
      <sheetName val="Euro Japan bond yield breakdown"/>
      <sheetName val="Munis"/>
      <sheetName val="Banks CDS"/>
      <sheetName val="Eurozone 10Y Yields"/>
      <sheetName val="10Y Yields US DE UK J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 in review"/>
      <sheetName val="Chart of the week"/>
    </sheetNames>
    <sheetDataSet>
      <sheetData sheetId="0" refreshError="1"/>
      <sheetData sheetId="1" refreshError="1">
        <row r="9">
          <cell r="C9" t="e">
            <v>#NAME?</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od prices"/>
      <sheetName val="Food CPI"/>
      <sheetName val="Food CPI (2)"/>
      <sheetName val="BBG Commodity price"/>
      <sheetName val="Insitution confidence"/>
      <sheetName val="China attitudes"/>
      <sheetName val="Spreads"/>
      <sheetName val="Sheet2"/>
      <sheetName val="Share of VR mortgages"/>
      <sheetName val="Private debt and DSR"/>
      <sheetName val="BIS house 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3">
          <cell r="N43">
            <v>36161</v>
          </cell>
        </row>
      </sheetData>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s"/>
      <sheetName val="Weights"/>
      <sheetName val="Index"/>
      <sheetName val="Daily"/>
      <sheetName val="Weekly"/>
      <sheetName val="Since Inception"/>
      <sheetName val="YTD 2021"/>
      <sheetName val="Performance"/>
      <sheetName val="Dashboard"/>
      <sheetName val="Report"/>
      <sheetName val="For email"/>
    </sheetNames>
    <sheetDataSet>
      <sheetData sheetId="0">
        <row r="2">
          <cell r="D2">
            <v>1</v>
          </cell>
        </row>
      </sheetData>
      <sheetData sheetId="1" refreshError="1"/>
      <sheetData sheetId="2"/>
      <sheetData sheetId="3"/>
      <sheetData sheetId="4"/>
      <sheetData sheetId="5"/>
      <sheetData sheetId="6"/>
      <sheetData sheetId="7"/>
      <sheetData sheetId="8"/>
      <sheetData sheetId="9"/>
      <sheetData sheetId="1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A Weights Log"/>
      <sheetName val="Summary"/>
      <sheetName val="BII Scores Log"/>
      <sheetName val="Sheet1"/>
      <sheetName val="Changes to weights"/>
      <sheetName val="Allocation %"/>
      <sheetName val="Index"/>
      <sheetName val="Daily Returns"/>
      <sheetName val="Returns (Rel)"/>
      <sheetName val="C. Returns (Rel)"/>
      <sheetName val="Attribution_"/>
      <sheetName val="Rel. Daily Returns"/>
      <sheetName val="Rank Rel. Daily Returns"/>
      <sheetName val="Portfolio Returns"/>
      <sheetName val="Daily P&amp;L"/>
      <sheetName val="Monthly P&amp;L X"/>
      <sheetName val="Portfolio Return Rank"/>
      <sheetName val="D. P&amp;L"/>
      <sheetName val="W. P&amp;L"/>
      <sheetName val="M. P&amp;L"/>
      <sheetName val="Monthly P&amp;L"/>
      <sheetName val="Chart"/>
      <sheetName val="abs %"/>
      <sheetName val="Std dev vol"/>
      <sheetName val="EMWA vol-D"/>
      <sheetName val="EMWA vol-W"/>
      <sheetName val="3m correlation"/>
      <sheetName val="3m correlation (R)"/>
      <sheetName val="The Charts"/>
      <sheetName val="Dashboard"/>
      <sheetName val="Chart (A)"/>
      <sheetName val="C. Returns (Abs)"/>
      <sheetName val="Sheet2"/>
      <sheetName val="Chart (A)_"/>
      <sheetName val="Aggregate"/>
      <sheetName val="Chart (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EST_TABLE"/>
      <sheetName val="Index_codes"/>
      <sheetName val="Index_payout"/>
      <sheetName val="Index_gth"/>
      <sheetName val="CHART"/>
      <sheetName val="Index_TE1"/>
      <sheetName val="Index_FE1"/>
      <sheetName val="Index_price"/>
      <sheetName val="TRI"/>
      <sheetName val="TopDown.csv"/>
      <sheetName val="Check it matches -&gt;"/>
      <sheetName val="small cap"/>
      <sheetName val="Charts -&gt;"/>
      <sheetName val="Index gth"/>
      <sheetName val="CMA vs. Historic returns"/>
      <sheetName val="PE ratio"/>
      <sheetName val="Index_gth_CHART"/>
      <sheetName val="12m ahead EPS growth chart"/>
      <sheetName val="earnings growth"/>
      <sheetName val="ERP_0"/>
      <sheetName val="Plowback"/>
      <sheetName val="SUMMARY"/>
      <sheetName val="Sheet2"/>
    </sheetNames>
    <sheetDataSet>
      <sheetData sheetId="0"/>
      <sheetData sheetId="1"/>
      <sheetData sheetId="2"/>
      <sheetData sheetId="3"/>
      <sheetData sheetId="4"/>
      <sheetData sheetId="5">
        <row r="2">
          <cell r="A2"/>
        </row>
      </sheetData>
      <sheetData sheetId="6">
        <row r="2">
          <cell r="A2"/>
        </row>
      </sheetData>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ternative_US_ASR"/>
      <sheetName val="Rate hike cycles"/>
      <sheetName val="US_Policy_rules"/>
      <sheetName val="Other regions"/>
      <sheetName val="Final_calibration"/>
    </sheetNames>
    <sheetDataSet>
      <sheetData sheetId="0"/>
      <sheetData sheetId="1"/>
      <sheetData sheetId="2">
        <row r="11">
          <cell r="I11">
            <v>0.25</v>
          </cell>
        </row>
      </sheetData>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rollout"/>
      <sheetName val="Income PCE and savings"/>
      <sheetName val="Contribution to GDP"/>
      <sheetName val="GDP revisions - Covid vs GFC"/>
      <sheetName val="Activity GDP level projections"/>
      <sheetName val="Supply chains - order backlogs"/>
      <sheetName val="US GDP paths"/>
      <sheetName val="New nominal"/>
      <sheetName val="US rate expectations"/>
      <sheetName val="ECB rate expectations"/>
      <sheetName val="US inflation catch-up"/>
      <sheetName val="Fed Inflation bands"/>
      <sheetName val="US prices"/>
      <sheetName val="Shock vs fiscal response"/>
      <sheetName val="US EA inflation and forecasts"/>
      <sheetName val="European Unemployment"/>
      <sheetName val="European employment"/>
      <sheetName val="EA fiscal momentum"/>
      <sheetName val="Financial conditions"/>
      <sheetName val="Asset performance"/>
      <sheetName val="TAA - TIPS and TSY"/>
      <sheetName val="TAA - UK vs Europe"/>
      <sheetName val="TAA - European cyclicality"/>
      <sheetName val="TAA - UK vs Europe (2)"/>
      <sheetName val="TAA - Japan"/>
      <sheetName val="TAA - EM revision ratio"/>
      <sheetName val="SAA - ERP vs spreads"/>
      <sheetName val="SAA - climate aware CMAs"/>
      <sheetName val="SAA tilts"/>
      <sheetName val="SAA - family office"/>
    </sheetNames>
    <sheetDataSet>
      <sheetData sheetId="0"/>
      <sheetData sheetId="1"/>
      <sheetData sheetId="2"/>
      <sheetData sheetId="3">
        <row r="5">
          <cell r="B5" t="str">
            <v>January 08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tting Global Pie 2014"/>
      <sheetName val="Cutting Global Pie 2021"/>
      <sheetName val="Cutting Global Pie 2021 ex Chin"/>
      <sheetName val="Data 2021"/>
      <sheetName val="Haver pull"/>
    </sheetNames>
    <sheetDataSet>
      <sheetData sheetId="0"/>
      <sheetData sheetId="1"/>
      <sheetData sheetId="2"/>
      <sheetData sheetId="3" refreshError="1"/>
      <sheetData sheetId="4">
        <row r="19">
          <cell r="P19">
            <v>43.10340644634951</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767.591621874999" createdVersion="8" refreshedVersion="8" minRefreshableVersion="3" recordCount="329" xr:uid="{76B57F0A-7ACE-4793-B235-FC263496246D}">
  <cacheSource type="worksheet">
    <worksheetSource ref="A1:S330" sheet="Sheet1"/>
  </cacheSource>
  <cacheFields count="19">
    <cacheField name="Year" numFmtId="0">
      <sharedItems containsSemiMixedTypes="0" containsString="0" containsNumber="1" containsInteger="1" minValue="2026" maxValue="2074" count="49">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sharedItems>
    </cacheField>
    <cacheField name="Account" numFmtId="0">
      <sharedItems count="2">
        <s v="ASK"/>
        <s v="NORMAL"/>
      </sharedItems>
    </cacheField>
    <cacheField name="Asset" numFmtId="0">
      <sharedItems/>
    </cacheField>
    <cacheField name="Invested" numFmtId="0">
      <sharedItems containsSemiMixedTypes="0" containsString="0" containsNumber="1" minValue="2.21615845758443E-19" maxValue="8855740.4883264191"/>
    </cacheField>
    <cacheField name="Weight" numFmtId="0">
      <sharedItems containsSemiMixedTypes="0" containsString="0" containsNumber="1" minValue="3.3677754559654802E-26" maxValue="1"/>
    </cacheField>
    <cacheField name="Return" numFmtId="0">
      <sharedItems containsSemiMixedTypes="0" containsString="0" containsNumber="1" minValue="2.8299999999999999E-2" maxValue="8.3999999999999894E-2"/>
    </cacheField>
    <cacheField name="Gross Gain" numFmtId="0">
      <sharedItems containsSemiMixedTypes="0" containsString="0" containsNumber="1" minValue="7.6014235095146097E-21" maxValue="303751.89874959498"/>
    </cacheField>
    <cacheField name="Tax" numFmtId="0">
      <sharedItems containsSemiMixedTypes="0" containsString="0" containsNumber="1" minValue="2.6491604142731601E-21" maxValue="117450.79747483"/>
    </cacheField>
    <cacheField name="Net Gain" numFmtId="0">
      <sharedItems containsSemiMixedTypes="0" containsString="0" containsNumber="1" minValue="4.9522630952414504E-21" maxValue="186301.10127476501"/>
    </cacheField>
    <cacheField name="End Value" numFmtId="0">
      <sharedItems containsSemiMixedTypes="0" containsString="0" containsNumber="1" minValue="2.2656810885368399E-19" maxValue="9042041.5896011796"/>
    </cacheField>
    <cacheField name="TOTAL ASK Cap (DKK)" numFmtId="0">
      <sharedItems containsSemiMixedTypes="0" containsString="0" containsNumber="1" minValue="187224.3" maxValue="56945528.300055303"/>
    </cacheField>
    <cacheField name="Goal A Allocation (%)" numFmtId="0">
      <sharedItems containsString="0" containsBlank="1" containsNumber="1" minValue="62.3762376237623" maxValue="62.3762376237623"/>
    </cacheField>
    <cacheField name="Goal A Amount Taken (DKK)" numFmtId="0">
      <sharedItems containsString="0" containsBlank="1" containsNumber="1" minValue="413089.66259017203" maxValue="413089.66259017203"/>
    </cacheField>
    <cacheField name="Goal B Allocation (%)" numFmtId="0">
      <sharedItems containsString="0" containsBlank="1" containsNumber="1" containsInteger="1" minValue="12" maxValue="12"/>
    </cacheField>
    <cacheField name="Goal B Amount Taken (DKK)" numFmtId="0">
      <sharedItems containsString="0" containsBlank="1" containsNumber="1" minValue="85899.2987181239" maxValue="85899.2987181239"/>
    </cacheField>
    <cacheField name="Goal C Allocation (%)" numFmtId="0">
      <sharedItems containsString="0" containsBlank="1" containsNumber="1" minValue="27.272727272727199" maxValue="27.272727272727199"/>
    </cacheField>
    <cacheField name="Goal C Amount Taken (DKK)" numFmtId="0">
      <sharedItems containsString="0" containsBlank="1" containsNumber="1" minValue="349370.89466904901" maxValue="349370.89466904901"/>
    </cacheField>
    <cacheField name="Goal D Allocation (%)" numFmtId="0">
      <sharedItems containsString="0" containsBlank="1" containsNumber="1" containsInteger="1" minValue="100" maxValue="100"/>
    </cacheField>
    <cacheField name="Goal D Amount Taken (DKK)" numFmtId="0">
      <sharedItems containsString="0" containsBlank="1" containsNumber="1" minValue="9042041.5896011796" maxValue="9042041.589601179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768.423284259261" createdVersion="8" refreshedVersion="8" minRefreshableVersion="3" recordCount="370" xr:uid="{4C5805B8-F52D-4EAA-9296-FE3915EDC45C}">
  <cacheSource type="worksheet">
    <worksheetSource ref="A1:S393" sheet="Sheet1"/>
  </cacheSource>
  <cacheFields count="19">
    <cacheField name="Year" numFmtId="0">
      <sharedItems containsString="0" containsBlank="1" containsNumber="1" containsInteger="1" minValue="2026" maxValue="2075" count="51">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m/>
      </sharedItems>
    </cacheField>
    <cacheField name="Account" numFmtId="0">
      <sharedItems containsBlank="1"/>
    </cacheField>
    <cacheField name="Asset" numFmtId="0">
      <sharedItems containsBlank="1"/>
    </cacheField>
    <cacheField name="Invested" numFmtId="0">
      <sharedItems containsString="0" containsBlank="1" containsNumber="1" minValue="3.2803167449364297E-14" maxValue="6392349.8799999999"/>
    </cacheField>
    <cacheField name="Weight" numFmtId="0">
      <sharedItems containsString="0" containsBlank="1" containsNumber="1" minValue="5.7901758485751499E-21" maxValue="0.98608102018519705"/>
    </cacheField>
    <cacheField name="Return" numFmtId="0">
      <sharedItems containsString="0" containsBlank="1" containsNumber="1" minValue="2.8299999999999999E-2" maxValue="8.3999999999999894E-2"/>
    </cacheField>
    <cacheField name="Gross Gain" numFmtId="0">
      <sharedItems containsString="0" containsBlank="1" containsNumber="1" minValue="1.1251486435131901E-15" maxValue="402718.04243999999"/>
    </cacheField>
    <cacheField name="Tax" numFmtId="0">
      <sharedItems containsString="0" containsBlank="1" containsNumber="1" minValue="4.12829541427553E-16" maxValue="70370.135186423402"/>
    </cacheField>
    <cacheField name="Net Gain" numFmtId="0">
      <sharedItems containsString="0" containsBlank="1" containsNumber="1" minValue="7.1231910208564102E-16" maxValue="334255.9752252"/>
    </cacheField>
    <cacheField name="End Value" numFmtId="0">
      <sharedItems containsString="0" containsBlank="1" containsNumber="1" minValue="3.35154865514499E-14" maxValue="6726605.8552251998"/>
    </cacheField>
    <cacheField name="TOTAL ASK Cap (DKK)" numFmtId="0">
      <sharedItems containsString="0" containsBlank="1" containsNumber="1" minValue="187224.3" maxValue="64149137.630012304"/>
    </cacheField>
    <cacheField name="Goal A Allocation (%)" numFmtId="0">
      <sharedItems containsString="0" containsBlank="1" containsNumber="1" containsInteger="1" minValue="62" maxValue="62"/>
    </cacheField>
    <cacheField name="Goal A Amount Taken (DKK)" numFmtId="0">
      <sharedItems containsString="0" containsBlank="1" containsNumber="1" containsInteger="1" minValue="400000" maxValue="400000"/>
    </cacheField>
    <cacheField name="Goal B Allocation (%)" numFmtId="0">
      <sharedItems containsString="0" containsBlank="1" containsNumber="1" containsInteger="1" minValue="56" maxValue="56"/>
    </cacheField>
    <cacheField name="Goal B Amount Taken (DKK)" numFmtId="0">
      <sharedItems containsString="0" containsBlank="1" containsNumber="1" containsInteger="1" minValue="400000" maxValue="400000"/>
    </cacheField>
    <cacheField name="Goal C Allocation (%)" numFmtId="0">
      <sharedItems containsString="0" containsBlank="1" containsNumber="1" minValue="36.363636363636303" maxValue="36.363636363636303"/>
    </cacheField>
    <cacheField name="Goal C Amount Taken (DKK)" numFmtId="0">
      <sharedItems containsString="0" containsBlank="1" containsNumber="1" containsInteger="1" minValue="300000" maxValue="300000"/>
    </cacheField>
    <cacheField name="Goal D Allocation (%)" numFmtId="0">
      <sharedItems containsString="0" containsBlank="1" containsNumber="1" containsInteger="1" minValue="100" maxValue="100"/>
    </cacheField>
    <cacheField name="Goal D Amount Taken (DKK)" numFmtId="0">
      <sharedItems containsString="0" containsBlank="1" containsNumber="1" containsInteger="1" minValue="9500000" maxValue="95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9">
  <r>
    <x v="0"/>
    <x v="0"/>
    <s v="Emerging Markets - Equities"/>
    <n v="30465.75"/>
    <n v="0.57869948257390902"/>
    <n v="8.3999999999999894E-2"/>
    <n v="2559.12299999999"/>
    <n v="435.05090999999999"/>
    <n v="2124.0720899999901"/>
    <n v="32589.8220899999"/>
    <n v="187224.3"/>
    <m/>
    <m/>
    <m/>
    <m/>
    <m/>
    <m/>
    <m/>
    <m/>
  </r>
  <r>
    <x v="0"/>
    <x v="0"/>
    <s v="Developed Markets - Equities"/>
    <n v="5877.59"/>
    <n v="0.111645316192169"/>
    <n v="6.8000000000000005E-2"/>
    <n v="399.67612000000003"/>
    <n v="67.944940399999993"/>
    <n v="331.73117960000002"/>
    <n v="6209.3211795999996"/>
    <n v="187224.3"/>
    <m/>
    <m/>
    <m/>
    <m/>
    <m/>
    <m/>
    <m/>
    <m/>
  </r>
  <r>
    <x v="0"/>
    <x v="1"/>
    <s v="Emerging Markets State - Obligations"/>
    <n v="14947.023571612501"/>
    <n v="0.28391996937256397"/>
    <n v="4.8300000000000003E-2"/>
    <n v="721.94123850888502"/>
    <n v="194.924134397399"/>
    <n v="527.01710411148599"/>
    <n v="15474.040675724"/>
    <n v="187224.3"/>
    <m/>
    <m/>
    <m/>
    <m/>
    <m/>
    <m/>
    <m/>
    <m/>
  </r>
  <r>
    <x v="0"/>
    <x v="1"/>
    <s v="High Yield Bonds - Obligations"/>
    <n v="471.10100628916803"/>
    <n v="8.9486032209805996E-3"/>
    <n v="4.9299999999999997E-2"/>
    <n v="23.2252796100559"/>
    <n v="6.2708254947151101"/>
    <n v="16.954454115340798"/>
    <n v="488.05546040450901"/>
    <n v="187224.3"/>
    <m/>
    <m/>
    <m/>
    <m/>
    <m/>
    <m/>
    <m/>
    <m/>
  </r>
  <r>
    <x v="0"/>
    <x v="1"/>
    <s v="Investment Grade Bonds - Obligations"/>
    <n v="431.18016708313701"/>
    <n v="8.1903035240275899E-3"/>
    <n v="3.6299999999999999E-2"/>
    <n v="15.651840065117799"/>
    <n v="4.2259968175818203"/>
    <n v="11.425843247535999"/>
    <n v="442.60601033067297"/>
    <n v="187224.3"/>
    <m/>
    <m/>
    <m/>
    <m/>
    <m/>
    <m/>
    <m/>
    <m/>
  </r>
  <r>
    <x v="0"/>
    <x v="1"/>
    <s v="Government ZC Bonds - Obligations"/>
    <n v="452.549309676848"/>
    <n v="8.5962121841468599E-3"/>
    <n v="2.8299999999999999E-2"/>
    <n v="12.807145463854701"/>
    <n v="3.4579292752407902"/>
    <n v="9.3492161886139993"/>
    <n v="461.89852586546198"/>
    <n v="187224.3"/>
    <m/>
    <m/>
    <m/>
    <m/>
    <m/>
    <m/>
    <m/>
    <m/>
  </r>
  <r>
    <x v="1"/>
    <x v="0"/>
    <s v="Emerging Markets - Equities"/>
    <n v="33639.379999999997"/>
    <n v="0.30907924347941801"/>
    <n v="8.3999999999999894E-2"/>
    <n v="2825.7079199999998"/>
    <n v="480.37034640000002"/>
    <n v="2345.3375735999998"/>
    <n v="35984.717573599999"/>
    <n v="210908.17395"/>
    <m/>
    <m/>
    <m/>
    <m/>
    <m/>
    <m/>
    <m/>
    <m/>
  </r>
  <r>
    <x v="1"/>
    <x v="0"/>
    <s v="Developed Markets - Equities"/>
    <n v="18.170000000000002"/>
    <n v="1.66946294908557E-4"/>
    <n v="6.8000000000000005E-2"/>
    <n v="1.23555999999999"/>
    <n v="0.21004519999999899"/>
    <n v="1.0255147999999901"/>
    <n v="19.195514800000002"/>
    <n v="210908.17395"/>
    <m/>
    <m/>
    <m/>
    <m/>
    <m/>
    <m/>
    <m/>
    <m/>
  </r>
  <r>
    <x v="1"/>
    <x v="1"/>
    <s v="Emerging Markets State - Obligations"/>
    <n v="254.810508804515"/>
    <n v="2.3412036515508099E-3"/>
    <n v="4.8300000000000003E-2"/>
    <n v="12.307347575258101"/>
    <n v="3.32298384531969"/>
    <n v="8.9843637299384191"/>
    <n v="263.79487253445399"/>
    <n v="210908.17395"/>
    <m/>
    <m/>
    <m/>
    <m/>
    <m/>
    <m/>
    <m/>
    <m/>
  </r>
  <r>
    <x v="1"/>
    <x v="1"/>
    <s v="High Yield Bonds - Obligations"/>
    <n v="124.66296234199601"/>
    <n v="1.1454055957799299E-3"/>
    <n v="4.9299999999999997E-2"/>
    <n v="6.1458840434604198"/>
    <n v="1.6593886917343099"/>
    <n v="4.4864953517261101"/>
    <n v="129.14945769372301"/>
    <n v="210908.17395"/>
    <m/>
    <m/>
    <m/>
    <m/>
    <m/>
    <m/>
    <m/>
    <m/>
  </r>
  <r>
    <x v="1"/>
    <x v="1"/>
    <s v="Investment Grade Bonds - Obligations"/>
    <n v="276.57606713370501"/>
    <n v="2.54118600266112E-3"/>
    <n v="3.6299999999999999E-2"/>
    <n v="10.039711236953501"/>
    <n v="2.71072203397744"/>
    <n v="7.3289892029760599"/>
    <n v="283.90505633668101"/>
    <n v="210908.17395"/>
    <m/>
    <m/>
    <m/>
    <m/>
    <m/>
    <m/>
    <m/>
    <m/>
  </r>
  <r>
    <x v="1"/>
    <x v="1"/>
    <s v="Government ZC Bonds - Obligations"/>
    <n v="74523.800389362004"/>
    <n v="0.684726051596528"/>
    <n v="2.8299999999999999E-2"/>
    <n v="2109.02355101895"/>
    <n v="569.43635877511701"/>
    <n v="1539.58719224383"/>
    <n v="76063.387581605901"/>
    <n v="210908.17395"/>
    <m/>
    <m/>
    <m/>
    <m/>
    <m/>
    <m/>
    <m/>
    <m/>
  </r>
  <r>
    <x v="2"/>
    <x v="0"/>
    <s v="Emerging Markets - Equities"/>
    <n v="95653.03"/>
    <n v="0.55688415043702499"/>
    <n v="8.3999999999999894E-2"/>
    <n v="8034.8545199999999"/>
    <n v="1365.9252684"/>
    <n v="6668.9292515999996"/>
    <n v="102321.9592516"/>
    <n v="237588.05795467499"/>
    <m/>
    <m/>
    <m/>
    <m/>
    <m/>
    <m/>
    <m/>
    <m/>
  </r>
  <r>
    <x v="2"/>
    <x v="0"/>
    <s v="Developed Markets - Equities"/>
    <n v="341.77"/>
    <n v="1.9897571053929201E-3"/>
    <n v="6.8000000000000005E-2"/>
    <n v="23.240359999999999"/>
    <n v="3.9508611999999999"/>
    <n v="19.289498800000001"/>
    <n v="361.05949879999997"/>
    <n v="237588.05795467499"/>
    <m/>
    <m/>
    <m/>
    <m/>
    <m/>
    <m/>
    <m/>
    <m/>
  </r>
  <r>
    <x v="2"/>
    <x v="1"/>
    <s v="Emerging Markets State - Obligations"/>
    <n v="147.42602179723201"/>
    <n v="8.5830229215804301E-4"/>
    <n v="4.8300000000000003E-2"/>
    <n v="7.1206768528063202"/>
    <n v="1.9225827502577"/>
    <n v="5.1980941025486098"/>
    <n v="152.62411589978001"/>
    <n v="237588.05795467499"/>
    <m/>
    <m/>
    <m/>
    <m/>
    <m/>
    <m/>
    <m/>
    <m/>
  </r>
  <r>
    <x v="2"/>
    <x v="1"/>
    <s v="High Yield Bonds - Obligations"/>
    <n v="297.88633368333899"/>
    <n v="1.73426997409331E-3"/>
    <n v="4.9299999999999997E-2"/>
    <n v="14.6857962505886"/>
    <n v="3.9651649876589201"/>
    <n v="10.720631262929601"/>
    <n v="308.60696494626899"/>
    <n v="237588.05795467499"/>
    <m/>
    <m/>
    <m/>
    <m/>
    <m/>
    <m/>
    <m/>
    <m/>
  </r>
  <r>
    <x v="2"/>
    <x v="1"/>
    <s v="Investment Grade Bonds - Obligations"/>
    <n v="290.22993618974999"/>
    <n v="1.68969505144187E-3"/>
    <n v="3.6299999999999999E-2"/>
    <n v="10.5353466836879"/>
    <n v="2.8445436045957302"/>
    <n v="7.6908030790921798"/>
    <n v="297.920739268842"/>
    <n v="237588.05795467499"/>
    <m/>
    <m/>
    <m/>
    <m/>
    <m/>
    <m/>
    <m/>
    <m/>
  </r>
  <r>
    <x v="2"/>
    <x v="1"/>
    <s v="Government ZC Bonds - Obligations"/>
    <n v="75034.339447303704"/>
    <n v="0.43684381327716598"/>
    <n v="2.8299999999999999E-2"/>
    <n v="2123.4718063586902"/>
    <n v="573.33738771684602"/>
    <n v="1550.1344186418401"/>
    <n v="76584.473865945605"/>
    <n v="237588.05795467499"/>
    <m/>
    <m/>
    <m/>
    <m/>
    <m/>
    <m/>
    <m/>
    <m/>
  </r>
  <r>
    <x v="3"/>
    <x v="0"/>
    <s v="Emerging Markets - Equities"/>
    <n v="100401.47"/>
    <n v="0.41897248474446003"/>
    <n v="8.3999999999999894E-2"/>
    <n v="8433.7234800000006"/>
    <n v="1433.7329916000001"/>
    <n v="6999.9904883999998"/>
    <n v="107401.4604884"/>
    <n v="267642.94728594099"/>
    <m/>
    <m/>
    <m/>
    <m/>
    <m/>
    <m/>
    <m/>
    <m/>
  </r>
  <r>
    <x v="3"/>
    <x v="1"/>
    <s v="Emerging Markets - Equities"/>
    <n v="56764.08"/>
    <n v="0.23687489477826601"/>
    <n v="8.3999999999999894E-2"/>
    <n v="4768.1827199999998"/>
    <n v="1287.4093344"/>
    <n v="3480.7733856"/>
    <n v="60244.853385599999"/>
    <n v="267642.94728594099"/>
    <m/>
    <m/>
    <m/>
    <m/>
    <m/>
    <m/>
    <m/>
    <m/>
  </r>
  <r>
    <x v="3"/>
    <x v="0"/>
    <s v="Developed Markets - Equities"/>
    <n v="1245.78"/>
    <n v="5.1986045826316399E-3"/>
    <n v="6.8000000000000005E-2"/>
    <n v="84.713040000000007"/>
    <n v="14.4012168"/>
    <n v="70.311823200000006"/>
    <n v="1316.0918231999999"/>
    <n v="267642.94728594099"/>
    <m/>
    <m/>
    <m/>
    <m/>
    <m/>
    <m/>
    <m/>
    <m/>
  </r>
  <r>
    <x v="3"/>
    <x v="1"/>
    <s v="Developed Markets - Equities"/>
    <n v="704.33"/>
    <n v="2.93914909990925E-3"/>
    <n v="6.8000000000000005E-2"/>
    <n v="47.894440000000003"/>
    <n v="12.9314988"/>
    <n v="34.962941200000003"/>
    <n v="739.29294119999997"/>
    <n v="267642.94728594099"/>
    <m/>
    <m/>
    <m/>
    <m/>
    <m/>
    <m/>
    <m/>
    <m/>
  </r>
  <r>
    <x v="3"/>
    <x v="1"/>
    <s v="Emerging Markets State - Obligations"/>
    <n v="1387.3539651676399"/>
    <n v="5.7893887211648096E-3"/>
    <n v="4.8300000000000003E-2"/>
    <n v="67.009196517597204"/>
    <n v="18.092483059751199"/>
    <n v="48.916713457846001"/>
    <n v="1436.2706786254901"/>
    <n v="267642.94728594099"/>
    <m/>
    <m/>
    <m/>
    <m/>
    <m/>
    <m/>
    <m/>
    <m/>
  </r>
  <r>
    <x v="3"/>
    <x v="1"/>
    <s v="High Yield Bonds - Obligations"/>
    <n v="1790.7906163524401"/>
    <n v="7.4729184163364196E-3"/>
    <n v="4.9299999999999997E-2"/>
    <n v="88.285977386175503"/>
    <n v="23.8372138942674"/>
    <n v="64.448763491908096"/>
    <n v="1855.23937984435"/>
    <n v="267642.94728594099"/>
    <m/>
    <m/>
    <m/>
    <m/>
    <m/>
    <m/>
    <m/>
    <m/>
  </r>
  <r>
    <x v="3"/>
    <x v="1"/>
    <s v="Investment Grade Bonds - Obligations"/>
    <n v="489.96871351159399"/>
    <n v="2.0446255353332899E-3"/>
    <n v="3.6299999999999999E-2"/>
    <n v="17.785864300470902"/>
    <n v="4.8021833611271401"/>
    <n v="12.983680939343699"/>
    <n v="502.95239445093802"/>
    <n v="267642.94728594099"/>
    <m/>
    <m/>
    <m/>
    <m/>
    <m/>
    <m/>
    <m/>
    <m/>
  </r>
  <r>
    <x v="3"/>
    <x v="1"/>
    <s v="Government ZC Bonds - Obligations"/>
    <n v="76853.608113081995"/>
    <n v="0.32070792541896997"/>
    <n v="2.8299999999999999E-2"/>
    <n v="2174.9571096002101"/>
    <n v="587.23841959205799"/>
    <n v="1587.7186900081499"/>
    <n v="78441.326803090196"/>
    <n v="267642.94728594099"/>
    <m/>
    <m/>
    <m/>
    <m/>
    <m/>
    <m/>
    <m/>
    <m/>
  </r>
  <r>
    <x v="4"/>
    <x v="0"/>
    <s v="Emerging Markets - Equities"/>
    <n v="33841.46"/>
    <n v="0.108416063585834"/>
    <n v="8.3999999999999894E-2"/>
    <n v="2842.68263999999"/>
    <n v="483.25604879999901"/>
    <n v="2359.4265911999901"/>
    <n v="36200.886591199996"/>
    <n v="301499.78011761297"/>
    <m/>
    <m/>
    <m/>
    <m/>
    <m/>
    <m/>
    <m/>
    <m/>
  </r>
  <r>
    <x v="4"/>
    <x v="1"/>
    <s v="Emerging Markets - Equities"/>
    <n v="195619.46"/>
    <n v="0.62669553305284498"/>
    <n v="8.3999999999999894E-2"/>
    <n v="16432.034640000002"/>
    <n v="4436.6493528000001"/>
    <n v="11995.385287200001"/>
    <n v="207614.84528720001"/>
    <n v="301499.78011761297"/>
    <m/>
    <m/>
    <m/>
    <m/>
    <m/>
    <m/>
    <m/>
    <m/>
  </r>
  <r>
    <x v="4"/>
    <x v="0"/>
    <s v="Developed Markets - Equities"/>
    <n v="15.38"/>
    <n v="4.9272078035348601E-5"/>
    <n v="6.8000000000000005E-2"/>
    <n v="1.0458400000000001"/>
    <n v="0.1777928"/>
    <n v="0.86804720000000002"/>
    <n v="16.248047199999998"/>
    <n v="301499.78011761297"/>
    <m/>
    <m/>
    <m/>
    <m/>
    <m/>
    <m/>
    <m/>
    <m/>
  </r>
  <r>
    <x v="4"/>
    <x v="1"/>
    <s v="Developed Markets - Equities"/>
    <n v="88.88"/>
    <n v="2.8474007124719002E-4"/>
    <n v="6.8000000000000005E-2"/>
    <n v="6.0438400000000003"/>
    <n v="1.6318368000000001"/>
    <n v="4.4120032"/>
    <n v="93.292003199999996"/>
    <n v="301499.78011761297"/>
    <m/>
    <m/>
    <m/>
    <m/>
    <m/>
    <m/>
    <m/>
    <m/>
  </r>
  <r>
    <x v="4"/>
    <x v="1"/>
    <s v="Emerging Markets State - Obligations"/>
    <n v="200.13809083508801"/>
    <n v="6.4117162740391198E-4"/>
    <n v="4.8300000000000003E-2"/>
    <n v="9.6666697873347598"/>
    <n v="2.61000084258038"/>
    <n v="7.0566689447543798"/>
    <n v="207.194759779842"/>
    <n v="301499.78011761297"/>
    <m/>
    <m/>
    <m/>
    <m/>
    <m/>
    <m/>
    <m/>
    <m/>
  </r>
  <r>
    <x v="4"/>
    <x v="1"/>
    <s v="High Yield Bonds - Obligations"/>
    <n v="2882.6180405657001"/>
    <n v="9.2348882341259497E-3"/>
    <n v="4.9299999999999997E-2"/>
    <n v="142.11306939988799"/>
    <n v="38.370528737969998"/>
    <n v="103.742540661918"/>
    <n v="2986.3605812276201"/>
    <n v="301499.78011761297"/>
    <m/>
    <m/>
    <m/>
    <m/>
    <m/>
    <m/>
    <m/>
    <m/>
  </r>
  <r>
    <x v="4"/>
    <x v="1"/>
    <s v="Investment Grade Bonds - Obligations"/>
    <n v="1359.2598806922899"/>
    <n v="4.3545877055779702E-3"/>
    <n v="3.6299999999999999E-2"/>
    <n v="49.341133669130102"/>
    <n v="13.3221060906651"/>
    <n v="36.019027578465"/>
    <n v="1395.27890827075"/>
    <n v="301499.78011761297"/>
    <m/>
    <m/>
    <m/>
    <m/>
    <m/>
    <m/>
    <m/>
    <m/>
  </r>
  <r>
    <x v="4"/>
    <x v="1"/>
    <s v="Government ZC Bonds - Obligations"/>
    <n v="78137.146943293003"/>
    <n v="0.25032377123858401"/>
    <n v="2.8299999999999999E-2"/>
    <n v="2211.2812584951898"/>
    <n v="597.045939793701"/>
    <n v="1614.2353187014801"/>
    <n v="79751.382261994499"/>
    <n v="301499.78011761297"/>
    <m/>
    <m/>
    <m/>
    <m/>
    <m/>
    <m/>
    <m/>
    <m/>
  </r>
  <r>
    <x v="5"/>
    <x v="0"/>
    <s v="Emerging Markets - Equities"/>
    <n v="38006.15"/>
    <n v="9.7683501336848097E-2"/>
    <n v="8.3999999999999894E-2"/>
    <n v="3192.5165999999999"/>
    <n v="542.72782199999995"/>
    <n v="2649.7887780000001"/>
    <n v="40655.938778000003"/>
    <n v="339639.50230249099"/>
    <m/>
    <m/>
    <m/>
    <m/>
    <m/>
    <m/>
    <m/>
    <m/>
  </r>
  <r>
    <x v="5"/>
    <x v="1"/>
    <s v="Emerging Markets - Equities"/>
    <n v="297538.63"/>
    <n v="0.76473452747434201"/>
    <n v="8.3999999999999894E-2"/>
    <n v="24993.244920000001"/>
    <n v="6748.1761284000004"/>
    <n v="18245.068791599999"/>
    <n v="315783.69879160001"/>
    <n v="339639.50230249099"/>
    <m/>
    <m/>
    <m/>
    <m/>
    <m/>
    <m/>
    <m/>
    <m/>
  </r>
  <r>
    <x v="5"/>
    <x v="0"/>
    <s v="Developed Markets - Equities"/>
    <n v="133.57"/>
    <n v="3.4330194648926003E-4"/>
    <n v="6.8000000000000005E-2"/>
    <n v="9.0827600000000004"/>
    <n v="1.5440692"/>
    <n v="7.5386908000000004"/>
    <n v="141.10869080000001"/>
    <n v="339639.50230249099"/>
    <m/>
    <m/>
    <m/>
    <m/>
    <m/>
    <m/>
    <m/>
    <m/>
  </r>
  <r>
    <x v="5"/>
    <x v="1"/>
    <s v="Developed Markets - Equities"/>
    <n v="1045.67"/>
    <n v="2.68758363693512E-3"/>
    <n v="6.8000000000000005E-2"/>
    <n v="71.105559999999898"/>
    <n v="19.1985011999999"/>
    <n v="51.907058799999902"/>
    <n v="1097.5770588"/>
    <n v="339639.50230249099"/>
    <m/>
    <m/>
    <m/>
    <m/>
    <m/>
    <m/>
    <m/>
    <m/>
  </r>
  <r>
    <x v="5"/>
    <x v="1"/>
    <s v="Emerging Markets State - Obligations"/>
    <n v="6494.8171957813602"/>
    <n v="1.6692995323827599E-2"/>
    <n v="4.8300000000000003E-2"/>
    <n v="313.69967055623903"/>
    <n v="84.698911050184705"/>
    <n v="229.00075950605401"/>
    <n v="6723.8179552874199"/>
    <n v="339639.50230249099"/>
    <m/>
    <m/>
    <m/>
    <m/>
    <m/>
    <m/>
    <m/>
    <m/>
  </r>
  <r>
    <x v="5"/>
    <x v="1"/>
    <s v="High Yield Bonds - Obligations"/>
    <n v="989.13127147527905"/>
    <n v="2.5422676561418001E-3"/>
    <n v="4.9299999999999997E-2"/>
    <n v="48.764171683731"/>
    <n v="13.1663263546073"/>
    <n v="35.5978453291237"/>
    <n v="1024.7291168044001"/>
    <n v="339639.50230249099"/>
    <m/>
    <m/>
    <m/>
    <m/>
    <m/>
    <m/>
    <m/>
    <m/>
  </r>
  <r>
    <x v="5"/>
    <x v="1"/>
    <s v="Investment Grade Bonds - Obligations"/>
    <n v="24511.898968956699"/>
    <n v="6.3000543746282597E-2"/>
    <n v="3.6299999999999999E-2"/>
    <n v="889.78193257313205"/>
    <n v="240.241121794745"/>
    <n v="649.540810778386"/>
    <n v="25161.439779735101"/>
    <n v="339639.50230249099"/>
    <m/>
    <m/>
    <m/>
    <m/>
    <m/>
    <m/>
    <m/>
    <m/>
  </r>
  <r>
    <x v="5"/>
    <x v="1"/>
    <s v="Government ZC Bonds - Obligations"/>
    <n v="20354.539019845299"/>
    <n v="5.2315286856363698E-2"/>
    <n v="2.8299999999999999E-2"/>
    <n v="576.03345426162196"/>
    <n v="155.52903265063699"/>
    <n v="420.50442161098402"/>
    <n v="20775.043441456201"/>
    <n v="339639.50230249099"/>
    <m/>
    <m/>
    <m/>
    <m/>
    <m/>
    <m/>
    <m/>
    <m/>
  </r>
  <r>
    <x v="6"/>
    <x v="0"/>
    <s v="Emerging Markets - Equities"/>
    <n v="24348.400000000001"/>
    <n v="5.08464613548344E-2"/>
    <n v="8.3999999999999894E-2"/>
    <n v="2045.2655999999999"/>
    <n v="347.69515200000001"/>
    <n v="1697.5704479999999"/>
    <n v="26045.970448"/>
    <n v="382603.89934375603"/>
    <m/>
    <m/>
    <m/>
    <m/>
    <m/>
    <m/>
    <m/>
    <m/>
  </r>
  <r>
    <x v="6"/>
    <x v="0"/>
    <s v="Developed Markets - Equities"/>
    <n v="1683.5"/>
    <n v="3.5156321438313699E-3"/>
    <n v="6.8000000000000005E-2"/>
    <n v="114.47799999999999"/>
    <n v="19.461259999999999"/>
    <n v="95.016739999999999"/>
    <n v="1778.51674"/>
    <n v="382603.89934375603"/>
    <m/>
    <m/>
    <m/>
    <m/>
    <m/>
    <m/>
    <m/>
    <m/>
  </r>
  <r>
    <x v="6"/>
    <x v="1"/>
    <s v="Emerging Markets State - Obligations"/>
    <n v="5290.5638517544003"/>
    <n v="1.10482187919335E-2"/>
    <n v="4.8300000000000003E-2"/>
    <n v="255.53423403973699"/>
    <n v="68.994243190729094"/>
    <n v="186.53999084900801"/>
    <n v="5477.1038426034102"/>
    <n v="382603.89934375603"/>
    <m/>
    <m/>
    <m/>
    <m/>
    <m/>
    <m/>
    <m/>
    <m/>
  </r>
  <r>
    <x v="6"/>
    <x v="1"/>
    <s v="High Yield Bonds - Obligations"/>
    <n v="45.852316317193399"/>
    <n v="9.5752822758448896E-5"/>
    <n v="4.9299999999999997E-2"/>
    <n v="2.2605191944376202"/>
    <n v="0.61034018249815902"/>
    <n v="1.6501790119394599"/>
    <n v="47.502495329132799"/>
    <n v="382603.89934375603"/>
    <m/>
    <m/>
    <m/>
    <m/>
    <m/>
    <m/>
    <m/>
    <m/>
  </r>
  <r>
    <x v="6"/>
    <x v="1"/>
    <s v="Investment Grade Bonds - Obligations"/>
    <n v="25063.332441871698"/>
    <n v="5.2339445894966398E-2"/>
    <n v="3.6299999999999999E-2"/>
    <n v="909.79896763994395"/>
    <n v="245.645721262785"/>
    <n v="664.15324637715901"/>
    <n v="25727.4856882489"/>
    <n v="382603.89934375603"/>
    <m/>
    <m/>
    <m/>
    <m/>
    <m/>
    <m/>
    <m/>
    <m/>
  </r>
  <r>
    <x v="6"/>
    <x v="1"/>
    <s v="Government ZC Bonds - Obligations"/>
    <n v="422429.59278466599"/>
    <n v="0.88215447276469805"/>
    <n v="2.8299999999999999E-2"/>
    <n v="11954.757475806"/>
    <n v="3227.7845184676298"/>
    <n v="8726.9729573384102"/>
    <n v="431156.56574200402"/>
    <n v="382603.89934375603"/>
    <m/>
    <m/>
    <m/>
    <m/>
    <m/>
    <m/>
    <m/>
    <m/>
  </r>
  <r>
    <x v="7"/>
    <x v="0"/>
    <s v="Emerging Markets - Equities"/>
    <n v="65331.88"/>
    <n v="0.116997091225259"/>
    <n v="8.3999999999999894E-2"/>
    <n v="5487.8779199999999"/>
    <n v="932.93924640000102"/>
    <n v="4554.9386735999997"/>
    <n v="69886.818673600006"/>
    <n v="431003.29261074099"/>
    <m/>
    <m/>
    <m/>
    <m/>
    <m/>
    <m/>
    <m/>
    <m/>
  </r>
  <r>
    <x v="7"/>
    <x v="1"/>
    <s v="Emerging Markets - Equities"/>
    <n v="1676.84"/>
    <n v="3.0029045919107802E-3"/>
    <n v="8.3999999999999894E-2"/>
    <n v="140.85455999999999"/>
    <n v="38.030731199999998"/>
    <n v="102.8238288"/>
    <n v="1779.6638287999999"/>
    <n v="431003.29261074099"/>
    <m/>
    <m/>
    <m/>
    <m/>
    <m/>
    <m/>
    <m/>
    <m/>
  </r>
  <r>
    <x v="7"/>
    <x v="1"/>
    <s v="Emerging Markets State - Obligations"/>
    <n v="2.1648255492833199E-11"/>
    <n v="3.8767947941536997E-17"/>
    <n v="4.8300000000000003E-2"/>
    <n v="1.04561074030384E-12"/>
    <n v="2.8231489988203799E-13"/>
    <n v="7.6329584042180802E-13"/>
    <n v="2.2411551333255101E-11"/>
    <n v="431003.29261074099"/>
    <m/>
    <m/>
    <m/>
    <m/>
    <m/>
    <m/>
    <m/>
    <m/>
  </r>
  <r>
    <x v="7"/>
    <x v="1"/>
    <s v="High Yield Bonds - Obligations"/>
    <n v="2.33330498788183E-11"/>
    <n v="4.1785097340466001E-17"/>
    <n v="4.9299999999999997E-2"/>
    <n v="1.15031935902574E-12"/>
    <n v="3.1058622693695002E-13"/>
    <n v="8.3973313208879102E-13"/>
    <n v="2.41727830109071E-11"/>
    <n v="431003.29261074099"/>
    <m/>
    <m/>
    <m/>
    <m/>
    <m/>
    <m/>
    <m/>
    <m/>
  </r>
  <r>
    <x v="7"/>
    <x v="1"/>
    <s v="Investment Grade Bonds - Obligations"/>
    <n v="8.8099982564052897E-12"/>
    <n v="1.5777047433795399E-17"/>
    <n v="3.6299999999999999E-2"/>
    <n v="3.1980293670751199E-13"/>
    <n v="8.63467929110283E-14"/>
    <n v="2.3345614379648402E-13"/>
    <n v="9.0434544002017698E-12"/>
    <n v="431003.29261074099"/>
    <m/>
    <m/>
    <m/>
    <m/>
    <m/>
    <m/>
    <m/>
    <m/>
  </r>
  <r>
    <x v="7"/>
    <x v="1"/>
    <s v="Government ZC Bonds - Obligations"/>
    <n v="491397.29712859198"/>
    <n v="0.88"/>
    <n v="2.8299999999999999E-2"/>
    <n v="13906.5435087391"/>
    <n v="3754.7667473595702"/>
    <n v="10151.7767613795"/>
    <n v="501549.07388997101"/>
    <n v="431003.29261074099"/>
    <m/>
    <m/>
    <m/>
    <m/>
    <m/>
    <m/>
    <m/>
    <m/>
  </r>
  <r>
    <x v="8"/>
    <x v="0"/>
    <s v="Emerging Markets - Equities"/>
    <n v="54521.919999999998"/>
    <n v="8.4915829183054001E-2"/>
    <n v="8.3999999999999894E-2"/>
    <n v="4579.8412799999996"/>
    <n v="778.57301759999996"/>
    <n v="3801.2682623999999"/>
    <n v="58323.188262399999"/>
    <n v="485525.209126"/>
    <n v="62.3762376237623"/>
    <n v="413089.66259017203"/>
    <m/>
    <m/>
    <m/>
    <m/>
    <m/>
    <m/>
  </r>
  <r>
    <x v="8"/>
    <x v="1"/>
    <s v="Emerging Markets - Equities"/>
    <n v="104406.34"/>
    <n v="0.16260892743813599"/>
    <n v="8.3999999999999894E-2"/>
    <n v="8770.1325600000091"/>
    <n v="2367.9357912"/>
    <n v="6402.1967688000004"/>
    <n v="110808.5367688"/>
    <n v="485525.209126"/>
    <n v="62.3762376237623"/>
    <n v="413089.66259017203"/>
    <m/>
    <m/>
    <m/>
    <m/>
    <m/>
    <m/>
  </r>
  <r>
    <x v="8"/>
    <x v="1"/>
    <s v="Emerging Markets State - Obligations"/>
    <n v="1.76445810560213E-12"/>
    <n v="2.7480767936265998E-18"/>
    <n v="4.8300000000000003E-2"/>
    <n v="8.5223326500582904E-14"/>
    <n v="2.3010298155157399E-14"/>
    <n v="6.2213028345425496E-14"/>
    <n v="1.82667113394756E-12"/>
    <n v="485525.209126"/>
    <n v="62.3762376237623"/>
    <n v="413089.66259017203"/>
    <m/>
    <m/>
    <m/>
    <m/>
    <m/>
    <m/>
  </r>
  <r>
    <x v="8"/>
    <x v="1"/>
    <s v="High Yield Bonds - Obligations"/>
    <n v="1.76445810560213E-12"/>
    <n v="2.7480767936265998E-18"/>
    <n v="4.9299999999999997E-2"/>
    <n v="8.6987784606185103E-14"/>
    <n v="2.3486701843669901E-14"/>
    <n v="6.3501082762515098E-14"/>
    <n v="1.8279591883646499E-12"/>
    <n v="485525.209126"/>
    <n v="62.3762376237623"/>
    <n v="413089.66259017203"/>
    <m/>
    <m/>
    <m/>
    <m/>
    <m/>
    <m/>
  </r>
  <r>
    <x v="8"/>
    <x v="1"/>
    <s v="Government ZC Bonds - Obligations"/>
    <n v="483141.90230755799"/>
    <n v="0.75247524752474604"/>
    <n v="2.8299999999999999E-2"/>
    <n v="13672.9158353038"/>
    <n v="3691.6872755320501"/>
    <n v="9981.2285597718401"/>
    <n v="493123.13086733001"/>
    <n v="485525.209126"/>
    <n v="62.3762376237623"/>
    <n v="413089.66259017203"/>
    <m/>
    <m/>
    <m/>
    <m/>
    <m/>
    <m/>
  </r>
  <r>
    <x v="9"/>
    <x v="0"/>
    <s v="Emerging Markets - Equities"/>
    <n v="19799.89"/>
    <n v="6.2125421125913398E-2"/>
    <n v="6.3E-2"/>
    <n v="1247.3930699999901"/>
    <n v="212.05682189999899"/>
    <n v="1035.3362480999899"/>
    <n v="20835.226248099902"/>
    <n v="546944.14808043896"/>
    <m/>
    <m/>
    <m/>
    <m/>
    <m/>
    <m/>
    <m/>
    <m/>
  </r>
  <r>
    <x v="9"/>
    <x v="1"/>
    <s v="Emerging Markets - Equities"/>
    <n v="58285.07"/>
    <n v="0.18287902200988701"/>
    <n v="6.3E-2"/>
    <n v="3671.9594099999899"/>
    <n v="991.42904069999895"/>
    <n v="2680.5303692999901"/>
    <n v="60965.6003692999"/>
    <n v="546944.14808043896"/>
    <m/>
    <m/>
    <m/>
    <m/>
    <m/>
    <m/>
    <m/>
    <m/>
  </r>
  <r>
    <x v="9"/>
    <x v="0"/>
    <s v="Developed Markets - Equities"/>
    <n v="41619.050000000003"/>
    <n v="0.13058663498183301"/>
    <n v="6.3E-2"/>
    <n v="2622.0001499999998"/>
    <n v="445.7400255"/>
    <n v="2176.2601244999901"/>
    <n v="43795.3101245"/>
    <n v="546944.14808043896"/>
    <m/>
    <m/>
    <m/>
    <m/>
    <m/>
    <m/>
    <m/>
    <m/>
  </r>
  <r>
    <x v="9"/>
    <x v="1"/>
    <s v="Developed Markets - Equities"/>
    <n v="122514.33"/>
    <n v="0.38440892071668697"/>
    <n v="6.3E-2"/>
    <n v="7718.4027899999901"/>
    <n v="2083.9687532999901"/>
    <n v="5634.4340366999904"/>
    <n v="128148.7640367"/>
    <n v="546944.14808043896"/>
    <m/>
    <m/>
    <m/>
    <m/>
    <m/>
    <m/>
    <m/>
    <m/>
  </r>
  <r>
    <x v="9"/>
    <x v="1"/>
    <s v="Emerging Markets State - Obligations"/>
    <n v="3.5258383760301503E-11"/>
    <n v="1.10628995379661E-16"/>
    <n v="3.4299999999999997E-2"/>
    <n v="1.2093625629783401E-12"/>
    <n v="3.2652789200415299E-13"/>
    <n v="8.8283467097419098E-13"/>
    <n v="3.6141218431275702E-11"/>
    <n v="546944.14808043896"/>
    <m/>
    <m/>
    <m/>
    <m/>
    <m/>
    <m/>
    <m/>
    <m/>
  </r>
  <r>
    <x v="9"/>
    <x v="1"/>
    <s v="High Yield Bonds - Obligations"/>
    <n v="1.51961686724994E-12"/>
    <n v="4.7680486016813401E-18"/>
    <n v="3.4299999999999997E-2"/>
    <n v="5.2122858546673198E-14"/>
    <n v="1.4073171807601701E-14"/>
    <n v="3.8049686739071399E-14"/>
    <n v="1.5576665539890199E-12"/>
    <n v="546944.14808043896"/>
    <m/>
    <m/>
    <m/>
    <m/>
    <m/>
    <m/>
    <m/>
    <m/>
  </r>
  <r>
    <x v="9"/>
    <x v="1"/>
    <s v="Investment Grade Bonds - Obligations"/>
    <n v="6.71242435250537E-12"/>
    <n v="2.1061338708206599E-17"/>
    <n v="3.4299999999999997E-2"/>
    <n v="2.30236155290934E-13"/>
    <n v="6.21637619285522E-14"/>
    <n v="1.6807239336238099E-13"/>
    <n v="6.8804967458677503E-12"/>
    <n v="546944.14808043896"/>
    <m/>
    <m/>
    <m/>
    <m/>
    <m/>
    <m/>
    <m/>
    <m/>
  </r>
  <r>
    <x v="9"/>
    <x v="1"/>
    <s v="Government ZC Bonds - Obligations"/>
    <n v="76490.002222582596"/>
    <n v="0.23999999999999899"/>
    <n v="3.4299999999999997E-2"/>
    <n v="2623.6070762345698"/>
    <n v="708.37391058333503"/>
    <n v="1915.2331656512399"/>
    <n v="78405.235388233807"/>
    <n v="546944.14808043896"/>
    <m/>
    <m/>
    <m/>
    <m/>
    <m/>
    <m/>
    <m/>
    <m/>
  </r>
  <r>
    <x v="10"/>
    <x v="0"/>
    <s v="Emerging Markets - Equities"/>
    <n v="13052.42"/>
    <n v="3.1886264046672698E-2"/>
    <n v="6.3E-2"/>
    <n v="822.30245999999897"/>
    <n v="139.79141819999899"/>
    <n v="682.51104179999902"/>
    <n v="13734.9310417999"/>
    <n v="616132.58281261497"/>
    <m/>
    <m/>
    <m/>
    <m/>
    <m/>
    <m/>
    <m/>
    <m/>
  </r>
  <r>
    <x v="10"/>
    <x v="0"/>
    <s v="Developed Markets - Equities"/>
    <n v="369.5"/>
    <n v="9.0266590909927696E-4"/>
    <n v="6.3E-2"/>
    <n v="23.278499999999902"/>
    <n v="3.9573449999999899"/>
    <n v="19.321154999999901"/>
    <n v="388.82115499999998"/>
    <n v="616132.58281261497"/>
    <m/>
    <m/>
    <m/>
    <m/>
    <m/>
    <m/>
    <m/>
    <m/>
  </r>
  <r>
    <x v="10"/>
    <x v="1"/>
    <s v="Emerging Markets State - Obligations"/>
    <n v="278.74497187069301"/>
    <n v="6.8095692406092395E-4"/>
    <n v="3.4299999999999997E-2"/>
    <n v="9.5609525351647395"/>
    <n v="2.58145718449448"/>
    <n v="6.9794953506702599"/>
    <n v="285.724467221363"/>
    <n v="616132.58281261497"/>
    <m/>
    <m/>
    <m/>
    <m/>
    <m/>
    <m/>
    <m/>
    <m/>
  </r>
  <r>
    <x v="10"/>
    <x v="1"/>
    <s v="High Yield Bonds - Obligations"/>
    <n v="887.79756455360405"/>
    <n v="2.1688351710525099E-3"/>
    <n v="3.4299999999999997E-2"/>
    <n v="30.451456464188499"/>
    <n v="8.2218932453309197"/>
    <n v="22.229563218857599"/>
    <n v="910.02712777246199"/>
    <n v="616132.58281261497"/>
    <m/>
    <m/>
    <m/>
    <m/>
    <m/>
    <m/>
    <m/>
    <m/>
  </r>
  <r>
    <x v="10"/>
    <x v="1"/>
    <s v="Investment Grade Bonds - Obligations"/>
    <n v="779.48770803567402"/>
    <n v="1.90424081354732E-3"/>
    <n v="3.4299999999999997E-2"/>
    <n v="26.736428385623601"/>
    <n v="7.2188356641183802"/>
    <n v="19.517592721505199"/>
    <n v="799.00530075717995"/>
    <n v="616132.58281261497"/>
    <m/>
    <m/>
    <m/>
    <m/>
    <m/>
    <m/>
    <m/>
    <m/>
  </r>
  <r>
    <x v="10"/>
    <x v="1"/>
    <s v="Government ZC Bonds - Obligations"/>
    <n v="393975.08012054698"/>
    <n v="0.96245703344918598"/>
    <n v="3.4299999999999997E-2"/>
    <n v="13513.345248134699"/>
    <n v="3648.6032169963801"/>
    <n v="9864.7420311383594"/>
    <n v="403839.82215168502"/>
    <n v="616132.58281261497"/>
    <m/>
    <m/>
    <m/>
    <m/>
    <m/>
    <m/>
    <m/>
    <m/>
  </r>
  <r>
    <x v="11"/>
    <x v="0"/>
    <s v="Emerging Markets - Equities"/>
    <n v="109521.03"/>
    <n v="0.21995568733929499"/>
    <n v="6.3E-2"/>
    <n v="6899.8248899999799"/>
    <n v="1172.97023129999"/>
    <n v="5726.8546586999901"/>
    <n v="115247.884658699"/>
    <n v="694073.35453840997"/>
    <m/>
    <m/>
    <m/>
    <m/>
    <m/>
    <m/>
    <m/>
    <m/>
  </r>
  <r>
    <x v="11"/>
    <x v="0"/>
    <s v="Developed Markets - Equities"/>
    <n v="118.46"/>
    <n v="2.37908196464304E-4"/>
    <n v="6.3E-2"/>
    <n v="7.4629799999999804"/>
    <n v="1.26870659999999"/>
    <n v="6.1942733999999797"/>
    <n v="124.654273399999"/>
    <n v="694073.35453840997"/>
    <m/>
    <m/>
    <m/>
    <m/>
    <m/>
    <m/>
    <m/>
    <m/>
  </r>
  <r>
    <x v="11"/>
    <x v="1"/>
    <s v="Emerging Markets State - Obligations"/>
    <n v="734.41968048977401"/>
    <n v="1.4749659094480201E-3"/>
    <n v="3.4299999999999997E-2"/>
    <n v="25.190595040799199"/>
    <n v="6.8014606610157999"/>
    <n v="18.3891343797834"/>
    <n v="752.80881486955798"/>
    <n v="694073.35453840997"/>
    <m/>
    <m/>
    <m/>
    <m/>
    <m/>
    <m/>
    <m/>
    <m/>
  </r>
  <r>
    <x v="11"/>
    <x v="1"/>
    <s v="High Yield Bonds - Obligations"/>
    <n v="757.67821314710204"/>
    <n v="1.52167699805946E-3"/>
    <n v="3.4299999999999997E-2"/>
    <n v="25.988362710945498"/>
    <n v="7.0168579319553004"/>
    <n v="18.971504778990202"/>
    <n v="776.64971792609197"/>
    <n v="694073.35453840997"/>
    <m/>
    <m/>
    <m/>
    <m/>
    <m/>
    <m/>
    <m/>
    <m/>
  </r>
  <r>
    <x v="11"/>
    <x v="1"/>
    <s v="Investment Grade Bonds - Obligations"/>
    <n v="1596.0586005893699"/>
    <n v="3.2054315643893099E-3"/>
    <n v="3.4299999999999997E-2"/>
    <n v="54.744810000215402"/>
    <n v="14.7810987000581"/>
    <n v="39.9637113001572"/>
    <n v="1636.0223118895201"/>
    <n v="694073.35453840997"/>
    <m/>
    <m/>
    <m/>
    <m/>
    <m/>
    <m/>
    <m/>
    <m/>
  </r>
  <r>
    <x v="11"/>
    <x v="1"/>
    <s v="Government ZC Bonds - Obligations"/>
    <n v="385195.51276347"/>
    <n v="0.77360433671872497"/>
    <n v="3.4299999999999997E-2"/>
    <n v="13212.206087787001"/>
    <n v="3567.2956437025"/>
    <n v="9644.9104440845495"/>
    <n v="394840.42320755502"/>
    <n v="694073.35453840997"/>
    <m/>
    <m/>
    <m/>
    <m/>
    <m/>
    <m/>
    <m/>
    <m/>
  </r>
  <r>
    <x v="12"/>
    <x v="0"/>
    <s v="Emerging Markets - Equities"/>
    <n v="111868.08"/>
    <n v="0.18892712475224499"/>
    <n v="6.3E-2"/>
    <n v="7047.6890399999902"/>
    <n v="1198.10713679999"/>
    <n v="5849.5819031999899"/>
    <n v="117717.6619032"/>
    <n v="781873.63388751901"/>
    <m/>
    <m/>
    <m/>
    <m/>
    <m/>
    <m/>
    <m/>
    <m/>
  </r>
  <r>
    <x v="12"/>
    <x v="1"/>
    <s v="Emerging Markets - Equities"/>
    <n v="95374.94"/>
    <n v="0.16107287429638401"/>
    <n v="6.3E-2"/>
    <n v="6008.62122"/>
    <n v="1622.3277294"/>
    <n v="4386.2934906"/>
    <n v="99761.233490600003"/>
    <n v="781873.63388751901"/>
    <m/>
    <m/>
    <m/>
    <m/>
    <m/>
    <m/>
    <m/>
    <m/>
  </r>
  <r>
    <x v="12"/>
    <x v="1"/>
    <s v="Emerging Markets State - Obligations"/>
    <n v="8.8008779981767797E-11"/>
    <n v="1.4863261937550301E-16"/>
    <n v="3.4299999999999997E-2"/>
    <n v="3.0187011533746298E-12"/>
    <n v="8.1504931141115198E-13"/>
    <n v="2.20365184196348E-12"/>
    <n v="9.0212431823731301E-11"/>
    <n v="781873.63388751901"/>
    <m/>
    <m/>
    <m/>
    <m/>
    <m/>
    <m/>
    <m/>
    <m/>
  </r>
  <r>
    <x v="12"/>
    <x v="1"/>
    <s v="Investment Grade Bonds - Obligations"/>
    <n v="1.58950345895858E-10"/>
    <n v="2.6844146988559501E-16"/>
    <n v="3.4299999999999997E-2"/>
    <n v="5.4519968642279399E-12"/>
    <n v="1.47203915334154E-12"/>
    <n v="3.9799577108863999E-12"/>
    <n v="1.6293030360674401E-10"/>
    <n v="781873.63388751901"/>
    <m/>
    <m/>
    <m/>
    <m/>
    <m/>
    <m/>
    <m/>
    <m/>
  </r>
  <r>
    <x v="12"/>
    <x v="1"/>
    <s v="Government ZC Bonds - Obligations"/>
    <n v="384879.89533189399"/>
    <n v="0.64999999999999902"/>
    <n v="3.4299999999999997E-2"/>
    <n v="13201.380409883899"/>
    <n v="3564.3727106686702"/>
    <n v="9637.0076992153008"/>
    <n v="394516.90303110902"/>
    <n v="781873.63388751901"/>
    <m/>
    <m/>
    <m/>
    <m/>
    <m/>
    <m/>
    <m/>
    <m/>
  </r>
  <r>
    <x v="13"/>
    <x v="0"/>
    <s v="Emerging Markets - Equities"/>
    <n v="98409.59"/>
    <n v="0.142307513804355"/>
    <n v="6.3E-2"/>
    <n v="6199.8041699999803"/>
    <n v="1053.96670889999"/>
    <n v="5145.8374610999899"/>
    <n v="103555.427461099"/>
    <n v="880780.64857429103"/>
    <m/>
    <m/>
    <n v="12"/>
    <n v="85899.2987181239"/>
    <m/>
    <m/>
    <m/>
    <m/>
  </r>
  <r>
    <x v="13"/>
    <x v="1"/>
    <s v="Emerging Markets - Equities"/>
    <n v="203700.56"/>
    <n v="0.2945660098183"/>
    <n v="6.3E-2"/>
    <n v="12833.1352799999"/>
    <n v="3464.9465255999899"/>
    <n v="9368.1887543999892"/>
    <n v="213068.7487544"/>
    <n v="880780.64857429103"/>
    <m/>
    <m/>
    <n v="12"/>
    <n v="85899.2987181239"/>
    <m/>
    <m/>
    <m/>
    <m/>
  </r>
  <r>
    <x v="13"/>
    <x v="0"/>
    <s v="Developed Markets - Equities"/>
    <n v="497.42"/>
    <n v="7.19305948907645E-4"/>
    <n v="6.3E-2"/>
    <n v="31.33746"/>
    <n v="5.3273682000000004"/>
    <n v="26.010091800000001"/>
    <n v="523.43009180000001"/>
    <n v="880780.64857429103"/>
    <m/>
    <m/>
    <n v="12"/>
    <n v="85899.2987181239"/>
    <m/>
    <m/>
    <m/>
    <m/>
  </r>
  <r>
    <x v="13"/>
    <x v="1"/>
    <s v="Developed Markets - Equities"/>
    <n v="1029.6300000000001"/>
    <n v="1.48892079967387E-3"/>
    <n v="6.3E-2"/>
    <n v="64.866690000000006"/>
    <n v="17.514006299999998"/>
    <n v="47.3526837"/>
    <n v="1076.9826837000001"/>
    <n v="880780.64857429103"/>
    <m/>
    <m/>
    <n v="12"/>
    <n v="85899.2987181239"/>
    <m/>
    <m/>
    <m/>
    <m/>
  </r>
  <r>
    <x v="13"/>
    <x v="1"/>
    <s v="Emerging Markets State - Obligations"/>
    <n v="910.73068673478997"/>
    <n v="1.3169836372101599E-3"/>
    <n v="3.4299999999999997E-2"/>
    <n v="31.2380625550033"/>
    <n v="8.4342768898508993"/>
    <n v="22.8037856651524"/>
    <n v="933.53447239994296"/>
    <n v="880780.64857429103"/>
    <m/>
    <m/>
    <n v="12"/>
    <n v="85899.2987181239"/>
    <m/>
    <m/>
    <m/>
    <m/>
  </r>
  <r>
    <x v="13"/>
    <x v="1"/>
    <s v="High Yield Bonds - Obligations"/>
    <n v="1760.5701881856801"/>
    <n v="2.5459141366077202E-3"/>
    <n v="3.4299999999999997E-2"/>
    <n v="60.387557454768903"/>
    <n v="16.3046405127876"/>
    <n v="44.082916941981303"/>
    <n v="1804.65310512766"/>
    <n v="880780.64857429103"/>
    <m/>
    <m/>
    <n v="12"/>
    <n v="85899.2987181239"/>
    <m/>
    <m/>
    <m/>
    <m/>
  </r>
  <r>
    <x v="13"/>
    <x v="1"/>
    <s v="Investment Grade Bonds - Obligations"/>
    <n v="379.78360666245197"/>
    <n v="5.4919506165796198E-4"/>
    <n v="3.4299999999999997E-2"/>
    <n v="13.026577708522"/>
    <n v="3.51717598130096"/>
    <n v="9.50940172722113"/>
    <n v="389.29300838967299"/>
    <n v="880780.64857429103"/>
    <m/>
    <m/>
    <n v="12"/>
    <n v="85899.2987181239"/>
    <m/>
    <m/>
    <m/>
    <m/>
  </r>
  <r>
    <x v="13"/>
    <x v="1"/>
    <s v="Government ZC Bonds - Obligations"/>
    <n v="384839.42536896799"/>
    <n v="0.55650614780688101"/>
    <n v="3.4299999999999997E-2"/>
    <n v="13199.9922901556"/>
    <n v="3563.9979183420101"/>
    <n v="9635.9943718135892"/>
    <n v="394475.419740782"/>
    <n v="880780.64857429103"/>
    <m/>
    <m/>
    <n v="12"/>
    <n v="85899.2987181239"/>
    <m/>
    <m/>
    <m/>
    <m/>
  </r>
  <r>
    <x v="14"/>
    <x v="0"/>
    <s v="Emerging Markets - Equities"/>
    <n v="110877.23"/>
    <n v="0.154380255317176"/>
    <n v="6.3E-2"/>
    <n v="6985.2654899999898"/>
    <n v="1187.4951332999899"/>
    <n v="5797.7703566999899"/>
    <n v="116675.00035669999"/>
    <n v="992199.40061893803"/>
    <m/>
    <m/>
    <m/>
    <m/>
    <m/>
    <m/>
    <m/>
    <m/>
  </r>
  <r>
    <x v="14"/>
    <x v="1"/>
    <s v="Emerging Markets - Equities"/>
    <n v="292910.84000000003"/>
    <n v="0.40783531717349603"/>
    <n v="6.3E-2"/>
    <n v="18453.38292"/>
    <n v="4982.4133884000003"/>
    <n v="13470.9695316"/>
    <n v="306381.80953159998"/>
    <n v="992199.40061893803"/>
    <m/>
    <m/>
    <m/>
    <m/>
    <m/>
    <m/>
    <m/>
    <m/>
  </r>
  <r>
    <x v="14"/>
    <x v="0"/>
    <s v="Developed Markets - Equities"/>
    <n v="541.52"/>
    <n v="7.5398705270106E-4"/>
    <n v="6.3E-2"/>
    <n v="34.115760000000002"/>
    <n v="5.7996791999999999"/>
    <n v="28.316080800000002"/>
    <n v="569.83608079999999"/>
    <n v="992199.40061893803"/>
    <m/>
    <m/>
    <m/>
    <m/>
    <m/>
    <m/>
    <m/>
    <m/>
  </r>
  <r>
    <x v="14"/>
    <x v="1"/>
    <s v="Developed Markets - Equities"/>
    <n v="1430.56"/>
    <n v="1.99184465599059E-3"/>
    <n v="6.3E-2"/>
    <n v="90.125279999999904"/>
    <n v="24.333825599999901"/>
    <n v="65.791454399999907"/>
    <n v="1496.3514544"/>
    <n v="992199.40061893803"/>
    <m/>
    <m/>
    <m/>
    <m/>
    <m/>
    <m/>
    <m/>
    <m/>
  </r>
  <r>
    <x v="14"/>
    <x v="1"/>
    <s v="Emerging Markets State - Obligations"/>
    <n v="454.40768075452399"/>
    <n v="6.3269594463145895E-4"/>
    <n v="3.4299999999999997E-2"/>
    <n v="15.5861834498801"/>
    <n v="4.2082695314676499"/>
    <n v="11.377913918412499"/>
    <n v="465.78559467293599"/>
    <n v="992199.40061893803"/>
    <m/>
    <m/>
    <m/>
    <m/>
    <m/>
    <m/>
    <m/>
    <m/>
  </r>
  <r>
    <x v="14"/>
    <x v="1"/>
    <s v="High Yield Bonds - Obligations"/>
    <n v="1789.3317971870899"/>
    <n v="2.4913816813144198E-3"/>
    <n v="3.4299999999999997E-2"/>
    <n v="61.374080643517097"/>
    <n v="16.5710017737496"/>
    <n v="44.803078869767397"/>
    <n v="1834.1348760568501"/>
    <n v="992199.40061893803"/>
    <m/>
    <m/>
    <m/>
    <m/>
    <m/>
    <m/>
    <m/>
    <m/>
  </r>
  <r>
    <x v="14"/>
    <x v="1"/>
    <s v="Investment Grade Bonds - Obligations"/>
    <n v="686.35196543091399"/>
    <n v="9.5564428927986901E-4"/>
    <n v="3.4299999999999997E-2"/>
    <n v="23.541872414280299"/>
    <n v="6.3563055518556801"/>
    <n v="17.185566862424601"/>
    <n v="703.53753229333802"/>
    <n v="992199.40061893803"/>
    <m/>
    <m/>
    <m/>
    <m/>
    <m/>
    <m/>
    <m/>
    <m/>
  </r>
  <r>
    <x v="14"/>
    <x v="1"/>
    <s v="Government ZC Bonds - Obligations"/>
    <n v="309518.37138914003"/>
    <n v="0.43095886504751502"/>
    <n v="3.4299999999999997E-2"/>
    <n v="10616.480138647499"/>
    <n v="2866.44963743483"/>
    <n v="7750.0305012127001"/>
    <n v="317268.40189035301"/>
    <n v="992199.40061893803"/>
    <m/>
    <m/>
    <m/>
    <m/>
    <m/>
    <m/>
    <m/>
    <m/>
  </r>
  <r>
    <x v="15"/>
    <x v="0"/>
    <s v="Emerging Markets - Equities"/>
    <n v="125086.83"/>
    <n v="0.149883910384908"/>
    <n v="6.3E-2"/>
    <n v="7880.4702899999802"/>
    <n v="1339.6799492999901"/>
    <n v="6540.7903406999803"/>
    <n v="131627.6203407"/>
    <n v="1117712.6247972299"/>
    <m/>
    <m/>
    <m/>
    <m/>
    <m/>
    <m/>
    <m/>
    <m/>
  </r>
  <r>
    <x v="15"/>
    <x v="1"/>
    <s v="Emerging Markets - Equities"/>
    <n v="385019.06"/>
    <n v="0.46134482971166402"/>
    <n v="6.3E-2"/>
    <n v="24256.200779999901"/>
    <n v="6549.1742105999801"/>
    <n v="17707.026569399899"/>
    <n v="402726.08656939998"/>
    <n v="1117712.6247972299"/>
    <m/>
    <m/>
    <m/>
    <m/>
    <m/>
    <m/>
    <m/>
    <m/>
  </r>
  <r>
    <x v="15"/>
    <x v="0"/>
    <s v="Developed Markets - Equities"/>
    <n v="426.39"/>
    <n v="5.1091710093717501E-4"/>
    <n v="6.3E-2"/>
    <n v="26.862569999999899"/>
    <n v="4.56663689999999"/>
    <n v="22.2959330999999"/>
    <n v="448.68593309999898"/>
    <n v="1117712.6247972299"/>
    <m/>
    <m/>
    <m/>
    <m/>
    <m/>
    <m/>
    <m/>
    <m/>
  </r>
  <r>
    <x v="15"/>
    <x v="1"/>
    <s v="Developed Markets - Equities"/>
    <n v="1312.43"/>
    <n v="1.57260472990214E-3"/>
    <n v="6.3E-2"/>
    <n v="82.683089999999893"/>
    <n v="22.324434299999901"/>
    <n v="60.3586557"/>
    <n v="1372.7886556999999"/>
    <n v="1117712.6247972299"/>
    <m/>
    <m/>
    <m/>
    <m/>
    <m/>
    <m/>
    <m/>
    <m/>
  </r>
  <r>
    <x v="15"/>
    <x v="1"/>
    <s v="Emerging Markets State - Obligations"/>
    <n v="792.30455614255902"/>
    <n v="9.4937017022836303E-4"/>
    <n v="3.4299999999999997E-2"/>
    <n v="27.176046275689799"/>
    <n v="7.3375324944362497"/>
    <n v="19.8385137812535"/>
    <n v="812.14306992381205"/>
    <n v="1117712.6247972299"/>
    <m/>
    <m/>
    <m/>
    <m/>
    <m/>
    <m/>
    <m/>
    <m/>
  </r>
  <r>
    <x v="15"/>
    <x v="1"/>
    <s v="High Yield Bonds - Obligations"/>
    <n v="1897.8817366314399"/>
    <n v="2.27411579727796E-3"/>
    <n v="3.4299999999999997E-2"/>
    <n v="65.097343566458605"/>
    <n v="17.576282762943801"/>
    <n v="47.5210608035148"/>
    <n v="1945.4027974349599"/>
    <n v="1117712.6247972299"/>
    <m/>
    <m/>
    <m/>
    <m/>
    <m/>
    <m/>
    <m/>
    <m/>
  </r>
  <r>
    <x v="15"/>
    <x v="1"/>
    <s v="Investment Grade Bonds - Obligations"/>
    <n v="1197.3598905559099"/>
    <n v="1.43472324412223E-3"/>
    <n v="3.4299999999999997E-2"/>
    <n v="41.069444246067803"/>
    <n v="11.0887499464383"/>
    <n v="29.980694299629501"/>
    <n v="1227.3405848555401"/>
    <n v="1117712.6247972299"/>
    <m/>
    <m/>
    <m/>
    <m/>
    <m/>
    <m/>
    <m/>
    <m/>
  </r>
  <r>
    <x v="15"/>
    <x v="1"/>
    <s v="Government ZC Bonds - Obligations"/>
    <n v="318825.82318318699"/>
    <n v="0.382029515900144"/>
    <n v="3.4299999999999997E-2"/>
    <n v="10935.7257351833"/>
    <n v="2952.6459484994998"/>
    <n v="7983.0797866838302"/>
    <n v="326808.90296987101"/>
    <n v="1117712.6247972299"/>
    <m/>
    <m/>
    <m/>
    <m/>
    <m/>
    <m/>
    <m/>
    <m/>
  </r>
  <r>
    <x v="16"/>
    <x v="0"/>
    <s v="Emerging Markets - Equities"/>
    <n v="140421.51"/>
    <n v="0.146727285884447"/>
    <n v="6.3E-2"/>
    <n v="8846.5551299999897"/>
    <n v="1503.91437209999"/>
    <n v="7342.6407578999897"/>
    <n v="147764.1507579"/>
    <n v="1259103.2718340801"/>
    <m/>
    <m/>
    <m/>
    <m/>
    <m/>
    <m/>
    <m/>
    <m/>
  </r>
  <r>
    <x v="16"/>
    <x v="1"/>
    <s v="Emerging Markets - Equities"/>
    <n v="478961.69"/>
    <n v="0.50046996942511301"/>
    <n v="6.3E-2"/>
    <n v="30174.5864699999"/>
    <n v="8147.1383468999902"/>
    <n v="22027.448123099901"/>
    <n v="500989.13812309998"/>
    <n v="1259103.2718340801"/>
    <m/>
    <m/>
    <m/>
    <m/>
    <m/>
    <m/>
    <m/>
    <m/>
  </r>
  <r>
    <x v="16"/>
    <x v="0"/>
    <s v="Developed Markets - Equities"/>
    <n v="969.13"/>
    <n v="1.0126498039309999E-3"/>
    <n v="6.3E-2"/>
    <n v="61.055189999999897"/>
    <n v="10.3793822999999"/>
    <n v="50.675807699999901"/>
    <n v="1019.8058076999999"/>
    <n v="1259103.2718340801"/>
    <m/>
    <m/>
    <m/>
    <m/>
    <m/>
    <m/>
    <m/>
    <m/>
  </r>
  <r>
    <x v="16"/>
    <x v="1"/>
    <s v="Developed Markets - Equities"/>
    <n v="3305.61"/>
    <n v="3.4540519005420798E-3"/>
    <n v="6.3E-2"/>
    <n v="208.25342999999901"/>
    <n v="56.228426099999901"/>
    <n v="152.02500389999901"/>
    <n v="3457.6350038999999"/>
    <n v="1259103.2718340801"/>
    <m/>
    <m/>
    <m/>
    <m/>
    <m/>
    <m/>
    <m/>
    <m/>
  </r>
  <r>
    <x v="16"/>
    <x v="1"/>
    <s v="Emerging Markets State - Obligations"/>
    <n v="10756.1279883273"/>
    <n v="1.12391432505818E-2"/>
    <n v="3.4299999999999997E-2"/>
    <n v="368.93518999962703"/>
    <n v="99.612501299899293"/>
    <n v="269.322688699727"/>
    <n v="11025.450677027"/>
    <n v="1259103.2718340801"/>
    <m/>
    <m/>
    <m/>
    <m/>
    <m/>
    <m/>
    <m/>
    <m/>
  </r>
  <r>
    <x v="16"/>
    <x v="1"/>
    <s v="High Yield Bonds - Obligations"/>
    <n v="11334.718632341601"/>
    <n v="1.18437161171915E-2"/>
    <n v="3.4299999999999997E-2"/>
    <n v="388.78084908931999"/>
    <n v="104.970829254116"/>
    <n v="283.81001983520298"/>
    <n v="11618.528652176899"/>
    <n v="1259103.2718340801"/>
    <m/>
    <m/>
    <m/>
    <m/>
    <m/>
    <m/>
    <m/>
    <m/>
  </r>
  <r>
    <x v="16"/>
    <x v="1"/>
    <s v="Investment Grade Bonds - Obligations"/>
    <n v="2241.1080465678301"/>
    <n v="2.3417473651059198E-3"/>
    <n v="3.4299999999999997E-2"/>
    <n v="76.870005997276607"/>
    <n v="20.754901619264601"/>
    <n v="56.1151043780119"/>
    <n v="2297.2231509458402"/>
    <n v="1259103.2718340801"/>
    <m/>
    <m/>
    <m/>
    <m/>
    <m/>
    <m/>
    <m/>
    <m/>
  </r>
  <r>
    <x v="16"/>
    <x v="1"/>
    <s v="Government ZC Bonds - Obligations"/>
    <n v="309033.93246263498"/>
    <n v="0.32291142686359298"/>
    <n v="3.4299999999999997E-2"/>
    <n v="10599.863883468301"/>
    <n v="2861.96324853646"/>
    <n v="7737.9006349319097"/>
    <n v="316771.83309756703"/>
    <n v="1259103.2718340801"/>
    <m/>
    <m/>
    <m/>
    <m/>
    <m/>
    <m/>
    <m/>
    <m/>
  </r>
  <r>
    <x v="17"/>
    <x v="0"/>
    <s v="Emerging Markets - Equities"/>
    <n v="158949.82999999999"/>
    <n v="0.146376231842474"/>
    <n v="6.3E-2"/>
    <n v="10013.83929"/>
    <n v="1702.3526793000001"/>
    <n v="8311.4866106999998"/>
    <n v="167261.316610699"/>
    <n v="1418379.83572109"/>
    <m/>
    <m/>
    <m/>
    <m/>
    <m/>
    <m/>
    <m/>
    <m/>
  </r>
  <r>
    <x v="17"/>
    <x v="1"/>
    <s v="Emerging Markets - Equities"/>
    <n v="574151.81000000006"/>
    <n v="0.52873399394850595"/>
    <n v="6.3E-2"/>
    <n v="36171.564030000001"/>
    <n v="9766.3222881000002"/>
    <n v="26405.241741900001"/>
    <n v="600557.05174190004"/>
    <n v="1418379.83572109"/>
    <m/>
    <m/>
    <m/>
    <m/>
    <m/>
    <m/>
    <m/>
    <m/>
  </r>
  <r>
    <x v="17"/>
    <x v="0"/>
    <s v="Developed Markets - Equities"/>
    <n v="326.73"/>
    <n v="3.0088428675822699E-4"/>
    <n v="6.3E-2"/>
    <n v="20.583989999999901"/>
    <n v="3.4992782999999901"/>
    <n v="17.0847116999999"/>
    <n v="343.81471169999998"/>
    <n v="1418379.83572109"/>
    <m/>
    <m/>
    <m/>
    <m/>
    <m/>
    <m/>
    <m/>
    <m/>
  </r>
  <r>
    <x v="17"/>
    <x v="1"/>
    <s v="Developed Markets - Equities"/>
    <n v="1180.22"/>
    <n v="1.08685964838795E-3"/>
    <n v="6.3E-2"/>
    <n v="74.353859999999898"/>
    <n v="20.075542199999902"/>
    <n v="54.278317799999897"/>
    <n v="1234.4983178"/>
    <n v="1418379.83572109"/>
    <m/>
    <m/>
    <m/>
    <m/>
    <m/>
    <m/>
    <m/>
    <m/>
  </r>
  <r>
    <x v="17"/>
    <x v="1"/>
    <s v="Emerging Markets State - Obligations"/>
    <n v="4453.0917720355801"/>
    <n v="4.1008335374708698E-3"/>
    <n v="3.4299999999999997E-2"/>
    <n v="152.74104778082"/>
    <n v="41.240082900821598"/>
    <n v="111.500964879999"/>
    <n v="4564.5927369155797"/>
    <n v="1418379.83572109"/>
    <m/>
    <m/>
    <m/>
    <m/>
    <m/>
    <m/>
    <m/>
    <m/>
  </r>
  <r>
    <x v="17"/>
    <x v="1"/>
    <s v="High Yield Bonds - Obligations"/>
    <n v="1917.72019775085"/>
    <n v="1.766020487565E-3"/>
    <n v="3.4299999999999997E-2"/>
    <n v="65.777802782854394"/>
    <n v="17.7600067513707"/>
    <n v="48.017796031483698"/>
    <n v="1965.73799378234"/>
    <n v="1418379.83572109"/>
    <m/>
    <m/>
    <m/>
    <m/>
    <m/>
    <m/>
    <m/>
    <m/>
  </r>
  <r>
    <x v="17"/>
    <x v="1"/>
    <s v="Investment Grade Bonds - Obligations"/>
    <n v="5492.9018769665699"/>
    <n v="5.0583903023414404E-3"/>
    <n v="3.4299999999999997E-2"/>
    <n v="188.406534379953"/>
    <n v="50.869764282587496"/>
    <n v="137.536770097366"/>
    <n v="5630.4386470639402"/>
    <n v="1418379.83572109"/>
    <m/>
    <m/>
    <m/>
    <m/>
    <m/>
    <m/>
    <m/>
    <m/>
  </r>
  <r>
    <x v="17"/>
    <x v="1"/>
    <s v="Government ZC Bonds - Obligations"/>
    <n v="339426.87835179799"/>
    <n v="0.312576788784172"/>
    <n v="3.4299999999999997E-2"/>
    <n v="11642.341927466599"/>
    <n v="3143.432320416"/>
    <n v="8498.9096070506694"/>
    <n v="347925.787958848"/>
    <n v="1418379.83572109"/>
    <m/>
    <m/>
    <m/>
    <m/>
    <m/>
    <m/>
    <m/>
    <m/>
  </r>
  <r>
    <x v="18"/>
    <x v="0"/>
    <s v="Emerging Markets - Equities"/>
    <n v="179242.26"/>
    <n v="0.14567286011930999"/>
    <n v="6.3E-2"/>
    <n v="11292.26238"/>
    <n v="1919.6846046000001"/>
    <n v="9372.5777753999992"/>
    <n v="188614.8377754"/>
    <n v="1597804.88493981"/>
    <m/>
    <m/>
    <m/>
    <m/>
    <n v="27.272727272727199"/>
    <n v="349370.89466904901"/>
    <m/>
    <m/>
  </r>
  <r>
    <x v="18"/>
    <x v="1"/>
    <s v="Emerging Markets - Equities"/>
    <n v="709708.79"/>
    <n v="0.57679092693383305"/>
    <n v="6.3E-2"/>
    <n v="44711.653769999903"/>
    <n v="12072.146517899901"/>
    <n v="32639.507252099898"/>
    <n v="742348.29725209996"/>
    <n v="1597804.88493981"/>
    <m/>
    <m/>
    <m/>
    <m/>
    <n v="27.272727272727199"/>
    <n v="349370.89466904901"/>
    <m/>
    <m/>
  </r>
  <r>
    <x v="18"/>
    <x v="0"/>
    <s v="Developed Markets - Equities"/>
    <n v="182.79"/>
    <n v="1.4855616137181399E-4"/>
    <n v="6.3E-2"/>
    <n v="11.51577"/>
    <n v="1.9576808999999999"/>
    <n v="9.5580891000000001"/>
    <n v="192.34808909999899"/>
    <n v="1597804.88493981"/>
    <m/>
    <m/>
    <m/>
    <m/>
    <n v="27.272727272727199"/>
    <n v="349370.89466904901"/>
    <m/>
    <m/>
  </r>
  <r>
    <x v="18"/>
    <x v="1"/>
    <s v="Developed Markets - Equities"/>
    <n v="723.74"/>
    <n v="5.8819430073437902E-4"/>
    <n v="6.3E-2"/>
    <n v="45.595619999999897"/>
    <n v="12.3108173999999"/>
    <n v="33.2848025999999"/>
    <n v="757.02480259999902"/>
    <n v="1597804.88493981"/>
    <m/>
    <m/>
    <m/>
    <m/>
    <n v="27.272727272727199"/>
    <n v="349370.89466904901"/>
    <m/>
    <m/>
  </r>
  <r>
    <x v="18"/>
    <x v="1"/>
    <s v="Emerging Markets State - Obligations"/>
    <n v="2178.0964065174999"/>
    <n v="1.7701714604189699E-3"/>
    <n v="3.4299999999999997E-2"/>
    <n v="74.708706743550394"/>
    <n v="20.171350820758601"/>
    <n v="54.537355922791797"/>
    <n v="2232.63376244029"/>
    <n v="1597804.88493981"/>
    <m/>
    <m/>
    <m/>
    <m/>
    <n v="27.272727272727199"/>
    <n v="349370.89466904901"/>
    <m/>
    <m/>
  </r>
  <r>
    <x v="18"/>
    <x v="1"/>
    <s v="High Yield Bonds - Obligations"/>
    <n v="2948.6509986309802"/>
    <n v="2.3964126789309398E-3"/>
    <n v="3.4299999999999997E-2"/>
    <n v="101.138729253043"/>
    <n v="27.3074568983216"/>
    <n v="73.831272354721406"/>
    <n v="3022.4822709857099"/>
    <n v="1597804.88493981"/>
    <m/>
    <m/>
    <m/>
    <m/>
    <n v="27.272727272727199"/>
    <n v="349370.89466904901"/>
    <m/>
    <m/>
  </r>
  <r>
    <x v="18"/>
    <x v="1"/>
    <s v="Investment Grade Bonds - Obligations"/>
    <n v="1112.8581228228099"/>
    <n v="9.0443640723234604E-4"/>
    <n v="3.4299999999999997E-2"/>
    <n v="38.171033612822299"/>
    <n v="10.306179075462"/>
    <n v="27.864854537360301"/>
    <n v="1140.72297736017"/>
    <n v="1597804.88493981"/>
    <m/>
    <m/>
    <m/>
    <m/>
    <n v="27.272727272727199"/>
    <n v="349370.89466904901"/>
    <m/>
    <m/>
  </r>
  <r>
    <x v="18"/>
    <x v="1"/>
    <s v="Government ZC Bonds - Obligations"/>
    <n v="334346.56325908401"/>
    <n v="0.271728442505761"/>
    <n v="3.4299999999999997E-2"/>
    <n v="11468.0871197865"/>
    <n v="3096.3835223423798"/>
    <n v="8371.7035974442097"/>
    <n v="342718.266856528"/>
    <n v="1597804.88493981"/>
    <m/>
    <m/>
    <m/>
    <m/>
    <n v="27.272727272727199"/>
    <n v="349370.89466904901"/>
    <m/>
    <m/>
  </r>
  <r>
    <x v="19"/>
    <x v="0"/>
    <s v="Emerging Markets - Equities"/>
    <n v="202019.5"/>
    <n v="0.195447417659908"/>
    <n v="6.3E-2"/>
    <n v="12727.228499999899"/>
    <n v="2163.6288449999902"/>
    <n v="10563.5996549999"/>
    <n v="212583.099655"/>
    <n v="1799927.2028846999"/>
    <m/>
    <m/>
    <m/>
    <m/>
    <m/>
    <m/>
    <m/>
    <m/>
  </r>
  <r>
    <x v="19"/>
    <x v="1"/>
    <s v="Emerging Markets - Equities"/>
    <n v="726057.82"/>
    <n v="0.70243776462560703"/>
    <n v="6.3E-2"/>
    <n v="45741.642659999998"/>
    <n v="12350.243518200001"/>
    <n v="33391.399141800001"/>
    <n v="759449.21914179996"/>
    <n v="1799927.2028846999"/>
    <m/>
    <m/>
    <m/>
    <m/>
    <m/>
    <m/>
    <m/>
    <m/>
  </r>
  <r>
    <x v="19"/>
    <x v="0"/>
    <s v="Developed Markets - Equities"/>
    <n v="102.82"/>
    <n v="9.9475067920630605E-5"/>
    <n v="6.3E-2"/>
    <n v="6.4776600000000002"/>
    <n v="1.1012021999999999"/>
    <n v="5.3764577999999998"/>
    <n v="108.196457799999"/>
    <n v="1799927.2028846999"/>
    <m/>
    <m/>
    <m/>
    <m/>
    <m/>
    <m/>
    <m/>
    <m/>
  </r>
  <r>
    <x v="19"/>
    <x v="1"/>
    <s v="Developed Markets - Equities"/>
    <n v="369.53"/>
    <n v="3.57508479368903E-4"/>
    <n v="6.3E-2"/>
    <n v="23.280389999999901"/>
    <n v="6.2857052999999796"/>
    <n v="16.994684699999901"/>
    <n v="386.524684699999"/>
    <n v="1799927.2028846999"/>
    <m/>
    <m/>
    <m/>
    <m/>
    <m/>
    <m/>
    <m/>
    <m/>
  </r>
  <r>
    <x v="19"/>
    <x v="1"/>
    <s v="Emerging Markets State - Obligations"/>
    <n v="21594.706659242798"/>
    <n v="2.0892189376135701E-2"/>
    <n v="3.4299999999999997E-2"/>
    <n v="740.69843841202896"/>
    <n v="199.988578371248"/>
    <n v="540.709860040781"/>
    <n v="22135.416519283601"/>
    <n v="1799927.2028846999"/>
    <m/>
    <m/>
    <m/>
    <m/>
    <m/>
    <m/>
    <m/>
    <m/>
  </r>
  <r>
    <x v="19"/>
    <x v="1"/>
    <s v="High Yield Bonds - Obligations"/>
    <n v="22440.743983428201"/>
    <n v="2.1710703481239001E-2"/>
    <n v="3.4299999999999997E-2"/>
    <n v="769.71751863158704"/>
    <n v="207.823730030528"/>
    <n v="561.89378860105796"/>
    <n v="23002.6377720292"/>
    <n v="1799927.2028846999"/>
    <m/>
    <m/>
    <m/>
    <m/>
    <m/>
    <m/>
    <m/>
    <m/>
  </r>
  <r>
    <x v="19"/>
    <x v="1"/>
    <s v="Investment Grade Bonds - Obligations"/>
    <n v="37037.633186209401"/>
    <n v="3.58327278430031E-2"/>
    <n v="3.4299999999999997E-2"/>
    <n v="1270.39081828698"/>
    <n v="343.00552093748598"/>
    <n v="927.38529734949896"/>
    <n v="37965.018483558903"/>
    <n v="1799927.2028846999"/>
    <m/>
    <m/>
    <m/>
    <m/>
    <m/>
    <m/>
    <m/>
    <m/>
  </r>
  <r>
    <x v="19"/>
    <x v="1"/>
    <s v="Government ZC Bonds - Obligations"/>
    <n v="24003.077064201701"/>
    <n v="2.3222210866228301E-2"/>
    <n v="3.4299999999999997E-2"/>
    <n v="823.30554330212101"/>
    <n v="222.29249669157201"/>
    <n v="601.01304661054803"/>
    <n v="24604.0901108123"/>
    <n v="1799927.2028846999"/>
    <m/>
    <m/>
    <m/>
    <m/>
    <m/>
    <m/>
    <m/>
    <m/>
  </r>
  <r>
    <x v="20"/>
    <x v="0"/>
    <s v="Emerging Markets - Equities"/>
    <n v="226544.21"/>
    <n v="0.19146349843368701"/>
    <n v="6.3E-2"/>
    <n v="14272.285229999899"/>
    <n v="2426.2884890999899"/>
    <n v="11845.9967408999"/>
    <n v="238390.20674089901"/>
    <n v="2027617.9940496101"/>
    <m/>
    <m/>
    <m/>
    <m/>
    <m/>
    <m/>
    <m/>
    <m/>
  </r>
  <r>
    <x v="20"/>
    <x v="1"/>
    <s v="Emerging Markets - Equities"/>
    <n v="895339.35"/>
    <n v="0.75669470535726102"/>
    <n v="6.3E-2"/>
    <n v="56406.379049999901"/>
    <n v="15229.7223434999"/>
    <n v="41176.656706499904"/>
    <n v="936516.00670649996"/>
    <n v="2027617.9940496101"/>
    <m/>
    <m/>
    <m/>
    <m/>
    <m/>
    <m/>
    <m/>
    <m/>
  </r>
  <r>
    <x v="20"/>
    <x v="0"/>
    <s v="Developed Markets - Equities"/>
    <n v="1146.58"/>
    <n v="9.6903036292164397E-4"/>
    <n v="6.3E-2"/>
    <n v="72.234539999999896"/>
    <n v="12.279871799999899"/>
    <n v="59.954668199999901"/>
    <n v="1206.5346681999999"/>
    <n v="2027617.9940496101"/>
    <m/>
    <m/>
    <m/>
    <m/>
    <m/>
    <m/>
    <m/>
    <m/>
  </r>
  <r>
    <x v="20"/>
    <x v="1"/>
    <s v="Developed Markets - Equities"/>
    <n v="4531.4799999999996"/>
    <n v="3.82977350814785E-3"/>
    <n v="6.3E-2"/>
    <n v="285.483239999999"/>
    <n v="77.080474799999806"/>
    <n v="208.40276519999901"/>
    <n v="4739.88276519999"/>
    <n v="2027617.9940496101"/>
    <m/>
    <m/>
    <m/>
    <m/>
    <m/>
    <m/>
    <m/>
    <m/>
  </r>
  <r>
    <x v="20"/>
    <x v="1"/>
    <s v="Emerging Markets State - Obligations"/>
    <n v="3586.8073220215101"/>
    <n v="3.0313848148306299E-3"/>
    <n v="3.4299999999999997E-2"/>
    <n v="123.027491145337"/>
    <n v="33.217422609241197"/>
    <n v="89.810068536096693"/>
    <n v="3676.6173905576002"/>
    <n v="2027617.9940496101"/>
    <m/>
    <m/>
    <m/>
    <m/>
    <m/>
    <m/>
    <m/>
    <m/>
  </r>
  <r>
    <x v="20"/>
    <x v="1"/>
    <s v="High Yield Bonds - Obligations"/>
    <n v="503.67373678569498"/>
    <n v="4.25679101285164E-4"/>
    <n v="3.4299999999999997E-2"/>
    <n v="17.276009171749301"/>
    <n v="4.6645224763723201"/>
    <n v="12.611486695377"/>
    <n v="516.28522348107197"/>
    <n v="2027617.9940496101"/>
    <m/>
    <m/>
    <m/>
    <m/>
    <m/>
    <m/>
    <m/>
    <m/>
  </r>
  <r>
    <x v="20"/>
    <x v="1"/>
    <s v="Investment Grade Bonds - Obligations"/>
    <n v="16167.1785391305"/>
    <n v="1.3663666632239099E-2"/>
    <n v="3.4299999999999997E-2"/>
    <n v="554.53422389217997"/>
    <n v="149.724240450888"/>
    <n v="404.80998344129102"/>
    <n v="16571.988522571799"/>
    <n v="2027617.9940496101"/>
    <m/>
    <m/>
    <m/>
    <m/>
    <m/>
    <m/>
    <m/>
    <m/>
  </r>
  <r>
    <x v="20"/>
    <x v="1"/>
    <s v="Government ZC Bonds - Obligations"/>
    <n v="35404.736223036401"/>
    <n v="2.99222595818469E-2"/>
    <n v="3.4299999999999997E-2"/>
    <n v="1214.3824524501399"/>
    <n v="327.88326216153899"/>
    <n v="886.499190288607"/>
    <n v="36291.235413324997"/>
    <n v="2027617.9940496101"/>
    <m/>
    <m/>
    <m/>
    <m/>
    <m/>
    <m/>
    <m/>
    <m/>
  </r>
  <r>
    <x v="21"/>
    <x v="0"/>
    <s v="Emerging Markets - Equities"/>
    <n v="253910.61"/>
    <n v="0.18921322220242401"/>
    <n v="6.3E-2"/>
    <n v="15996.3684299999"/>
    <n v="2719.38263309999"/>
    <n v="13276.9857968999"/>
    <n v="267187.59579689999"/>
    <n v="2284111.6702968902"/>
    <m/>
    <m/>
    <m/>
    <m/>
    <m/>
    <m/>
    <m/>
    <m/>
  </r>
  <r>
    <x v="21"/>
    <x v="1"/>
    <s v="Emerging Markets - Equities"/>
    <n v="1053569.93"/>
    <n v="0.78511631030654105"/>
    <n v="6.3E-2"/>
    <n v="66374.905589999806"/>
    <n v="17961.692648080301"/>
    <n v="48413.212941919403"/>
    <n v="1101983.1429419101"/>
    <n v="2284111.6702968902"/>
    <m/>
    <m/>
    <m/>
    <m/>
    <m/>
    <m/>
    <m/>
    <m/>
  </r>
  <r>
    <x v="21"/>
    <x v="0"/>
    <s v="Developed Markets - Equities"/>
    <n v="2583.0700000000002"/>
    <n v="1.9248939533263901E-3"/>
    <n v="6.3E-2"/>
    <n v="162.733409999999"/>
    <n v="27.664679699999901"/>
    <n v="135.068730299999"/>
    <n v="2718.1387303000001"/>
    <n v="2284111.6702968902"/>
    <m/>
    <m/>
    <m/>
    <m/>
    <m/>
    <m/>
    <m/>
    <m/>
  </r>
  <r>
    <x v="21"/>
    <x v="1"/>
    <s v="Developed Markets - Equities"/>
    <n v="10718.12"/>
    <n v="7.9871023158593207E-3"/>
    <n v="6.3E-2"/>
    <n v="675.241559999998"/>
    <n v="182.72690945654"/>
    <n v="492.514650543458"/>
    <n v="11210.634650543399"/>
    <n v="2284111.6702968902"/>
    <m/>
    <m/>
    <m/>
    <m/>
    <m/>
    <m/>
    <m/>
    <m/>
  </r>
  <r>
    <x v="21"/>
    <x v="1"/>
    <s v="Emerging Markets State - Obligations"/>
    <n v="4297.1909113888296"/>
    <n v="3.2022503461468402E-3"/>
    <n v="3.4299999999999997E-2"/>
    <n v="147.39364826063601"/>
    <n v="39.886149513946599"/>
    <n v="107.50749874669"/>
    <n v="4404.6984101355201"/>
    <n v="2284111.6702968902"/>
    <m/>
    <m/>
    <m/>
    <m/>
    <m/>
    <m/>
    <m/>
    <m/>
  </r>
  <r>
    <x v="21"/>
    <x v="1"/>
    <s v="High Yield Bonds - Obligations"/>
    <n v="696.95481445084204"/>
    <n v="5.1936808064750395E-4"/>
    <n v="3.4299999999999997E-2"/>
    <n v="23.905550135663901"/>
    <n v="6.4690735196279201"/>
    <n v="17.436476616036"/>
    <n v="714.39129106687801"/>
    <n v="2284111.6702968902"/>
    <m/>
    <m/>
    <m/>
    <m/>
    <m/>
    <m/>
    <m/>
    <m/>
  </r>
  <r>
    <x v="21"/>
    <x v="1"/>
    <s v="Investment Grade Bonds - Obligations"/>
    <n v="3249.3859548116802"/>
    <n v="2.4214300721392499E-3"/>
    <n v="3.4299999999999997E-2"/>
    <n v="111.45393825004"/>
    <n v="30.160515717056899"/>
    <n v="81.293422532983698"/>
    <n v="3330.6793773446602"/>
    <n v="2284111.6702968902"/>
    <m/>
    <m/>
    <m/>
    <m/>
    <m/>
    <m/>
    <m/>
    <m/>
  </r>
  <r>
    <x v="21"/>
    <x v="1"/>
    <s v="Government ZC Bonds - Obligations"/>
    <n v="12903.209465228399"/>
    <n v="9.6154226862307703E-3"/>
    <n v="3.4299999999999997E-2"/>
    <n v="442.580084657334"/>
    <n v="119.76645965993001"/>
    <n v="322.813624997403"/>
    <n v="13226.023090225801"/>
    <n v="2284111.6702968902"/>
    <m/>
    <m/>
    <m/>
    <m/>
    <m/>
    <m/>
    <m/>
    <m/>
  </r>
  <r>
    <x v="22"/>
    <x v="0"/>
    <s v="Emerging Markets - Equities"/>
    <n v="283914.06"/>
    <n v="0.186756423608579"/>
    <n v="6.3E-2"/>
    <n v="17886.585779999899"/>
    <n v="3040.7195825999902"/>
    <n v="14845.866197399901"/>
    <n v="298759.92619739898"/>
    <n v="2573051.79658945"/>
    <m/>
    <m/>
    <m/>
    <m/>
    <m/>
    <m/>
    <m/>
    <m/>
  </r>
  <r>
    <x v="22"/>
    <x v="1"/>
    <s v="Emerging Markets - Equities"/>
    <n v="1163729.6100000001"/>
    <n v="0.76549213522925297"/>
    <n v="6.3E-2"/>
    <n v="73314.965429999793"/>
    <n v="21053.671269403399"/>
    <n v="52261.294160596401"/>
    <n v="1215990.9041605899"/>
    <n v="2573051.79658945"/>
    <m/>
    <m/>
    <m/>
    <m/>
    <m/>
    <m/>
    <m/>
    <m/>
  </r>
  <r>
    <x v="22"/>
    <x v="0"/>
    <s v="Developed Markets - Equities"/>
    <n v="5026.0600000000004"/>
    <n v="3.3061025242713698E-3"/>
    <n v="6.3E-2"/>
    <n v="316.64177999999902"/>
    <n v="53.829102599999899"/>
    <n v="262.81267739999902"/>
    <n v="5288.8726773999997"/>
    <n v="2573051.79658945"/>
    <m/>
    <m/>
    <m/>
    <m/>
    <m/>
    <m/>
    <m/>
    <m/>
  </r>
  <r>
    <x v="22"/>
    <x v="1"/>
    <s v="Developed Markets - Equities"/>
    <n v="20601.22"/>
    <n v="1.35513196112004E-2"/>
    <n v="6.3E-2"/>
    <n v="1297.8768600000001"/>
    <n v="372.70798121967499"/>
    <n v="925.16887878032401"/>
    <n v="21526.388878780301"/>
    <n v="2573051.79658945"/>
    <m/>
    <m/>
    <m/>
    <m/>
    <m/>
    <m/>
    <m/>
    <m/>
  </r>
  <r>
    <x v="22"/>
    <x v="1"/>
    <s v="Emerging Markets State - Obligations"/>
    <n v="10723.9045583924"/>
    <n v="7.0540996188956599E-3"/>
    <n v="3.4299999999999997E-2"/>
    <n v="367.829926352862"/>
    <n v="105.628779977753"/>
    <n v="262.20114637510898"/>
    <n v="10986.1057047676"/>
    <n v="2573051.79658945"/>
    <m/>
    <m/>
    <m/>
    <m/>
    <m/>
    <m/>
    <m/>
    <m/>
  </r>
  <r>
    <x v="22"/>
    <x v="1"/>
    <s v="High Yield Bonds - Obligations"/>
    <n v="6711.94551079544"/>
    <n v="4.4150646820795498E-3"/>
    <n v="3.4299999999999997E-2"/>
    <n v="230.21973102028301"/>
    <n v="66.111611840823301"/>
    <n v="164.10811917946"/>
    <n v="6876.0536299749001"/>
    <n v="2573051.79658945"/>
    <m/>
    <m/>
    <m/>
    <m/>
    <m/>
    <m/>
    <m/>
    <m/>
  </r>
  <r>
    <x v="22"/>
    <x v="1"/>
    <s v="Investment Grade Bonds - Obligations"/>
    <n v="23723.5515659796"/>
    <n v="1.56051646253661E-2"/>
    <n v="3.4299999999999997E-2"/>
    <n v="813.71781871310304"/>
    <n v="233.673266580188"/>
    <n v="580.04455213291396"/>
    <n v="24303.596118112499"/>
    <n v="2573051.79658945"/>
    <m/>
    <m/>
    <m/>
    <m/>
    <m/>
    <m/>
    <m/>
    <m/>
  </r>
  <r>
    <x v="22"/>
    <x v="1"/>
    <s v="Government ZC Bonds - Obligations"/>
    <n v="5806.8256396262605"/>
    <n v="3.8196839880885098E-3"/>
    <n v="3.4299999999999997E-2"/>
    <n v="199.17411943918"/>
    <n v="57.196322898755902"/>
    <n v="141.97779654042401"/>
    <n v="5948.8034361666896"/>
    <n v="2573051.79658945"/>
    <m/>
    <m/>
    <m/>
    <m/>
    <m/>
    <m/>
    <m/>
    <m/>
  </r>
  <r>
    <x v="23"/>
    <x v="0"/>
    <s v="Emerging Markets - Equities"/>
    <n v="84122.63"/>
    <n v="4.9301277861308501E-2"/>
    <n v="6.3E-2"/>
    <n v="5299.7256899999902"/>
    <n v="900.95336729999804"/>
    <n v="4398.7723226999897"/>
    <n v="88521.4023227"/>
    <n v="2898542.84885801"/>
    <m/>
    <m/>
    <m/>
    <m/>
    <m/>
    <m/>
    <m/>
    <m/>
  </r>
  <r>
    <x v="23"/>
    <x v="1"/>
    <s v="Emerging Markets - Equities"/>
    <n v="337687.19"/>
    <n v="0.197906437119173"/>
    <n v="6.3E-2"/>
    <n v="21274.292969999999"/>
    <n v="6396.9056988125003"/>
    <n v="14877.387271187499"/>
    <n v="352564.57727118698"/>
    <n v="2898542.84885801"/>
    <m/>
    <m/>
    <m/>
    <m/>
    <m/>
    <m/>
    <m/>
    <m/>
  </r>
  <r>
    <x v="23"/>
    <x v="0"/>
    <s v="Developed Markets - Equities"/>
    <n v="241368.42"/>
    <n v="0.14145743590476201"/>
    <n v="6.3E-2"/>
    <n v="15206.21046"/>
    <n v="2585.0557782000001"/>
    <n v="12621.154681800001"/>
    <n v="253989.5746818"/>
    <n v="2898542.84885801"/>
    <m/>
    <m/>
    <m/>
    <m/>
    <m/>
    <m/>
    <m/>
    <m/>
  </r>
  <r>
    <x v="23"/>
    <x v="1"/>
    <s v="Developed Markets - Equities"/>
    <n v="968907.18"/>
    <n v="0.56784199570314098"/>
    <n v="6.3E-2"/>
    <n v="61041.152339999899"/>
    <n v="18354.2877695844"/>
    <n v="42686.864570415397"/>
    <n v="1011594.04457041"/>
    <n v="2898542.84885801"/>
    <m/>
    <m/>
    <m/>
    <m/>
    <m/>
    <m/>
    <m/>
    <m/>
  </r>
  <r>
    <x v="23"/>
    <x v="1"/>
    <s v="Emerging Markets State - Obligations"/>
    <n v="12076.1749872694"/>
    <n v="7.0774161310595803E-3"/>
    <n v="3.4299999999999997E-2"/>
    <n v="414.212802063342"/>
    <n v="124.54845092979301"/>
    <n v="289.66435113354902"/>
    <n v="12365.839338403001"/>
    <n v="2898542.84885801"/>
    <m/>
    <m/>
    <m/>
    <m/>
    <m/>
    <m/>
    <m/>
    <m/>
  </r>
  <r>
    <x v="23"/>
    <x v="1"/>
    <s v="High Yield Bonds - Obligations"/>
    <n v="12055.9497177425"/>
    <n v="7.0655628208056301E-3"/>
    <n v="3.4299999999999997E-2"/>
    <n v="413.51907531856801"/>
    <n v="124.33985623885199"/>
    <n v="289.17921907971601"/>
    <n v="12345.128936822201"/>
    <n v="2898542.84885801"/>
    <m/>
    <m/>
    <m/>
    <m/>
    <m/>
    <m/>
    <m/>
    <m/>
  </r>
  <r>
    <x v="23"/>
    <x v="1"/>
    <s v="Investment Grade Bonds - Obligations"/>
    <n v="35400.102204920899"/>
    <n v="2.0746739315253501E-2"/>
    <n v="3.4299999999999997E-2"/>
    <n v="1214.22350562879"/>
    <n v="365.10135842079097"/>
    <n v="849.12214720799795"/>
    <n v="36249.224352128898"/>
    <n v="2898542.84885801"/>
    <m/>
    <m/>
    <m/>
    <m/>
    <m/>
    <m/>
    <m/>
    <m/>
  </r>
  <r>
    <x v="23"/>
    <x v="1"/>
    <s v="Government ZC Bonds - Obligations"/>
    <n v="14679.4966242787"/>
    <n v="8.6031302390059093E-3"/>
    <n v="3.4299999999999997E-2"/>
    <n v="503.50673421275798"/>
    <n v="151.39798544741299"/>
    <n v="352.10874876534501"/>
    <n v="15031.605373044"/>
    <n v="2898542.84885801"/>
    <m/>
    <m/>
    <m/>
    <m/>
    <m/>
    <m/>
    <m/>
    <m/>
  </r>
  <r>
    <x v="24"/>
    <x v="0"/>
    <s v="Emerging Markets - Equities"/>
    <n v="95283.16"/>
    <n v="5.0137313619037102E-2"/>
    <n v="6.3E-2"/>
    <n v="6002.8390799999897"/>
    <n v="1020.48264359999"/>
    <n v="4982.3564363999903"/>
    <n v="100265.51643639999"/>
    <n v="3265208.5192385502"/>
    <m/>
    <m/>
    <m/>
    <m/>
    <m/>
    <m/>
    <m/>
    <m/>
  </r>
  <r>
    <x v="24"/>
    <x v="1"/>
    <s v="Emerging Markets - Equities"/>
    <n v="388897.53"/>
    <n v="0.20463508375749601"/>
    <n v="6.3E-2"/>
    <n v="24500.544389999901"/>
    <n v="7694.2722231261996"/>
    <n v="16806.272166873699"/>
    <n v="405703.80216687301"/>
    <n v="3265208.5192385502"/>
    <m/>
    <m/>
    <m/>
    <m/>
    <m/>
    <m/>
    <m/>
    <m/>
  </r>
  <r>
    <x v="24"/>
    <x v="0"/>
    <s v="Developed Markets - Equities"/>
    <n v="271382.51"/>
    <n v="0.14279952527384099"/>
    <n v="6.3E-2"/>
    <n v="17097.098129999998"/>
    <n v="2906.5066821"/>
    <n v="14190.5914478999"/>
    <n v="285573.1014479"/>
    <n v="3265208.5192385502"/>
    <m/>
    <m/>
    <m/>
    <m/>
    <m/>
    <m/>
    <m/>
    <m/>
  </r>
  <r>
    <x v="24"/>
    <x v="1"/>
    <s v="Developed Markets - Equities"/>
    <n v="1107645.71"/>
    <n v="0.58283520761749497"/>
    <n v="6.3E-2"/>
    <n v="69781.679729999902"/>
    <n v="21914.584079559201"/>
    <n v="47867.0956504407"/>
    <n v="1155512.80565044"/>
    <n v="3265208.5192385502"/>
    <m/>
    <m/>
    <m/>
    <m/>
    <m/>
    <m/>
    <m/>
    <m/>
  </r>
  <r>
    <x v="24"/>
    <x v="1"/>
    <s v="Emerging Markets State - Obligations"/>
    <n v="2632.9965756297602"/>
    <n v="1.3854638644457201E-3"/>
    <n v="3.4299999999999997E-2"/>
    <n v="90.311782544100794"/>
    <n v="28.361959178903302"/>
    <n v="61.949823365197503"/>
    <n v="2694.94639899496"/>
    <n v="3265208.5192385502"/>
    <m/>
    <m/>
    <m/>
    <m/>
    <m/>
    <m/>
    <m/>
    <m/>
  </r>
  <r>
    <x v="24"/>
    <x v="1"/>
    <s v="High Yield Bonds - Obligations"/>
    <n v="2285.2917032785999"/>
    <n v="1.2025040609302E-3"/>
    <n v="3.4299999999999997E-2"/>
    <n v="78.385505422455907"/>
    <n v="24.616572083756498"/>
    <n v="53.768933338699398"/>
    <n v="2339.0606366173001"/>
    <n v="3265208.5192385502"/>
    <m/>
    <m/>
    <m/>
    <m/>
    <m/>
    <m/>
    <m/>
    <m/>
  </r>
  <r>
    <x v="24"/>
    <x v="1"/>
    <s v="Investment Grade Bonds - Obligations"/>
    <n v="18894.726469367699"/>
    <n v="9.9422691978373803E-3"/>
    <n v="3.4299999999999997E-2"/>
    <n v="648.08911789931096"/>
    <n v="203.52911423463399"/>
    <n v="444.56000366467703"/>
    <n v="19339.286473032302"/>
    <n v="3265208.5192385502"/>
    <m/>
    <m/>
    <m/>
    <m/>
    <m/>
    <m/>
    <m/>
    <m/>
  </r>
  <r>
    <x v="24"/>
    <x v="1"/>
    <s v="Government ZC Bonds - Obligations"/>
    <n v="13422.141233542699"/>
    <n v="7.06263419963342E-3"/>
    <n v="3.4299999999999997E-2"/>
    <n v="460.37944431051602"/>
    <n v="144.579839291345"/>
    <n v="315.79960501916997"/>
    <n v="13737.940838561901"/>
    <n v="3265208.5192385502"/>
    <m/>
    <m/>
    <m/>
    <m/>
    <m/>
    <m/>
    <m/>
    <m/>
  </r>
  <r>
    <x v="25"/>
    <x v="0"/>
    <s v="Emerging Markets - Equities"/>
    <n v="105488.18"/>
    <n v="5.0133942658978997E-2"/>
    <n v="6.3E-2"/>
    <n v="6645.7553399999797"/>
    <n v="1129.77840779999"/>
    <n v="5515.9769321999902"/>
    <n v="111004.156932199"/>
    <n v="3678257.3969222298"/>
    <m/>
    <m/>
    <m/>
    <m/>
    <m/>
    <m/>
    <m/>
    <m/>
  </r>
  <r>
    <x v="25"/>
    <x v="1"/>
    <s v="Emerging Markets - Equities"/>
    <n v="400547.49"/>
    <n v="0.190362796057889"/>
    <n v="6.3E-2"/>
    <n v="25234.4918699999"/>
    <n v="8118.3093478753199"/>
    <n v="17116.1825221246"/>
    <n v="417663.67252212402"/>
    <n v="3678257.3969222298"/>
    <m/>
    <m/>
    <m/>
    <m/>
    <m/>
    <m/>
    <m/>
    <m/>
  </r>
  <r>
    <x v="25"/>
    <x v="0"/>
    <s v="Developed Markets - Equities"/>
    <n v="307560.69"/>
    <n v="0.14617021543661099"/>
    <n v="6.3E-2"/>
    <n v="19376.323469999999"/>
    <n v="3293.9749898999999"/>
    <n v="16082.3484801"/>
    <n v="323643.03848009999"/>
    <n v="3678257.3969222298"/>
    <m/>
    <m/>
    <m/>
    <m/>
    <m/>
    <m/>
    <m/>
    <m/>
  </r>
  <r>
    <x v="25"/>
    <x v="1"/>
    <s v="Developed Markets - Equities"/>
    <n v="1167833.8"/>
    <n v="0.55502059817903304"/>
    <n v="6.3E-2"/>
    <n v="73573.529399999796"/>
    <n v="23669.6928379323"/>
    <n v="49903.836562067503"/>
    <n v="1217737.6365620601"/>
    <n v="3678257.3969222298"/>
    <m/>
    <m/>
    <m/>
    <m/>
    <m/>
    <m/>
    <m/>
    <m/>
  </r>
  <r>
    <x v="25"/>
    <x v="1"/>
    <s v="Emerging Markets State - Obligations"/>
    <n v="7484.74622697218"/>
    <n v="3.5571742555424901E-3"/>
    <n v="3.4299999999999997E-2"/>
    <n v="256.726795585145"/>
    <n v="82.592808097188296"/>
    <n v="174.133987487957"/>
    <n v="7658.8802144601405"/>
    <n v="3678257.3969222298"/>
    <m/>
    <m/>
    <m/>
    <m/>
    <m/>
    <m/>
    <m/>
    <m/>
  </r>
  <r>
    <x v="25"/>
    <x v="1"/>
    <s v="High Yield Bonds - Obligations"/>
    <n v="3524.8938544514999"/>
    <n v="1.6752286974527301E-3"/>
    <n v="3.4299999999999997E-2"/>
    <n v="120.903859207686"/>
    <n v="38.896560131130002"/>
    <n v="82.007299076556706"/>
    <n v="3606.9011535280601"/>
    <n v="3678257.3969222298"/>
    <m/>
    <m/>
    <m/>
    <m/>
    <m/>
    <m/>
    <m/>
    <m/>
  </r>
  <r>
    <x v="25"/>
    <x v="1"/>
    <s v="Investment Grade Bonds - Obligations"/>
    <n v="519.53594285582597"/>
    <n v="2.4691283107180898E-4"/>
    <n v="3.4299999999999997E-2"/>
    <n v="17.8200828399548"/>
    <n v="5.7329842758398204"/>
    <n v="12.0870985641149"/>
    <n v="531.62304141994105"/>
    <n v="3678257.3969222298"/>
    <m/>
    <m/>
    <m/>
    <m/>
    <m/>
    <m/>
    <m/>
    <m/>
  </r>
  <r>
    <x v="25"/>
    <x v="1"/>
    <s v="Government ZC Bonds - Obligations"/>
    <n v="111167.605704648"/>
    <n v="5.2833126611273901E-2"/>
    <n v="3.4299999999999997E-2"/>
    <n v="3813.0488756694499"/>
    <n v="1226.71423267509"/>
    <n v="2586.3346429943599"/>
    <n v="113753.940347643"/>
    <n v="3678257.3969222298"/>
    <m/>
    <m/>
    <m/>
    <m/>
    <m/>
    <m/>
    <m/>
    <m/>
  </r>
  <r>
    <x v="26"/>
    <x v="0"/>
    <s v="Emerging Markets - Equities"/>
    <n v="119466.38"/>
    <n v="5.1588635533428601E-2"/>
    <n v="6.3E-2"/>
    <n v="7526.3819399999902"/>
    <n v="1279.4849297999899"/>
    <n v="6246.8970101999903"/>
    <n v="125713.277010199"/>
    <n v="4143556.95763289"/>
    <m/>
    <m/>
    <m/>
    <m/>
    <m/>
    <m/>
    <m/>
    <m/>
  </r>
  <r>
    <x v="26"/>
    <x v="1"/>
    <s v="Emerging Markets - Equities"/>
    <n v="460176.37"/>
    <n v="0.198715915163966"/>
    <n v="6.3E-2"/>
    <n v="28991.111309999898"/>
    <n v="9621.7787600318807"/>
    <n v="19369.332549968"/>
    <n v="479545.70254996797"/>
    <n v="4143556.95763289"/>
    <m/>
    <m/>
    <m/>
    <m/>
    <m/>
    <m/>
    <m/>
    <m/>
  </r>
  <r>
    <x v="26"/>
    <x v="0"/>
    <s v="Developed Markets - Equities"/>
    <n v="345833.19"/>
    <n v="0.14933960830045201"/>
    <n v="6.3E-2"/>
    <n v="21787.490969999901"/>
    <n v="3703.8734648999898"/>
    <n v="18083.617505099901"/>
    <n v="363916.80750509998"/>
    <n v="4143556.95763289"/>
    <m/>
    <m/>
    <m/>
    <m/>
    <m/>
    <m/>
    <m/>
    <m/>
  </r>
  <r>
    <x v="26"/>
    <x v="1"/>
    <s v="Developed Markets - Equities"/>
    <n v="1332125.96"/>
    <n v="0.57524602850658602"/>
    <n v="6.3E-2"/>
    <n v="83923.935479999898"/>
    <n v="27853.279966581202"/>
    <n v="56070.6555134187"/>
    <n v="1388196.61551341"/>
    <n v="4143556.95763289"/>
    <m/>
    <m/>
    <m/>
    <m/>
    <m/>
    <m/>
    <m/>
    <m/>
  </r>
  <r>
    <x v="26"/>
    <x v="1"/>
    <s v="Emerging Markets State - Obligations"/>
    <n v="6731.1094467024704"/>
    <n v="2.9066650549012299E-3"/>
    <n v="3.4299999999999997E-2"/>
    <n v="230.877054021894"/>
    <n v="76.625139023227106"/>
    <n v="154.25191499866699"/>
    <n v="6885.3613617011397"/>
    <n v="4143556.95763289"/>
    <m/>
    <m/>
    <m/>
    <m/>
    <m/>
    <m/>
    <m/>
    <m/>
  </r>
  <r>
    <x v="26"/>
    <x v="1"/>
    <s v="High Yield Bonds - Obligations"/>
    <n v="16530.742086781702"/>
    <n v="7.1383968327498803E-3"/>
    <n v="3.4299999999999997E-2"/>
    <n v="567.00445357661295"/>
    <n v="188.18152053333401"/>
    <n v="378.82293304327902"/>
    <n v="16909.565019825"/>
    <n v="4143556.95763289"/>
    <m/>
    <m/>
    <m/>
    <m/>
    <m/>
    <m/>
    <m/>
    <m/>
  </r>
  <r>
    <x v="26"/>
    <x v="1"/>
    <s v="Investment Grade Bonds - Obligations"/>
    <n v="19889.843185340302"/>
    <n v="8.5889425201096208E-3"/>
    <n v="3.4299999999999997E-2"/>
    <n v="682.22162125717603"/>
    <n v="226.420623716574"/>
    <n v="455.800997540602"/>
    <n v="20345.6441828809"/>
    <n v="4143556.95763289"/>
    <m/>
    <m/>
    <m/>
    <m/>
    <m/>
    <m/>
    <m/>
    <m/>
  </r>
  <r>
    <x v="26"/>
    <x v="1"/>
    <s v="Government ZC Bonds - Obligations"/>
    <n v="14996.3631334168"/>
    <n v="6.4758127936645196E-3"/>
    <n v="3.4299999999999997E-2"/>
    <n v="514.37525547619703"/>
    <n v="170.71456333306199"/>
    <n v="343.66069214313501"/>
    <n v="15340.0238255599"/>
    <n v="4143556.95763289"/>
    <m/>
    <m/>
    <m/>
    <m/>
    <m/>
    <m/>
    <m/>
    <m/>
  </r>
  <r>
    <x v="27"/>
    <x v="0"/>
    <s v="Emerging Markets - Equities"/>
    <n v="133503.46"/>
    <n v="5.25975960444518E-2"/>
    <n v="6.3E-2"/>
    <n v="8410.7179799999794"/>
    <n v="1429.82205659999"/>
    <n v="6980.8959233999803"/>
    <n v="140484.35592339901"/>
    <n v="4667716.9127734499"/>
    <m/>
    <m/>
    <m/>
    <m/>
    <m/>
    <m/>
    <m/>
    <m/>
  </r>
  <r>
    <x v="27"/>
    <x v="1"/>
    <s v="Emerging Markets - Equities"/>
    <n v="474188.05"/>
    <n v="0.18682026295802601"/>
    <n v="6.3E-2"/>
    <n v="29873.8471499999"/>
    <n v="10078.133534586401"/>
    <n v="19795.713615413501"/>
    <n v="493983.76361541299"/>
    <n v="4667716.9127734499"/>
    <m/>
    <m/>
    <m/>
    <m/>
    <m/>
    <m/>
    <m/>
    <m/>
  </r>
  <r>
    <x v="27"/>
    <x v="0"/>
    <s v="Developed Markets - Equities"/>
    <n v="390656.49"/>
    <n v="0.15391055972005099"/>
    <n v="6.3E-2"/>
    <n v="24611.358869999902"/>
    <n v="4183.9310078999997"/>
    <n v="20427.427862099899"/>
    <n v="411083.9178621"/>
    <n v="4667716.9127734499"/>
    <m/>
    <m/>
    <m/>
    <m/>
    <m/>
    <m/>
    <m/>
    <m/>
  </r>
  <r>
    <x v="27"/>
    <x v="1"/>
    <s v="Developed Markets - Equities"/>
    <n v="1387564.32"/>
    <n v="0.54667158131373095"/>
    <n v="6.3E-2"/>
    <n v="87416.552159999905"/>
    <n v="29490.533354409901"/>
    <n v="57926.01880559"/>
    <n v="1445490.3388055901"/>
    <n v="4667716.9127734499"/>
    <m/>
    <m/>
    <m/>
    <m/>
    <m/>
    <m/>
    <m/>
    <m/>
  </r>
  <r>
    <x v="27"/>
    <x v="1"/>
    <s v="Emerging Markets State - Obligations"/>
    <n v="3.6539300398793399E-10"/>
    <n v="1.4395726988069201E-16"/>
    <n v="3.4299999999999997E-2"/>
    <n v="1.2532980036786101E-11"/>
    <n v="4.2280810289623802E-12"/>
    <n v="8.3048990078237801E-12"/>
    <n v="3.7369790299575801E-10"/>
    <n v="4667716.9127734499"/>
    <m/>
    <m/>
    <m/>
    <m/>
    <m/>
    <m/>
    <m/>
    <m/>
  </r>
  <r>
    <x v="27"/>
    <x v="1"/>
    <s v="Government ZC Bonds - Obligations"/>
    <n v="152292.275738806"/>
    <n v="5.9999999999999901E-2"/>
    <n v="3.4299999999999997E-2"/>
    <n v="5223.62505784104"/>
    <n v="1762.22334549682"/>
    <n v="3461.40171234421"/>
    <n v="155753.67745115"/>
    <n v="4667716.9127734499"/>
    <m/>
    <m/>
    <m/>
    <m/>
    <m/>
    <m/>
    <m/>
    <m/>
  </r>
  <r>
    <x v="28"/>
    <x v="0"/>
    <s v="Emerging Markets - Equities"/>
    <n v="153566.51"/>
    <n v="5.5451961902469302E-2"/>
    <n v="6.3E-2"/>
    <n v="9674.6901300000009"/>
    <n v="1644.6973221000001"/>
    <n v="8029.9928079000001"/>
    <n v="161596.50280789999"/>
    <n v="5258183.1022392996"/>
    <m/>
    <m/>
    <m/>
    <m/>
    <m/>
    <m/>
    <m/>
    <m/>
  </r>
  <r>
    <x v="28"/>
    <x v="1"/>
    <s v="Emerging Markets - Equities"/>
    <n v="539490.02"/>
    <n v="0.19480666738992999"/>
    <n v="6.3E-2"/>
    <n v="33987.871259999898"/>
    <n v="11711.9553389136"/>
    <n v="22275.9159210863"/>
    <n v="561765.935921086"/>
    <n v="5258183.1022392996"/>
    <m/>
    <m/>
    <m/>
    <m/>
    <m/>
    <m/>
    <m/>
    <m/>
  </r>
  <r>
    <x v="28"/>
    <x v="0"/>
    <s v="Developed Markets - Equities"/>
    <n v="436899.68"/>
    <n v="0.157761900108044"/>
    <n v="6.3E-2"/>
    <n v="27524.679839999899"/>
    <n v="4679.1955728000003"/>
    <n v="22845.484267199899"/>
    <n v="459745.16426719999"/>
    <n v="5258183.1022392996"/>
    <m/>
    <m/>
    <m/>
    <m/>
    <m/>
    <m/>
    <m/>
    <m/>
  </r>
  <r>
    <x v="28"/>
    <x v="1"/>
    <s v="Developed Markets - Equities"/>
    <n v="1534859.53"/>
    <n v="0.55422873244434501"/>
    <n v="6.3E-2"/>
    <n v="96696.150389999806"/>
    <n v="33320.739217503797"/>
    <n v="63375.411172496002"/>
    <n v="1598234.9411724899"/>
    <n v="5258183.1022392996"/>
    <m/>
    <m/>
    <m/>
    <m/>
    <m/>
    <m/>
    <m/>
    <m/>
  </r>
  <r>
    <x v="28"/>
    <x v="1"/>
    <s v="Emerging Markets State - Obligations"/>
    <n v="97.419140423013502"/>
    <n v="3.51774775848474E-5"/>
    <n v="3.4299999999999997E-2"/>
    <n v="3.3414765165093598"/>
    <n v="1.1514467448699599"/>
    <n v="2.1900297716393902"/>
    <n v="99.609170194652904"/>
    <n v="5258183.1022392996"/>
    <m/>
    <m/>
    <m/>
    <m/>
    <m/>
    <m/>
    <m/>
    <m/>
  </r>
  <r>
    <x v="28"/>
    <x v="1"/>
    <s v="High Yield Bonds - Obligations"/>
    <n v="4172.8091314980602"/>
    <n v="1.50677678997918E-3"/>
    <n v="3.4299999999999997E-2"/>
    <n v="143.12735321038301"/>
    <n v="49.320569557109799"/>
    <n v="93.806783653273399"/>
    <n v="4266.6159151513302"/>
    <n v="5258183.1022392996"/>
    <m/>
    <m/>
    <m/>
    <m/>
    <m/>
    <m/>
    <m/>
    <m/>
  </r>
  <r>
    <x v="28"/>
    <x v="1"/>
    <s v="Investment Grade Bonds - Obligations"/>
    <n v="40444.920710170998"/>
    <n v="1.46044225552094E-2"/>
    <n v="3.4299999999999997E-2"/>
    <n v="1387.2607803588601"/>
    <n v="478.039244608741"/>
    <n v="909.22153575012703"/>
    <n v="41354.142245921103"/>
    <n v="5258183.1022392996"/>
    <m/>
    <m/>
    <m/>
    <m/>
    <m/>
    <m/>
    <m/>
    <m/>
  </r>
  <r>
    <x v="28"/>
    <x v="1"/>
    <s v="Government ZC Bonds - Obligations"/>
    <n v="59830.285740381398"/>
    <n v="2.1604363643410798E-2"/>
    <n v="3.4299999999999997E-2"/>
    <n v="2052.1788008950798"/>
    <n v="707.16480828368606"/>
    <n v="1345.01399261139"/>
    <n v="61175.299732992797"/>
    <n v="5258183.1022392996"/>
    <m/>
    <m/>
    <m/>
    <m/>
    <m/>
    <m/>
    <m/>
    <m/>
  </r>
  <r>
    <x v="29"/>
    <x v="0"/>
    <s v="Emerging Markets - Equities"/>
    <n v="169143.15"/>
    <n v="5.6155884053270003E-2"/>
    <n v="6.3E-2"/>
    <n v="10656.01845"/>
    <n v="1811.5231365"/>
    <n v="8844.4953134999996"/>
    <n v="177987.64531349999"/>
    <n v="5923343.2646725699"/>
    <m/>
    <m/>
    <m/>
    <m/>
    <m/>
    <m/>
    <m/>
    <m/>
  </r>
  <r>
    <x v="29"/>
    <x v="1"/>
    <s v="Emerging Markets - Equities"/>
    <n v="536118.75"/>
    <n v="0.177992560525117"/>
    <n v="6.3E-2"/>
    <n v="33775.481249999903"/>
    <n v="11760.4360131871"/>
    <n v="22015.045236812701"/>
    <n v="558133.79523681197"/>
    <n v="5923343.2646725699"/>
    <m/>
    <m/>
    <m/>
    <m/>
    <m/>
    <m/>
    <m/>
    <m/>
  </r>
  <r>
    <x v="29"/>
    <x v="0"/>
    <s v="Developed Markets - Equities"/>
    <n v="496017.01"/>
    <n v="0.164678697907717"/>
    <n v="6.3E-2"/>
    <n v="31249.071629999999"/>
    <n v="5312.3421771000003"/>
    <n v="25936.729452899999"/>
    <n v="521953.73945290002"/>
    <n v="5923343.2646725699"/>
    <m/>
    <m/>
    <m/>
    <m/>
    <m/>
    <m/>
    <m/>
    <m/>
  </r>
  <r>
    <x v="29"/>
    <x v="1"/>
    <s v="Developed Markets - Equities"/>
    <n v="1572183.17"/>
    <n v="0.52196814239904199"/>
    <n v="6.3E-2"/>
    <n v="99047.539709999895"/>
    <n v="34487.806240305399"/>
    <n v="64559.733469694402"/>
    <n v="1636742.9034696899"/>
    <n v="5923343.2646725699"/>
    <m/>
    <m/>
    <m/>
    <m/>
    <m/>
    <m/>
    <m/>
    <m/>
  </r>
  <r>
    <x v="29"/>
    <x v="1"/>
    <s v="Emerging Markets State - Obligations"/>
    <n v="5955.9807524377202"/>
    <n v="1.97739822486102E-3"/>
    <n v="3.4299999999999997E-2"/>
    <n v="204.29013980861399"/>
    <n v="71.132698289658506"/>
    <n v="133.15744151895501"/>
    <n v="6089.13819395668"/>
    <n v="5923343.2646725699"/>
    <m/>
    <m/>
    <m/>
    <m/>
    <m/>
    <m/>
    <m/>
    <m/>
  </r>
  <r>
    <x v="29"/>
    <x v="1"/>
    <s v="High Yield Bonds - Obligations"/>
    <n v="5536.4862371584104"/>
    <n v="1.83812515727886E-3"/>
    <n v="3.4299999999999997E-2"/>
    <n v="189.90147793453301"/>
    <n v="66.122645700533297"/>
    <n v="123.77883223400001"/>
    <n v="5660.2650693924097"/>
    <n v="5923343.2646725699"/>
    <m/>
    <m/>
    <m/>
    <m/>
    <m/>
    <m/>
    <m/>
    <m/>
  </r>
  <r>
    <x v="29"/>
    <x v="1"/>
    <s v="Investment Grade Bonds - Obligations"/>
    <n v="6150.07996955831"/>
    <n v="2.0418395760564601E-3"/>
    <n v="3.4299999999999997E-2"/>
    <n v="210.94774295585"/>
    <n v="73.4508389324143"/>
    <n v="137.49690402343501"/>
    <n v="6287.5768735817401"/>
    <n v="5923343.2646725699"/>
    <m/>
    <m/>
    <m/>
    <m/>
    <m/>
    <m/>
    <m/>
    <m/>
  </r>
  <r>
    <x v="29"/>
    <x v="1"/>
    <s v="Government ZC Bonds - Obligations"/>
    <n v="220924.35516834"/>
    <n v="7.3347353844224805E-2"/>
    <n v="3.4299999999999997E-2"/>
    <n v="7577.70538227408"/>
    <n v="2638.5151588334002"/>
    <n v="4939.1902234406698"/>
    <n v="225863.54539178099"/>
    <n v="5923343.2646725699"/>
    <m/>
    <m/>
    <m/>
    <m/>
    <m/>
    <m/>
    <m/>
    <m/>
  </r>
  <r>
    <x v="30"/>
    <x v="0"/>
    <s v="Emerging Markets - Equities"/>
    <n v="192929.04"/>
    <n v="5.9112738610667098E-2"/>
    <n v="6.3E-2"/>
    <n v="12154.5295199999"/>
    <n v="2066.27001839999"/>
    <n v="10088.2595015999"/>
    <n v="203017.29950160001"/>
    <n v="6672646.1876536496"/>
    <m/>
    <m/>
    <m/>
    <m/>
    <m/>
    <m/>
    <m/>
    <m/>
  </r>
  <r>
    <x v="30"/>
    <x v="1"/>
    <s v="Emerging Markets - Equities"/>
    <n v="603231.09"/>
    <n v="0.184827757112137"/>
    <n v="6.3E-2"/>
    <n v="38003.558669999897"/>
    <n v="13454.5017329401"/>
    <n v="24549.0569370597"/>
    <n v="627780.14693705901"/>
    <n v="6672646.1876536496"/>
    <m/>
    <m/>
    <m/>
    <m/>
    <m/>
    <m/>
    <m/>
    <m/>
  </r>
  <r>
    <x v="30"/>
    <x v="0"/>
    <s v="Developed Markets - Equities"/>
    <n v="556373.88"/>
    <n v="0.17047088265324201"/>
    <n v="6.3E-2"/>
    <n v="35051.554439999898"/>
    <n v="5958.7642547999903"/>
    <n v="29092.790185199901"/>
    <n v="585466.67018519901"/>
    <n v="6672646.1876536496"/>
    <m/>
    <m/>
    <m/>
    <m/>
    <m/>
    <m/>
    <m/>
    <m/>
  </r>
  <r>
    <x v="30"/>
    <x v="1"/>
    <s v="Developed Markets - Equities"/>
    <n v="1739613.79"/>
    <n v="0.53301117992284597"/>
    <n v="6.3E-2"/>
    <n v="109595.668769999"/>
    <n v="38800.448352556799"/>
    <n v="70795.220417442993"/>
    <n v="1810409.01041744"/>
    <n v="6672646.1876536496"/>
    <m/>
    <m/>
    <m/>
    <m/>
    <m/>
    <m/>
    <m/>
    <m/>
  </r>
  <r>
    <x v="30"/>
    <x v="1"/>
    <s v="Emerging Markets State - Obligations"/>
    <n v="8681.2030970197702"/>
    <n v="2.6598882651375001E-3"/>
    <n v="3.4299999999999997E-2"/>
    <n v="297.76526622777698"/>
    <n v="105.418635272006"/>
    <n v="192.34663095577099"/>
    <n v="8873.54972797554"/>
    <n v="6672646.1876536496"/>
    <m/>
    <m/>
    <m/>
    <m/>
    <m/>
    <m/>
    <m/>
    <m/>
  </r>
  <r>
    <x v="30"/>
    <x v="1"/>
    <s v="High Yield Bonds - Obligations"/>
    <n v="4050.20071931645"/>
    <n v="1.2409664011270099E-3"/>
    <n v="3.4299999999999997E-2"/>
    <n v="138.921884672554"/>
    <n v="49.182887168555702"/>
    <n v="89.738997503998604"/>
    <n v="4139.9397168204496"/>
    <n v="6672646.1876536496"/>
    <m/>
    <m/>
    <m/>
    <m/>
    <m/>
    <m/>
    <m/>
    <m/>
  </r>
  <r>
    <x v="30"/>
    <x v="1"/>
    <s v="Investment Grade Bonds - Obligations"/>
    <n v="22849.135236932801"/>
    <n v="7.0008898543246602E-3"/>
    <n v="3.4299999999999997E-2"/>
    <n v="783.72533862679802"/>
    <n v="277.46438217185403"/>
    <n v="506.26095645494303"/>
    <n v="23355.396193387802"/>
    <n v="6672646.1876536496"/>
    <m/>
    <m/>
    <m/>
    <m/>
    <m/>
    <m/>
    <m/>
    <m/>
  </r>
  <r>
    <x v="30"/>
    <x v="1"/>
    <s v="Government ZC Bonds - Obligations"/>
    <n v="136018.94492628"/>
    <n v="4.1675697642645997E-2"/>
    <n v="3.4299999999999997E-2"/>
    <n v="4665.4498109714104"/>
    <n v="1651.72170089986"/>
    <n v="3013.72811007155"/>
    <n v="139032.673036352"/>
    <n v="6672646.1876536496"/>
    <m/>
    <m/>
    <m/>
    <m/>
    <m/>
    <m/>
    <m/>
    <m/>
  </r>
  <r>
    <x v="31"/>
    <x v="0"/>
    <s v="Emerging Markets - Equities"/>
    <n v="215966.17"/>
    <n v="6.1208765240899098E-2"/>
    <n v="6.3E-2"/>
    <n v="13605.868709999901"/>
    <n v="2312.9976806999898"/>
    <n v="11292.8710292999"/>
    <n v="227259.04102929999"/>
    <n v="7516735.9303918397"/>
    <m/>
    <m/>
    <m/>
    <m/>
    <m/>
    <m/>
    <m/>
    <m/>
  </r>
  <r>
    <x v="31"/>
    <x v="1"/>
    <s v="Emerging Markets - Equities"/>
    <n v="637504.56000000006"/>
    <n v="0.18068046006021499"/>
    <n v="6.3E-2"/>
    <n v="40162.787279999902"/>
    <n v="14382.449034879101"/>
    <n v="25780.338245120802"/>
    <n v="663284.89824511996"/>
    <n v="7516735.9303918397"/>
    <m/>
    <m/>
    <m/>
    <m/>
    <m/>
    <m/>
    <m/>
    <m/>
  </r>
  <r>
    <x v="31"/>
    <x v="0"/>
    <s v="Developed Markets - Equities"/>
    <n v="628123.56999999995"/>
    <n v="0.17802171580116199"/>
    <n v="6.3E-2"/>
    <n v="39571.7849099999"/>
    <n v="6727.2034346999799"/>
    <n v="32844.581475299899"/>
    <n v="660968.15147529903"/>
    <n v="7516735.9303918397"/>
    <m/>
    <m/>
    <m/>
    <m/>
    <m/>
    <m/>
    <m/>
    <m/>
  </r>
  <r>
    <x v="31"/>
    <x v="1"/>
    <s v="Developed Markets - Equities"/>
    <n v="1854140.58"/>
    <n v="0.52549737528264095"/>
    <n v="6.3E-2"/>
    <n v="116810.856539999"/>
    <n v="41830.4182723825"/>
    <n v="74980.438267617195"/>
    <n v="1929121.0182676101"/>
    <n v="7516735.9303918397"/>
    <m/>
    <m/>
    <m/>
    <m/>
    <m/>
    <m/>
    <m/>
    <m/>
  </r>
  <r>
    <x v="31"/>
    <x v="1"/>
    <s v="Emerging Markets State - Obligations"/>
    <n v="3692.69034274757"/>
    <n v="1.0465760276091899E-3"/>
    <n v="3.4299999999999997E-2"/>
    <n v="126.65927875624099"/>
    <n v="45.357176253883601"/>
    <n v="81.302102502357997"/>
    <n v="3773.9924452499299"/>
    <n v="7516735.9303918397"/>
    <m/>
    <m/>
    <m/>
    <m/>
    <m/>
    <m/>
    <m/>
    <m/>
  </r>
  <r>
    <x v="31"/>
    <x v="1"/>
    <s v="High Yield Bonds - Obligations"/>
    <n v="2039.74701577575"/>
    <n v="5.7810163619349505E-4"/>
    <n v="3.4299999999999997E-2"/>
    <n v="69.963322641108107"/>
    <n v="25.0541356898709"/>
    <n v="44.909186951237103"/>
    <n v="2084.6562027269802"/>
    <n v="7516735.9303918397"/>
    <m/>
    <m/>
    <m/>
    <m/>
    <m/>
    <m/>
    <m/>
    <m/>
  </r>
  <r>
    <x v="31"/>
    <x v="1"/>
    <s v="Investment Grade Bonds - Obligations"/>
    <n v="2979.5052476709702"/>
    <n v="8.4444631878557595E-4"/>
    <n v="3.4299999999999997E-2"/>
    <n v="102.19702999511399"/>
    <n v="36.597150620387602"/>
    <n v="65.599879374726797"/>
    <n v="3045.1051270457001"/>
    <n v="7516735.9303918397"/>
    <m/>
    <m/>
    <m/>
    <m/>
    <m/>
    <m/>
    <m/>
    <m/>
  </r>
  <r>
    <x v="31"/>
    <x v="1"/>
    <s v="Government ZC Bonds - Obligations"/>
    <n v="183906.82353896799"/>
    <n v="5.2122559696253297E-2"/>
    <n v="3.4299999999999997E-2"/>
    <n v="6308.0040473866102"/>
    <n v="2258.92057966125"/>
    <n v="4049.0834677253501"/>
    <n v="187955.90700669301"/>
    <n v="7516735.9303918397"/>
    <m/>
    <m/>
    <m/>
    <m/>
    <m/>
    <m/>
    <m/>
    <m/>
  </r>
  <r>
    <x v="32"/>
    <x v="0"/>
    <s v="Emerging Markets - Equities"/>
    <n v="240965.21"/>
    <n v="6.3327995779913604E-2"/>
    <n v="6.3E-2"/>
    <n v="15180.808229999901"/>
    <n v="2580.7373990999899"/>
    <n v="12600.0708308999"/>
    <n v="253565.28083089899"/>
    <n v="8467603.0255864095"/>
    <m/>
    <m/>
    <m/>
    <m/>
    <m/>
    <m/>
    <m/>
    <m/>
  </r>
  <r>
    <x v="32"/>
    <x v="1"/>
    <s v="Emerging Markets - Equities"/>
    <n v="635632.73"/>
    <n v="0.16705045032440499"/>
    <n v="6.3E-2"/>
    <n v="40044.861989999998"/>
    <n v="14432.200808281499"/>
    <n v="25612.661181718398"/>
    <n v="661245.39118171798"/>
    <n v="8467603.0255864095"/>
    <m/>
    <m/>
    <m/>
    <m/>
    <m/>
    <m/>
    <m/>
    <m/>
  </r>
  <r>
    <x v="32"/>
    <x v="0"/>
    <s v="Developed Markets - Equities"/>
    <n v="709901.88"/>
    <n v="0.18656910373407301"/>
    <n v="6.3E-2"/>
    <n v="44723.818439999901"/>
    <n v="7603.0491347999896"/>
    <n v="37120.769305199901"/>
    <n v="747022.64930519997"/>
    <n v="8467603.0255864095"/>
    <m/>
    <m/>
    <m/>
    <m/>
    <m/>
    <m/>
    <m/>
    <m/>
  </r>
  <r>
    <x v="32"/>
    <x v="1"/>
    <s v="Developed Markets - Equities"/>
    <n v="1872622.47"/>
    <n v="0.492143359107862"/>
    <n v="6.3E-2"/>
    <n v="117975.215609999"/>
    <n v="42518.3635920386"/>
    <n v="75456.852017961195"/>
    <n v="1948079.32201796"/>
    <n v="8467603.0255864095"/>
    <m/>
    <m/>
    <m/>
    <m/>
    <m/>
    <m/>
    <m/>
    <m/>
  </r>
  <r>
    <x v="32"/>
    <x v="1"/>
    <s v="Emerging Markets State - Obligations"/>
    <n v="8.8318271440163305E-11"/>
    <n v="2.3210898872297399E-17"/>
    <n v="3.4299999999999997E-2"/>
    <n v="3.0293167103976001E-12"/>
    <n v="1.09176820455165E-12"/>
    <n v="1.9375485058459498E-12"/>
    <n v="9.0255819946009195E-11"/>
    <n v="8467603.0255864095"/>
    <m/>
    <m/>
    <m/>
    <m/>
    <m/>
    <m/>
    <m/>
    <m/>
  </r>
  <r>
    <x v="32"/>
    <x v="1"/>
    <s v="Government ZC Bonds - Obligations"/>
    <n v="345912.22905507399"/>
    <n v="9.0909090909099696E-2"/>
    <n v="3.4299999999999997E-2"/>
    <n v="11864.789456589"/>
    <n v="4276.0797634472001"/>
    <n v="7588.7096931418801"/>
    <n v="353500.93874821602"/>
    <n v="8467603.0255864095"/>
    <m/>
    <m/>
    <m/>
    <m/>
    <m/>
    <m/>
    <m/>
    <m/>
  </r>
  <r>
    <x v="33"/>
    <x v="0"/>
    <s v="Emerging Markets - Equities"/>
    <n v="273656.09000000003"/>
    <n v="6.6872106378872906E-2"/>
    <n v="6.3E-2"/>
    <n v="17240.333669999902"/>
    <n v="2930.8567238999899"/>
    <n v="14309.4769460999"/>
    <n v="287965.56694609998"/>
    <n v="9538754.8083230909"/>
    <m/>
    <m/>
    <m/>
    <m/>
    <m/>
    <m/>
    <m/>
    <m/>
  </r>
  <r>
    <x v="33"/>
    <x v="1"/>
    <s v="Emerging Markets - Equities"/>
    <n v="754930.96"/>
    <n v="0.18447907907265801"/>
    <n v="6.3E-2"/>
    <n v="47560.650479999902"/>
    <n v="17419.882801875799"/>
    <n v="30140.767678124099"/>
    <n v="785071.72767812398"/>
    <n v="9538754.8083230909"/>
    <m/>
    <m/>
    <m/>
    <m/>
    <m/>
    <m/>
    <m/>
    <m/>
  </r>
  <r>
    <x v="33"/>
    <x v="0"/>
    <s v="Developed Markets - Equities"/>
    <n v="797495.7"/>
    <n v="0.19488043290793799"/>
    <n v="6.3E-2"/>
    <n v="50242.229099999997"/>
    <n v="8541.1789470000003"/>
    <n v="41701.050152999996"/>
    <n v="839196.750153"/>
    <n v="9538754.8083230909"/>
    <m/>
    <m/>
    <m/>
    <m/>
    <m/>
    <m/>
    <m/>
    <m/>
  </r>
  <r>
    <x v="33"/>
    <x v="1"/>
    <s v="Developed Markets - Equities"/>
    <n v="2200039.4700000002"/>
    <n v="0.53761373801532797"/>
    <n v="6.3E-2"/>
    <n v="138602.48660999999"/>
    <n v="50765.476258784001"/>
    <n v="87837.010351215897"/>
    <n v="2287876.4803512101"/>
    <n v="9538754.8083230909"/>
    <m/>
    <m/>
    <m/>
    <m/>
    <m/>
    <m/>
    <m/>
    <m/>
  </r>
  <r>
    <x v="33"/>
    <x v="1"/>
    <s v="Emerging Markets State - Obligations"/>
    <n v="13923.184612098899"/>
    <n v="3.402345924452E-3"/>
    <n v="3.4299999999999997E-2"/>
    <n v="477.565232194994"/>
    <n v="174.91624465030699"/>
    <n v="302.64898754468697"/>
    <n v="14225.8335996436"/>
    <n v="9538754.8083230909"/>
    <m/>
    <m/>
    <m/>
    <m/>
    <m/>
    <m/>
    <m/>
    <m/>
  </r>
  <r>
    <x v="33"/>
    <x v="1"/>
    <s v="High Yield Bonds - Obligations"/>
    <n v="3010.51230969059"/>
    <n v="7.3566533611050199E-4"/>
    <n v="3.4299999999999997E-2"/>
    <n v="103.260572222387"/>
    <n v="37.8209096808935"/>
    <n v="65.439662541493902"/>
    <n v="3075.9519722320802"/>
    <n v="9538754.8083230909"/>
    <m/>
    <m/>
    <m/>
    <m/>
    <m/>
    <m/>
    <m/>
    <m/>
  </r>
  <r>
    <x v="33"/>
    <x v="1"/>
    <s v="Investment Grade Bonds - Obligations"/>
    <n v="18148.027289714599"/>
    <n v="4.4347517041717797E-3"/>
    <n v="3.4299999999999997E-2"/>
    <n v="622.47733603721201"/>
    <n v="227.99272363089199"/>
    <n v="394.484612406319"/>
    <n v="18542.511902120899"/>
    <n v="9538754.8083230909"/>
    <m/>
    <m/>
    <m/>
    <m/>
    <m/>
    <m/>
    <m/>
    <m/>
  </r>
  <r>
    <x v="33"/>
    <x v="1"/>
    <s v="Government ZC Bonds - Obligations"/>
    <n v="31026.820005480899"/>
    <n v="7.5818842840466704E-3"/>
    <n v="3.4299999999999997E-2"/>
    <n v="1064.21992618799"/>
    <n v="389.78832716788799"/>
    <n v="674.43159902010598"/>
    <n v="31701.251604501002"/>
    <n v="9538754.8083230909"/>
    <m/>
    <m/>
    <m/>
    <m/>
    <m/>
    <m/>
    <m/>
    <m/>
  </r>
  <r>
    <x v="34"/>
    <x v="0"/>
    <s v="Emerging Markets - Equities"/>
    <n v="311617.03000000003"/>
    <n v="7.0858102730579006E-2"/>
    <n v="6.3E-2"/>
    <n v="19631.872889999999"/>
    <n v="3337.4183913000002"/>
    <n v="16294.454498699901"/>
    <n v="327911.48449870001"/>
    <n v="10745407.291575899"/>
    <m/>
    <m/>
    <m/>
    <m/>
    <m/>
    <m/>
    <m/>
    <m/>
  </r>
  <r>
    <x v="34"/>
    <x v="1"/>
    <s v="Emerging Markets - Equities"/>
    <n v="749682.1"/>
    <n v="0.170469024934472"/>
    <n v="6.3E-2"/>
    <n v="47229.972299999899"/>
    <n v="17355.886636151499"/>
    <n v="29874.085663848298"/>
    <n v="779556.18566384795"/>
    <n v="10745407.291575899"/>
    <m/>
    <m/>
    <m/>
    <m/>
    <m/>
    <m/>
    <m/>
    <m/>
  </r>
  <r>
    <x v="34"/>
    <x v="0"/>
    <s v="Developed Markets - Equities"/>
    <n v="895035.45"/>
    <n v="0.20352069289541"/>
    <n v="6.3E-2"/>
    <n v="56387.2333499999"/>
    <n v="9585.8296694999899"/>
    <n v="46801.403680499898"/>
    <n v="941836.85368049995"/>
    <n v="10745407.291575899"/>
    <m/>
    <m/>
    <m/>
    <m/>
    <m/>
    <m/>
    <m/>
    <m/>
  </r>
  <r>
    <x v="34"/>
    <x v="1"/>
    <s v="Developed Markets - Equities"/>
    <n v="2153258.6"/>
    <n v="0.48962606146494198"/>
    <n v="6.3E-2"/>
    <n v="135655.29179999899"/>
    <n v="49850.079333518101"/>
    <n v="85805.212466481593"/>
    <n v="2239063.8124664798"/>
    <n v="10745407.291575899"/>
    <m/>
    <m/>
    <m/>
    <m/>
    <m/>
    <m/>
    <m/>
    <m/>
  </r>
  <r>
    <x v="34"/>
    <x v="1"/>
    <s v="Emerging Markets State - Obligations"/>
    <n v="3.73639196102828E-10"/>
    <n v="8.4961224813756799E-17"/>
    <n v="3.4299999999999997E-2"/>
    <n v="1.2815824426327E-11"/>
    <n v="4.7095093446022202E-12"/>
    <n v="8.1063150817247794E-12"/>
    <n v="3.8174551118455299E-10"/>
    <n v="10745407.291575899"/>
    <m/>
    <m/>
    <m/>
    <m/>
    <m/>
    <m/>
    <m/>
    <m/>
  </r>
  <r>
    <x v="34"/>
    <x v="1"/>
    <s v="High Yield Bonds - Obligations"/>
    <n v="9.3815170905454897E-12"/>
    <n v="2.13324830729102E-18"/>
    <n v="3.4299999999999997E-2"/>
    <n v="3.2178603620571E-13"/>
    <n v="1.1824868179062801E-13"/>
    <n v="2.0353735441508199E-13"/>
    <n v="9.5850544449605693E-12"/>
    <n v="10745407.291575899"/>
    <m/>
    <m/>
    <m/>
    <m/>
    <m/>
    <m/>
    <m/>
    <m/>
  </r>
  <r>
    <x v="34"/>
    <x v="1"/>
    <s v="Investment Grade Bonds - Obligations"/>
    <n v="33878.602089169799"/>
    <n v="7.70360165233204E-3"/>
    <n v="3.4299999999999997E-2"/>
    <n v="1162.0360516585199"/>
    <n v="427.02049138628502"/>
    <n v="735.01556027224206"/>
    <n v="34613.617649442"/>
    <n v="10745407.291575899"/>
    <m/>
    <m/>
    <m/>
    <m/>
    <m/>
    <m/>
    <m/>
    <m/>
  </r>
  <r>
    <x v="34"/>
    <x v="1"/>
    <s v="Government ZC Bonds - Obligations"/>
    <n v="254289.63010637701"/>
    <n v="5.7822516097398802E-2"/>
    <n v="3.4299999999999997E-2"/>
    <n v="8722.1343126487609"/>
    <n v="3205.1760139529001"/>
    <n v="5516.9582986958503"/>
    <n v="259806.58840507301"/>
    <n v="10745407.291575899"/>
    <m/>
    <m/>
    <m/>
    <m/>
    <m/>
    <m/>
    <m/>
    <m/>
  </r>
  <r>
    <x v="35"/>
    <x v="0"/>
    <s v="Emerging Markets - Equities"/>
    <n v="348180.22"/>
    <n v="7.3654556018478701E-2"/>
    <n v="6.3E-2"/>
    <n v="21935.353859999901"/>
    <n v="3729.01015619999"/>
    <n v="18206.343703799899"/>
    <n v="366386.56370379898"/>
    <n v="12104701.313960301"/>
    <m/>
    <m/>
    <m/>
    <m/>
    <m/>
    <m/>
    <m/>
    <m/>
  </r>
  <r>
    <x v="35"/>
    <x v="1"/>
    <s v="Emerging Markets - Equities"/>
    <n v="817431.1"/>
    <n v="0.172920577585357"/>
    <n v="6.3E-2"/>
    <n v="51498.159299999897"/>
    <n v="19111.610703250899"/>
    <n v="32386.5485967489"/>
    <n v="849817.64859674894"/>
    <n v="12104701.313960301"/>
    <m/>
    <m/>
    <m/>
    <m/>
    <m/>
    <m/>
    <m/>
    <m/>
  </r>
  <r>
    <x v="35"/>
    <x v="0"/>
    <s v="Developed Markets - Equities"/>
    <n v="1011113.8"/>
    <n v="0.21389250090989301"/>
    <n v="6.3E-2"/>
    <n v="63700.169399999999"/>
    <n v="10829.028797999999"/>
    <n v="52871.140601999999"/>
    <n v="1063984.9406020001"/>
    <n v="12104701.313960301"/>
    <m/>
    <m/>
    <m/>
    <m/>
    <m/>
    <m/>
    <m/>
    <m/>
  </r>
  <r>
    <x v="35"/>
    <x v="1"/>
    <s v="Developed Markets - Equities"/>
    <n v="2373816.2400000002"/>
    <n v="0.50216058001989505"/>
    <n v="6.3E-2"/>
    <n v="149550.423119999"/>
    <n v="55500.031574447101"/>
    <n v="94050.391545552804"/>
    <n v="2467866.6315455502"/>
    <n v="12104701.313960301"/>
    <m/>
    <m/>
    <m/>
    <m/>
    <m/>
    <m/>
    <m/>
    <m/>
  </r>
  <r>
    <x v="35"/>
    <x v="1"/>
    <s v="Emerging Markets State - Obligations"/>
    <n v="1.1369440053576001E-14"/>
    <n v="2.4051080768598799E-21"/>
    <n v="3.4299999999999997E-2"/>
    <n v="3.8997179383765702E-16"/>
    <n v="1.4472340779515501E-16"/>
    <n v="2.4524838604250201E-16"/>
    <n v="1.1614688439618499E-14"/>
    <n v="12104701.313960301"/>
    <m/>
    <m/>
    <m/>
    <m/>
    <m/>
    <m/>
    <m/>
    <m/>
  </r>
  <r>
    <x v="35"/>
    <x v="1"/>
    <s v="High Yield Bonds - Obligations"/>
    <n v="1.25958056481753E-10"/>
    <n v="2.6645352591005999E-17"/>
    <n v="3.4299999999999997E-2"/>
    <n v="4.3203613373241304E-12"/>
    <n v="1.6033401018338099E-12"/>
    <n v="2.7170212354903198E-12"/>
    <n v="1.2867507771724299E-10"/>
    <n v="12104701.313960301"/>
    <m/>
    <m/>
    <m/>
    <m/>
    <m/>
    <m/>
    <m/>
    <m/>
  </r>
  <r>
    <x v="35"/>
    <x v="1"/>
    <s v="Investment Grade Bonds - Obligations"/>
    <n v="11124.479917118901"/>
    <n v="2.35328884918241E-3"/>
    <n v="3.4299999999999997E-2"/>
    <n v="381.56966115718001"/>
    <n v="141.60527132097701"/>
    <n v="239.964389836202"/>
    <n v="11364.4443069551"/>
    <n v="12104701.313960301"/>
    <m/>
    <m/>
    <m/>
    <m/>
    <m/>
    <m/>
    <m/>
    <m/>
  </r>
  <r>
    <x v="35"/>
    <x v="1"/>
    <s v="Government ZC Bonds - Obligations"/>
    <n v="165539.63086953701"/>
    <n v="3.5018497073609198E-2"/>
    <n v="3.4299999999999997E-2"/>
    <n v="5678.0093388251198"/>
    <n v="2107.1802473734101"/>
    <n v="3570.8290914517102"/>
    <n v="169110.45996098901"/>
    <n v="12104701.313960301"/>
    <m/>
    <m/>
    <m/>
    <m/>
    <m/>
    <m/>
    <m/>
    <m/>
  </r>
  <r>
    <x v="36"/>
    <x v="0"/>
    <s v="Emerging Markets - Equities"/>
    <n v="391516.63"/>
    <n v="7.7155380712951804E-2"/>
    <n v="6.3E-2"/>
    <n v="24665.547689999901"/>
    <n v="4193.1431072999903"/>
    <n v="20472.404582699899"/>
    <n v="411989.0345827"/>
    <n v="13635946.030176301"/>
    <m/>
    <m/>
    <m/>
    <m/>
    <m/>
    <m/>
    <m/>
    <m/>
  </r>
  <r>
    <x v="36"/>
    <x v="1"/>
    <s v="Emerging Markets - Equities"/>
    <n v="843854.29"/>
    <n v="0.16629663728768701"/>
    <n v="6.3E-2"/>
    <n v="53162.820269999902"/>
    <n v="19839.262770362599"/>
    <n v="33323.557499637202"/>
    <n v="877177.84749963705"/>
    <n v="13635946.030176301"/>
    <m/>
    <m/>
    <m/>
    <m/>
    <m/>
    <m/>
    <m/>
    <m/>
  </r>
  <r>
    <x v="36"/>
    <x v="0"/>
    <s v="Developed Markets - Equities"/>
    <n v="1139728.08"/>
    <n v="0.22460387933366099"/>
    <n v="6.3E-2"/>
    <n v="71802.869040000005"/>
    <n v="12206.4877368"/>
    <n v="59596.381303200003"/>
    <n v="1199324.4613032001"/>
    <n v="13635946.030176301"/>
    <m/>
    <m/>
    <m/>
    <m/>
    <m/>
    <m/>
    <m/>
    <m/>
  </r>
  <r>
    <x v="36"/>
    <x v="1"/>
    <s v="Developed Markets - Equities"/>
    <n v="2456509.77"/>
    <n v="0.48409935110402702"/>
    <n v="6.3E-2"/>
    <n v="154760.11550999901"/>
    <n v="57753.267836077597"/>
    <n v="97006.847673922195"/>
    <n v="2553516.61767392"/>
    <n v="13635946.030176301"/>
    <m/>
    <m/>
    <m/>
    <m/>
    <m/>
    <m/>
    <m/>
    <m/>
  </r>
  <r>
    <x v="36"/>
    <x v="1"/>
    <s v="Emerging Markets State - Obligations"/>
    <n v="1076.2451581191699"/>
    <n v="2.1209342988867601E-4"/>
    <n v="3.4299999999999997E-2"/>
    <n v="36.915208923487597"/>
    <n v="13.7759909338216"/>
    <n v="23.139217989666001"/>
    <n v="1099.3843761088301"/>
    <n v="13635946.030176301"/>
    <m/>
    <m/>
    <m/>
    <m/>
    <m/>
    <m/>
    <m/>
    <m/>
  </r>
  <r>
    <x v="36"/>
    <x v="1"/>
    <s v="High Yield Bonds - Obligations"/>
    <n v="3811.8773845344499"/>
    <n v="7.5119887202453495E-4"/>
    <n v="3.4299999999999997E-2"/>
    <n v="130.747394289532"/>
    <n v="48.792217919898597"/>
    <n v="81.955176369633506"/>
    <n v="3893.8325609040899"/>
    <n v="13635946.030176301"/>
    <m/>
    <m/>
    <m/>
    <m/>
    <m/>
    <m/>
    <m/>
    <m/>
  </r>
  <r>
    <x v="36"/>
    <x v="1"/>
    <s v="Investment Grade Bonds - Obligations"/>
    <n v="31051.966734247399"/>
    <n v="6.1193475109008197E-3"/>
    <n v="3.4299999999999997E-2"/>
    <n v="1065.08245898468"/>
    <n v="397.466700761646"/>
    <n v="667.61575822304201"/>
    <n v="31719.582492470501"/>
    <n v="13635946.030176301"/>
    <m/>
    <m/>
    <m/>
    <m/>
    <m/>
    <m/>
    <m/>
    <m/>
  </r>
  <r>
    <x v="36"/>
    <x v="1"/>
    <s v="Government ZC Bonds - Obligations"/>
    <n v="206842.920955407"/>
    <n v="4.0762110958335103E-2"/>
    <n v="3.4299999999999997E-2"/>
    <n v="7094.7121887704698"/>
    <n v="2647.59955695089"/>
    <n v="4447.1126318195702"/>
    <n v="211290.033587226"/>
    <n v="13635946.030176301"/>
    <m/>
    <m/>
    <m/>
    <m/>
    <m/>
    <m/>
    <m/>
    <m/>
  </r>
  <r>
    <x v="37"/>
    <x v="0"/>
    <s v="Emerging Markets - Equities"/>
    <n v="443329.97"/>
    <n v="8.1534490124227504E-2"/>
    <n v="6.3E-2"/>
    <n v="27929.788109999899"/>
    <n v="4748.06397869999"/>
    <n v="23181.724131299899"/>
    <n v="466511.69413129898"/>
    <n v="15360893.2029936"/>
    <m/>
    <m/>
    <m/>
    <m/>
    <m/>
    <m/>
    <m/>
    <m/>
  </r>
  <r>
    <x v="37"/>
    <x v="1"/>
    <s v="Emerging Markets - Equities"/>
    <n v="875716.77"/>
    <n v="0.16105638049957499"/>
    <n v="6.3E-2"/>
    <n v="55170.156510000001"/>
    <n v="20690.183971764502"/>
    <n v="34479.972538235401"/>
    <n v="910196.74253823503"/>
    <n v="15360893.2029936"/>
    <m/>
    <m/>
    <m/>
    <m/>
    <m/>
    <m/>
    <m/>
    <m/>
  </r>
  <r>
    <x v="37"/>
    <x v="0"/>
    <s v="Developed Markets - Equities"/>
    <n v="1281617.2"/>
    <n v="0.23570706247637599"/>
    <n v="6.3E-2"/>
    <n v="80741.883599999797"/>
    <n v="13726.1202119999"/>
    <n v="67015.763387999803"/>
    <n v="1348632.9633879999"/>
    <n v="15360893.2029936"/>
    <m/>
    <m/>
    <m/>
    <m/>
    <m/>
    <m/>
    <m/>
    <m/>
  </r>
  <r>
    <x v="37"/>
    <x v="1"/>
    <s v="Developed Markets - Equities"/>
    <n v="2531598.94"/>
    <n v="0.46559592795392302"/>
    <n v="6.3E-2"/>
    <n v="159490.73321999901"/>
    <n v="59813.000739182098"/>
    <n v="99677.732480817707"/>
    <n v="2631276.67248081"/>
    <n v="15360893.2029936"/>
    <m/>
    <m/>
    <m/>
    <m/>
    <m/>
    <m/>
    <m/>
    <m/>
  </r>
  <r>
    <x v="37"/>
    <x v="1"/>
    <s v="Emerging Markets State - Obligations"/>
    <n v="3482.36478864542"/>
    <n v="6.4045486811723504E-4"/>
    <n v="3.4299999999999997E-2"/>
    <n v="119.44511225053699"/>
    <n v="44.794894619226802"/>
    <n v="74.650217631310994"/>
    <n v="3557.0150062767302"/>
    <n v="15360893.2029936"/>
    <m/>
    <m/>
    <m/>
    <m/>
    <m/>
    <m/>
    <m/>
    <m/>
  </r>
  <r>
    <x v="37"/>
    <x v="1"/>
    <s v="High Yield Bonds - Obligations"/>
    <n v="401.04410546824698"/>
    <n v="7.3757536980142594E-5"/>
    <n v="3.4299999999999997E-2"/>
    <n v="13.7558128175609"/>
    <n v="5.1587727112013004"/>
    <n v="8.5970401063596196"/>
    <n v="409.64114557460698"/>
    <n v="15360893.2029936"/>
    <m/>
    <m/>
    <m/>
    <m/>
    <m/>
    <m/>
    <m/>
    <m/>
  </r>
  <r>
    <x v="37"/>
    <x v="1"/>
    <s v="Investment Grade Bonds - Obligations"/>
    <n v="33418.525952979202"/>
    <n v="6.1461273964388699E-3"/>
    <n v="3.4299999999999997E-2"/>
    <n v="1146.2554401871801"/>
    <n v="429.87436390198002"/>
    <n v="716.38107628520902"/>
    <n v="34134.907029264403"/>
    <n v="15360893.2029936"/>
    <m/>
    <m/>
    <m/>
    <m/>
    <m/>
    <m/>
    <m/>
    <m/>
  </r>
  <r>
    <x v="37"/>
    <x v="1"/>
    <s v="Government ZC Bonds - Obligations"/>
    <n v="267765.68174862699"/>
    <n v="4.9245798415434298E-2"/>
    <n v="3.4299999999999997E-2"/>
    <n v="9184.3628839779394"/>
    <n v="3444.3650290987698"/>
    <n v="5739.9978548791596"/>
    <n v="273505.679603506"/>
    <n v="15360893.2029936"/>
    <m/>
    <m/>
    <m/>
    <m/>
    <m/>
    <m/>
    <m/>
    <m/>
  </r>
  <r>
    <x v="38"/>
    <x v="0"/>
    <s v="Emerging Markets - Equities"/>
    <n v="495583.87"/>
    <n v="8.5195516216933095E-2"/>
    <n v="6.3E-2"/>
    <n v="31221.783809999899"/>
    <n v="5307.7032476999802"/>
    <n v="25914.0805622999"/>
    <n v="521497.950562299"/>
    <n v="17304046.193172298"/>
    <m/>
    <m/>
    <m/>
    <m/>
    <m/>
    <m/>
    <m/>
    <m/>
  </r>
  <r>
    <x v="38"/>
    <x v="1"/>
    <s v="Emerging Markets - Equities"/>
    <n v="826735.92"/>
    <n v="0.14212366007691299"/>
    <n v="6.3E-2"/>
    <n v="52084.362959999897"/>
    <n v="19541.0452660105"/>
    <n v="32543.3176939894"/>
    <n v="859279.23769398895"/>
    <n v="17304046.193172298"/>
    <m/>
    <m/>
    <m/>
    <m/>
    <m/>
    <m/>
    <m/>
    <m/>
  </r>
  <r>
    <x v="38"/>
    <x v="0"/>
    <s v="Developed Markets - Equities"/>
    <n v="1447569.12"/>
    <n v="0.24885071105742701"/>
    <n v="6.3E-2"/>
    <n v="91196.854559999803"/>
    <n v="15503.4652751999"/>
    <n v="75693.389284799894"/>
    <n v="1523262.5092847999"/>
    <n v="17304046.193172298"/>
    <m/>
    <m/>
    <m/>
    <m/>
    <m/>
    <m/>
    <m/>
    <m/>
  </r>
  <r>
    <x v="38"/>
    <x v="1"/>
    <s v="Developed Markets - Equities"/>
    <n v="2414843.33"/>
    <n v="0.41513422154431201"/>
    <n v="6.3E-2"/>
    <n v="152135.12978999899"/>
    <n v="57078.157220813002"/>
    <n v="95056.972569186604"/>
    <n v="2509900.3025691798"/>
    <n v="17304046.193172298"/>
    <m/>
    <m/>
    <m/>
    <m/>
    <m/>
    <m/>
    <m/>
    <m/>
  </r>
  <r>
    <x v="38"/>
    <x v="1"/>
    <s v="Emerging Markets State - Obligations"/>
    <n v="6.05571701521739E-11"/>
    <n v="1.0410345622732E-17"/>
    <n v="3.4299999999999997E-2"/>
    <n v="2.0771109362195599E-12"/>
    <n v="7.7929183579270705E-13"/>
    <n v="1.2978191004268499E-12"/>
    <n v="6.1854989252600696E-11"/>
    <n v="17304046.193172298"/>
    <m/>
    <m/>
    <m/>
    <m/>
    <m/>
    <m/>
    <m/>
    <m/>
  </r>
  <r>
    <x v="38"/>
    <x v="1"/>
    <s v="High Yield Bonds - Obligations"/>
    <n v="9.8449308590681902E-11"/>
    <n v="1.6924359678177701E-17"/>
    <n v="3.4299999999999997E-2"/>
    <n v="3.3768112846603802E-12"/>
    <n v="1.26691426021664E-12"/>
    <n v="2.1098970244437299E-12"/>
    <n v="1.00559205615125E-10"/>
    <n v="17304046.193172298"/>
    <m/>
    <m/>
    <m/>
    <m/>
    <m/>
    <m/>
    <m/>
    <m/>
  </r>
  <r>
    <x v="38"/>
    <x v="1"/>
    <s v="Investment Grade Bonds - Obligations"/>
    <n v="6567.7159682376296"/>
    <n v="1.1290519852476201E-3"/>
    <n v="3.4299999999999997E-2"/>
    <n v="225.27265771054999"/>
    <n v="84.517942648105006"/>
    <n v="140.754715062445"/>
    <n v="6708.47068330007"/>
    <n v="17304046.193172298"/>
    <m/>
    <m/>
    <m/>
    <m/>
    <m/>
    <m/>
    <m/>
    <m/>
  </r>
  <r>
    <x v="38"/>
    <x v="1"/>
    <s v="Government ZC Bonds - Obligations"/>
    <n v="625718.26428257197"/>
    <n v="0.107566839356408"/>
    <n v="3.4299999999999997E-2"/>
    <n v="21462.136464892101"/>
    <n v="8052.1783570212901"/>
    <n v="13409.9581078708"/>
    <n v="639128.22239044297"/>
    <n v="17304046.193172298"/>
    <m/>
    <m/>
    <m/>
    <m/>
    <m/>
    <m/>
    <m/>
    <m/>
  </r>
  <r>
    <x v="39"/>
    <x v="0"/>
    <s v="Emerging Markets - Equities"/>
    <n v="814756.48"/>
    <n v="0.13119950606243799"/>
    <n v="6.3E-2"/>
    <n v="51329.658239999902"/>
    <n v="8726.0419007999808"/>
    <n v="42603.6163391999"/>
    <n v="857360.09633919899"/>
    <n v="19493008.036608599"/>
    <m/>
    <m/>
    <m/>
    <m/>
    <m/>
    <m/>
    <m/>
    <m/>
  </r>
  <r>
    <x v="39"/>
    <x v="1"/>
    <s v="Emerging Markets - Equities"/>
    <n v="314364.52"/>
    <n v="5.0621837027372503E-2"/>
    <n v="6.3E-2"/>
    <n v="19804.964759999999"/>
    <n v="7081.52063578863"/>
    <n v="12723.444124211301"/>
    <n v="327087.96412421099"/>
    <n v="19493008.036608599"/>
    <m/>
    <m/>
    <m/>
    <m/>
    <m/>
    <m/>
    <m/>
    <m/>
  </r>
  <r>
    <x v="39"/>
    <x v="0"/>
    <s v="Developed Markets - Equities"/>
    <n v="1374205.37"/>
    <n v="0.22128705962835801"/>
    <n v="6.3E-2"/>
    <n v="86574.938309999794"/>
    <n v="14717.7395126999"/>
    <n v="71857.198797299905"/>
    <n v="1446062.5687973001"/>
    <n v="19493008.036608599"/>
    <m/>
    <m/>
    <m/>
    <m/>
    <m/>
    <m/>
    <m/>
    <m/>
  </r>
  <r>
    <x v="39"/>
    <x v="1"/>
    <s v="Developed Markets - Equities"/>
    <n v="530221.52"/>
    <n v="8.5381096358602193E-2"/>
    <n v="6.3E-2"/>
    <n v="33403.955759999903"/>
    <n v="11944.015296062"/>
    <n v="21459.940463937801"/>
    <n v="551681.46046393702"/>
    <n v="19493008.036608599"/>
    <m/>
    <m/>
    <m/>
    <m/>
    <m/>
    <m/>
    <m/>
    <m/>
  </r>
  <r>
    <x v="39"/>
    <x v="1"/>
    <s v="High Yield Bonds - Obligations"/>
    <n v="3.0131476658840199E-12"/>
    <n v="4.8520446926322702E-19"/>
    <n v="3.4299999999999997E-2"/>
    <n v="1.03350964939822E-13"/>
    <n v="3.6954470751101598E-14"/>
    <n v="6.6396494188720494E-14"/>
    <n v="3.0795441600727399E-12"/>
    <n v="19493008.036608599"/>
    <m/>
    <m/>
    <m/>
    <m/>
    <m/>
    <m/>
    <m/>
    <m/>
  </r>
  <r>
    <x v="39"/>
    <x v="1"/>
    <s v="Investment Grade Bonds - Obligations"/>
    <n v="14037.4158171612"/>
    <n v="2.26043249340541E-3"/>
    <n v="3.4299999999999997E-2"/>
    <n v="481.48336252862998"/>
    <n v="172.16058745137499"/>
    <n v="309.32277507725399"/>
    <n v="14346.7385922384"/>
    <n v="19493008.036608599"/>
    <m/>
    <m/>
    <m/>
    <m/>
    <m/>
    <m/>
    <m/>
    <m/>
  </r>
  <r>
    <x v="39"/>
    <x v="1"/>
    <s v="Government ZC Bonds - Obligations"/>
    <n v="3162472.2273977199"/>
    <n v="0.50925006962910202"/>
    <n v="3.4299999999999997E-2"/>
    <n v="108472.797399742"/>
    <n v="38785.848019251498"/>
    <n v="69686.949380490405"/>
    <n v="3232159.1767782099"/>
    <n v="19493008.036608599"/>
    <m/>
    <m/>
    <m/>
    <m/>
    <m/>
    <m/>
    <m/>
    <m/>
  </r>
  <r>
    <x v="40"/>
    <x v="0"/>
    <s v="Emerging Markets - Equities"/>
    <n v="1094776.68"/>
    <n v="0.16636725681998801"/>
    <n v="6.3E-2"/>
    <n v="68970.930840000001"/>
    <n v="11725.0582428"/>
    <n v="57245.872597200003"/>
    <n v="1152022.5525972"/>
    <n v="21958873.553239498"/>
    <m/>
    <m/>
    <m/>
    <m/>
    <m/>
    <m/>
    <m/>
    <m/>
  </r>
  <r>
    <x v="40"/>
    <x v="1"/>
    <s v="Emerging Markets - Equities"/>
    <n v="7639.1"/>
    <n v="1.1608724727070099E-3"/>
    <n v="6.3E-2"/>
    <n v="481.26329999999899"/>
    <n v="167.72433237098701"/>
    <n v="313.53896762901201"/>
    <n v="7952.63896762901"/>
    <n v="21958873.553239498"/>
    <m/>
    <m/>
    <m/>
    <m/>
    <m/>
    <m/>
    <m/>
    <m/>
  </r>
  <r>
    <x v="40"/>
    <x v="0"/>
    <s v="Developed Markets - Equities"/>
    <n v="1371088.83"/>
    <n v="0.20835691120460001"/>
    <n v="6.3E-2"/>
    <n v="86378.596290000001"/>
    <n v="14684.361369300001"/>
    <n v="71694.234920699993"/>
    <n v="1442783.0649206999"/>
    <n v="21958873.553239498"/>
    <m/>
    <m/>
    <m/>
    <m/>
    <m/>
    <m/>
    <m/>
    <m/>
  </r>
  <r>
    <x v="40"/>
    <x v="1"/>
    <s v="Developed Markets - Equities"/>
    <n v="9567.14"/>
    <n v="1.4538662235779199E-3"/>
    <n v="6.3E-2"/>
    <n v="602.72981999999797"/>
    <n v="210.05644240810599"/>
    <n v="392.67337759189201"/>
    <n v="9959.8133775918905"/>
    <n v="21958873.553239498"/>
    <m/>
    <m/>
    <m/>
    <m/>
    <m/>
    <m/>
    <m/>
    <m/>
  </r>
  <r>
    <x v="40"/>
    <x v="1"/>
    <s v="Emerging Markets State - Obligations"/>
    <n v="1.05863494090489E-7"/>
    <n v="1.6087499332935899E-14"/>
    <n v="3.4299999999999997E-2"/>
    <n v="3.6311178473038001E-9"/>
    <n v="1.2654752953308599E-9"/>
    <n v="2.3656425519729301E-9"/>
    <n v="1.08229136642462E-7"/>
    <n v="21958873.553239498"/>
    <m/>
    <m/>
    <m/>
    <m/>
    <m/>
    <m/>
    <m/>
    <m/>
  </r>
  <r>
    <x v="40"/>
    <x v="1"/>
    <s v="High Yield Bonds - Obligations"/>
    <n v="2.21615845758443E-19"/>
    <n v="3.3677754559654802E-26"/>
    <n v="3.4299999999999997E-2"/>
    <n v="7.6014235095146097E-21"/>
    <n v="2.6491604142731601E-21"/>
    <n v="4.9522630952414504E-21"/>
    <n v="2.2656810885368399E-19"/>
    <n v="21958873.553239498"/>
    <m/>
    <m/>
    <m/>
    <m/>
    <m/>
    <m/>
    <m/>
    <m/>
  </r>
  <r>
    <x v="40"/>
    <x v="1"/>
    <s v="Investment Grade Bonds - Obligations"/>
    <n v="168655.106493662"/>
    <n v="2.5629599103292398E-2"/>
    <n v="3.4299999999999997E-2"/>
    <n v="5784.8701527326102"/>
    <n v="2016.07619824726"/>
    <n v="3768.7939544853498"/>
    <n v="172423.900448147"/>
    <n v="21958873.553239498"/>
    <m/>
    <m/>
    <m/>
    <m/>
    <m/>
    <m/>
    <m/>
    <m/>
  </r>
  <r>
    <x v="40"/>
    <x v="1"/>
    <s v="Government ZC Bonds - Obligations"/>
    <n v="3928754.7840160099"/>
    <n v="0.59703149334085903"/>
    <n v="3.4299999999999997E-2"/>
    <n v="134756.289091749"/>
    <n v="46963.707020056201"/>
    <n v="87792.582071692799"/>
    <n v="4016547.3660876998"/>
    <n v="21958873.553239498"/>
    <m/>
    <m/>
    <m/>
    <m/>
    <m/>
    <m/>
    <m/>
    <m/>
  </r>
  <r>
    <x v="41"/>
    <x v="0"/>
    <s v="Emerging Markets - Equities"/>
    <n v="1096520.2"/>
    <n v="0.15765947495391899"/>
    <n v="6.3E-2"/>
    <n v="69080.772599999997"/>
    <n v="11743.731341999999"/>
    <n v="57337.041257999997"/>
    <n v="1153857.241258"/>
    <n v="24736671.057724301"/>
    <m/>
    <m/>
    <m/>
    <m/>
    <m/>
    <m/>
    <m/>
    <m/>
  </r>
  <r>
    <x v="41"/>
    <x v="0"/>
    <s v="Developed Markets - Equities"/>
    <n v="1242476.46"/>
    <n v="0.178645305691773"/>
    <n v="6.3E-2"/>
    <n v="78276.016979999797"/>
    <n v="13306.922886599899"/>
    <n v="64969.094093399799"/>
    <n v="1307445.55409339"/>
    <n v="24736671.057724301"/>
    <m/>
    <m/>
    <m/>
    <m/>
    <m/>
    <m/>
    <m/>
    <m/>
  </r>
  <r>
    <x v="41"/>
    <x v="1"/>
    <s v="High Yield Bonds - Obligations"/>
    <n v="3.2030823374505798E-16"/>
    <n v="4.6054443826628299E-23"/>
    <n v="3.4299999999999997E-2"/>
    <n v="1.0986572417455499E-17"/>
    <n v="3.9117770150017801E-18"/>
    <n v="7.07479540245371E-18"/>
    <n v="3.2738302914751199E-16"/>
    <n v="24736671.057724301"/>
    <m/>
    <m/>
    <m/>
    <m/>
    <m/>
    <m/>
    <m/>
    <m/>
  </r>
  <r>
    <x v="41"/>
    <x v="1"/>
    <s v="Investment Grade Bonds - Obligations"/>
    <n v="227691.966233438"/>
    <n v="3.2737924798457399E-2"/>
    <n v="3.4299999999999997E-2"/>
    <n v="7809.83444180694"/>
    <n v="2780.6971728408398"/>
    <n v="5029.1372689661002"/>
    <n v="232721.103502404"/>
    <n v="24736671.057724301"/>
    <m/>
    <m/>
    <m/>
    <m/>
    <m/>
    <m/>
    <m/>
    <m/>
  </r>
  <r>
    <x v="41"/>
    <x v="1"/>
    <s v="Government ZC Bonds - Obligations"/>
    <n v="4388302.1849913504"/>
    <n v="0.63095729419747604"/>
    <n v="3.4299999999999997E-2"/>
    <n v="150518.764945203"/>
    <n v="53592.3145697035"/>
    <n v="96926.450375499902"/>
    <n v="4485228.6353668496"/>
    <n v="24736671.057724301"/>
    <m/>
    <m/>
    <m/>
    <m/>
    <m/>
    <m/>
    <m/>
    <m/>
  </r>
  <r>
    <x v="42"/>
    <x v="0"/>
    <s v="Emerging Markets - Equities"/>
    <n v="1118624.83"/>
    <n v="0.15252407368317"/>
    <n v="6.3E-2"/>
    <n v="70473.364289999896"/>
    <n v="11980.4719292999"/>
    <n v="58492.892360699901"/>
    <n v="1177117.7223606999"/>
    <n v="27865859.946526501"/>
    <m/>
    <m/>
    <m/>
    <m/>
    <m/>
    <m/>
    <m/>
    <m/>
  </r>
  <r>
    <x v="42"/>
    <x v="0"/>
    <s v="Developed Markets - Equities"/>
    <n v="1267494.29"/>
    <n v="0.17282236840832199"/>
    <n v="6.3E-2"/>
    <n v="79852.1402699998"/>
    <n v="13574.863845899899"/>
    <n v="66277.276424099793"/>
    <n v="1333771.5664241"/>
    <n v="27865859.946526501"/>
    <m/>
    <m/>
    <m/>
    <m/>
    <m/>
    <m/>
    <m/>
    <m/>
  </r>
  <r>
    <x v="42"/>
    <x v="1"/>
    <s v="Emerging Markets State - Obligations"/>
    <n v="1.06203882656919E-9"/>
    <n v="1.4480859345668799E-16"/>
    <n v="3.4299999999999997E-2"/>
    <n v="3.6427931751323399E-11"/>
    <n v="1.31264870233805E-11"/>
    <n v="2.3301444727942901E-11"/>
    <n v="1.08534027129714E-9"/>
    <n v="27865859.946526501"/>
    <m/>
    <m/>
    <m/>
    <m/>
    <m/>
    <m/>
    <m/>
    <m/>
  </r>
  <r>
    <x v="42"/>
    <x v="1"/>
    <s v="High Yield Bonds - Obligations"/>
    <n v="1.0404759622492E-10"/>
    <n v="1.4186850503905299E-17"/>
    <n v="3.4299999999999997E-2"/>
    <n v="3.5688325505147799E-12"/>
    <n v="1.2859976372731601E-12"/>
    <n v="2.2828349132416101E-12"/>
    <n v="1.0633043113816201E-10"/>
    <n v="27865859.946526501"/>
    <m/>
    <m/>
    <m/>
    <m/>
    <m/>
    <m/>
    <m/>
    <m/>
  </r>
  <r>
    <x v="42"/>
    <x v="1"/>
    <s v="Investment Grade Bonds - Obligations"/>
    <n v="232023.504182059"/>
    <n v="3.16363172879792E-2"/>
    <n v="3.4299999999999997E-2"/>
    <n v="7958.4061934446499"/>
    <n v="2867.7421583575501"/>
    <n v="5090.6640350870903"/>
    <n v="237114.16821714601"/>
    <n v="27865859.946526501"/>
    <m/>
    <m/>
    <m/>
    <m/>
    <m/>
    <m/>
    <m/>
    <m/>
  </r>
  <r>
    <x v="42"/>
    <x v="1"/>
    <s v="Government ZC Bonds - Obligations"/>
    <n v="4715944.4066367298"/>
    <n v="0.64301724123502202"/>
    <n v="3.4299999999999997E-2"/>
    <n v="161756.893147639"/>
    <n v="58287.683564897903"/>
    <n v="103469.20958274099"/>
    <n v="4819413.6162194703"/>
    <n v="27865859.946526501"/>
    <m/>
    <m/>
    <m/>
    <m/>
    <m/>
    <m/>
    <m/>
    <m/>
  </r>
  <r>
    <x v="43"/>
    <x v="0"/>
    <s v="Emerging Markets - Equities"/>
    <n v="1158661.8500000001"/>
    <n v="0.15001189355835301"/>
    <n v="6.3E-2"/>
    <n v="72995.696549999993"/>
    <n v="12409.2684135"/>
    <n v="60586.428136499897"/>
    <n v="1219248.2781364999"/>
    <n v="31390891.2297621"/>
    <m/>
    <m/>
    <m/>
    <m/>
    <m/>
    <m/>
    <m/>
    <m/>
  </r>
  <r>
    <x v="43"/>
    <x v="0"/>
    <s v="Developed Markets - Equities"/>
    <n v="407654.87"/>
    <n v="5.2779056259584602E-2"/>
    <n v="6.3E-2"/>
    <n v="25682.256809999901"/>
    <n v="4365.9836576999896"/>
    <n v="21316.273152299898"/>
    <n v="428971.14315229998"/>
    <n v="31390891.2297621"/>
    <m/>
    <m/>
    <m/>
    <m/>
    <m/>
    <m/>
    <m/>
    <m/>
  </r>
  <r>
    <x v="43"/>
    <x v="1"/>
    <s v="Emerging Markets State - Obligations"/>
    <n v="1.1050722269853299E-12"/>
    <n v="1.4307364766416999E-19"/>
    <n v="3.4299999999999997E-2"/>
    <n v="3.79039773855969E-14"/>
    <n v="1.41025553021282E-14"/>
    <n v="2.3801422083468599E-14"/>
    <n v="1.1288736490687999E-12"/>
    <n v="31390891.2297621"/>
    <m/>
    <m/>
    <m/>
    <m/>
    <m/>
    <m/>
    <m/>
    <m/>
  </r>
  <r>
    <x v="43"/>
    <x v="1"/>
    <s v="High Yield Bonds - Obligations"/>
    <n v="2.0065989318565701E-12"/>
    <n v="2.5979426644622201E-19"/>
    <n v="3.4299999999999997E-2"/>
    <n v="6.8826343362680206E-14"/>
    <n v="2.56075319917295E-14"/>
    <n v="4.3218811370950699E-14"/>
    <n v="2.0498177432275199E-12"/>
    <n v="31390891.2297621"/>
    <m/>
    <m/>
    <m/>
    <m/>
    <m/>
    <m/>
    <m/>
    <m/>
  </r>
  <r>
    <x v="43"/>
    <x v="1"/>
    <s v="Investment Grade Bonds - Obligations"/>
    <n v="686085.29101160204"/>
    <n v="8.8827429372240294E-2"/>
    <n v="3.4299999999999997E-2"/>
    <n v="23532.7254816979"/>
    <n v="8755.5867591234692"/>
    <n v="14777.1387225744"/>
    <n v="700862.42973417602"/>
    <n v="31390891.2297621"/>
    <m/>
    <m/>
    <m/>
    <m/>
    <m/>
    <m/>
    <m/>
    <m/>
  </r>
  <r>
    <x v="43"/>
    <x v="1"/>
    <s v="Government ZC Bonds - Obligations"/>
    <n v="5471397.8995531797"/>
    <n v="0.70838162085268497"/>
    <n v="3.4299999999999997E-2"/>
    <n v="187668.94795467399"/>
    <n v="69824.116084152804"/>
    <n v="117844.831870521"/>
    <n v="5589242.7314237002"/>
    <n v="31390891.2297621"/>
    <m/>
    <m/>
    <m/>
    <m/>
    <m/>
    <m/>
    <m/>
    <m/>
  </r>
  <r>
    <x v="44"/>
    <x v="1"/>
    <s v="Government ZC Bonds - Obligations"/>
    <n v="8096271.2478290899"/>
    <n v="1"/>
    <n v="3.4299999999999997E-2"/>
    <n v="277702.103800538"/>
    <n v="106509.883596225"/>
    <n v="171192.22020431201"/>
    <n v="8267463.4680334097"/>
    <n v="35361838.970326997"/>
    <m/>
    <m/>
    <m/>
    <m/>
    <m/>
    <m/>
    <m/>
    <m/>
  </r>
  <r>
    <x v="45"/>
    <x v="0"/>
    <s v="Emerging Markets - Equities"/>
    <n v="1118168.77"/>
    <n v="0.135249314898512"/>
    <n v="6.3E-2"/>
    <n v="70444.632509999894"/>
    <n v="11975.587526699899"/>
    <n v="58469.0449832999"/>
    <n v="1176637.8149832999"/>
    <n v="39835111.600073397"/>
    <m/>
    <m/>
    <m/>
    <m/>
    <m/>
    <m/>
    <m/>
    <m/>
  </r>
  <r>
    <x v="45"/>
    <x v="0"/>
    <s v="Developed Markets - Equities"/>
    <n v="484126.46"/>
    <n v="5.8558040428228098E-2"/>
    <n v="6.3E-2"/>
    <n v="30499.966979999899"/>
    <n v="5184.9943865999903"/>
    <n v="25314.9725933999"/>
    <n v="509441.43259340001"/>
    <n v="39835111.600073397"/>
    <m/>
    <m/>
    <m/>
    <m/>
    <m/>
    <m/>
    <m/>
    <m/>
  </r>
  <r>
    <x v="45"/>
    <x v="1"/>
    <s v="Emerging Markets State - Obligations"/>
    <n v="4.58492126820427E-11"/>
    <n v="5.5457411888569104E-18"/>
    <n v="3.4299999999999997E-2"/>
    <n v="1.57262799499406E-12"/>
    <n v="5.9085461147657996E-13"/>
    <n v="9.817733835174829E-13"/>
    <n v="4.6830986065560198E-11"/>
    <n v="39835111.600073397"/>
    <m/>
    <m/>
    <m/>
    <m/>
    <m/>
    <m/>
    <m/>
    <m/>
  </r>
  <r>
    <x v="45"/>
    <x v="1"/>
    <s v="Investment Grade Bonds - Obligations"/>
    <n v="614105.05513995897"/>
    <n v="7.42797422104651E-2"/>
    <n v="3.4299999999999997E-2"/>
    <n v="21063.8033913006"/>
    <n v="7913.9156930962299"/>
    <n v="13149.8876982043"/>
    <n v="627254.94283816405"/>
    <n v="39835111.600073397"/>
    <m/>
    <m/>
    <m/>
    <m/>
    <m/>
    <m/>
    <m/>
    <m/>
  </r>
  <r>
    <x v="45"/>
    <x v="1"/>
    <s v="Government ZC Bonds - Obligations"/>
    <n v="6051063.1810956402"/>
    <n v="0.731912902245338"/>
    <n v="3.4299999999999997E-2"/>
    <n v="207551.46711157999"/>
    <n v="77979.4979181136"/>
    <n v="129571.96919346599"/>
    <n v="6180635.1502890997"/>
    <n v="39835111.600073397"/>
    <m/>
    <m/>
    <m/>
    <m/>
    <m/>
    <m/>
    <m/>
    <m/>
  </r>
  <r>
    <x v="46"/>
    <x v="1"/>
    <s v="Government ZC Bonds - Obligations"/>
    <n v="8493969.3407039698"/>
    <n v="1"/>
    <n v="3.4299999999999997E-2"/>
    <n v="291343.148386146"/>
    <n v="112239.12232218101"/>
    <n v="179104.02606396499"/>
    <n v="8673073.3667679299"/>
    <n v="44874253.217482701"/>
    <m/>
    <m/>
    <m/>
    <m/>
    <m/>
    <m/>
    <m/>
    <m/>
  </r>
  <r>
    <x v="47"/>
    <x v="1"/>
    <s v="Government ZC Bonds - Obligations"/>
    <n v="8673073.3667679299"/>
    <n v="1"/>
    <n v="3.4299999999999997E-2"/>
    <n v="297486.41648014"/>
    <n v="114819.29492165901"/>
    <n v="182667.12155848101"/>
    <n v="8855740.4883264191"/>
    <n v="50550846.249494202"/>
    <m/>
    <m/>
    <m/>
    <m/>
    <m/>
    <m/>
    <m/>
    <m/>
  </r>
  <r>
    <x v="48"/>
    <x v="1"/>
    <s v="Government ZC Bonds - Obligations"/>
    <n v="8855740.4883264191"/>
    <n v="1"/>
    <n v="3.4299999999999997E-2"/>
    <n v="303751.89874959498"/>
    <n v="117450.79747483"/>
    <n v="186301.10127476501"/>
    <n v="9042041.5896011796"/>
    <n v="56945528.300055303"/>
    <m/>
    <m/>
    <m/>
    <m/>
    <m/>
    <m/>
    <n v="100"/>
    <n v="9042041.589601179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0">
  <r>
    <x v="0"/>
    <s v="ASK"/>
    <s v="Emerging Markets - Equities"/>
    <n v="51664.91"/>
    <n v="0.98137930903482096"/>
    <n v="8.3999999999999894E-2"/>
    <n v="4339.8524399999997"/>
    <n v="737.77491480000003"/>
    <n v="3602.0775251999999"/>
    <n v="55266.987525199998"/>
    <n v="187224.3"/>
    <m/>
    <m/>
    <m/>
    <m/>
    <m/>
    <m/>
    <m/>
    <m/>
  </r>
  <r>
    <x v="0"/>
    <s v="ASK"/>
    <s v="Developed Markets - Equities"/>
    <n v="247.48"/>
    <n v="4.70090340619847E-3"/>
    <n v="6.8000000000000005E-2"/>
    <n v="16.82864"/>
    <n v="2.8608688"/>
    <n v="13.9677712"/>
    <n v="261.44777119999998"/>
    <n v="187224.3"/>
    <m/>
    <m/>
    <m/>
    <m/>
    <m/>
    <m/>
    <m/>
    <m/>
  </r>
  <r>
    <x v="0"/>
    <s v="NORMAL"/>
    <s v="Emerging Markets State - Obligations"/>
    <n v="55.623945371069297"/>
    <n v="1.05658151875326E-3"/>
    <n v="4.8300000000000003E-2"/>
    <n v="2.6866365614226502"/>
    <n v="0.725391871584116"/>
    <n v="1.9612446898385301"/>
    <n v="57.585190060907799"/>
    <n v="187224.3"/>
    <m/>
    <m/>
    <m/>
    <m/>
    <m/>
    <m/>
    <m/>
    <m/>
  </r>
  <r>
    <x v="0"/>
    <s v="NORMAL"/>
    <s v="High Yield Bonds - Obligations"/>
    <n v="433.80103880438702"/>
    <n v="8.2400872027152908E-3"/>
    <n v="4.9299999999999997E-2"/>
    <n v="21.3863912130562"/>
    <n v="5.7743256275251804"/>
    <n v="15.612065585531001"/>
    <n v="449.41310438991798"/>
    <n v="187224.3"/>
    <m/>
    <m/>
    <m/>
    <m/>
    <m/>
    <m/>
    <m/>
    <m/>
  </r>
  <r>
    <x v="0"/>
    <s v="NORMAL"/>
    <s v="Investment Grade Bonds - Obligations"/>
    <n v="92.335530152093298"/>
    <n v="1.7539211580940501E-3"/>
    <n v="3.6299999999999999E-2"/>
    <n v="3.35177974452098"/>
    <n v="0.904980531020665"/>
    <n v="2.4467992135003098"/>
    <n v="94.782329365593597"/>
    <n v="187224.3"/>
    <m/>
    <m/>
    <m/>
    <m/>
    <m/>
    <m/>
    <m/>
    <m/>
  </r>
  <r>
    <x v="0"/>
    <s v="NORMAL"/>
    <s v="Government ZC Bonds - Obligations"/>
    <n v="151.05193348678901"/>
    <n v="2.86924417585629E-3"/>
    <n v="2.8299999999999999E-2"/>
    <n v="4.2747697176761497"/>
    <n v="1.15418782377256"/>
    <n v="3.1205818939035899"/>
    <n v="154.172515380693"/>
    <n v="187224.3"/>
    <m/>
    <m/>
    <m/>
    <m/>
    <m/>
    <m/>
    <m/>
    <m/>
  </r>
  <r>
    <x v="1"/>
    <s v="ASK"/>
    <s v="Emerging Markets - Equities"/>
    <n v="106933.18"/>
    <n v="0.97695092545320406"/>
    <n v="8.3999999999999894E-2"/>
    <n v="8982.3871200000103"/>
    <n v="1527.0058104"/>
    <n v="7455.3813096000104"/>
    <n v="114388.5613096"/>
    <n v="210908.17395"/>
    <m/>
    <m/>
    <m/>
    <m/>
    <m/>
    <m/>
    <m/>
    <m/>
  </r>
  <r>
    <x v="1"/>
    <s v="ASK"/>
    <s v="Developed Markets - Equities"/>
    <n v="940.84"/>
    <n v="8.5955968830571799E-3"/>
    <n v="6.8000000000000005E-2"/>
    <n v="63.977119999999999"/>
    <n v="10.8761104"/>
    <n v="53.101009599999998"/>
    <n v="993.94100960000003"/>
    <n v="210908.17395"/>
    <m/>
    <m/>
    <m/>
    <m/>
    <m/>
    <m/>
    <m/>
    <m/>
  </r>
  <r>
    <x v="1"/>
    <s v="NORMAL"/>
    <s v="Emerging Markets State - Obligations"/>
    <n v="455.77997966509702"/>
    <n v="4.16404592977464E-3"/>
    <n v="4.8300000000000003E-2"/>
    <n v="22.014173017824099"/>
    <n v="5.9438267148125297"/>
    <n v="16.0703463030116"/>
    <n v="471.850325968108"/>
    <n v="210908.17395"/>
    <m/>
    <m/>
    <m/>
    <m/>
    <m/>
    <m/>
    <m/>
    <m/>
  </r>
  <r>
    <x v="1"/>
    <s v="NORMAL"/>
    <s v="High Yield Bonds - Obligations"/>
    <n v="540.63606239590194"/>
    <n v="4.9392985553319601E-3"/>
    <n v="4.9299999999999997E-2"/>
    <n v="26.653357876117798"/>
    <n v="7.1964066265518198"/>
    <n v="19.456951249566"/>
    <n v="560.09301364546798"/>
    <n v="210908.17395"/>
    <m/>
    <m/>
    <m/>
    <m/>
    <m/>
    <m/>
    <m/>
    <m/>
  </r>
  <r>
    <x v="1"/>
    <s v="NORMAL"/>
    <s v="Investment Grade Bonds - Obligations"/>
    <n v="55.868709347354901"/>
    <n v="5.1042143608536199E-4"/>
    <n v="3.6299999999999999E-2"/>
    <n v="2.0280341493089802"/>
    <n v="0.54756922031342603"/>
    <n v="1.48046492899556"/>
    <n v="57.349174276350503"/>
    <n v="210908.17395"/>
    <m/>
    <m/>
    <m/>
    <m/>
    <m/>
    <m/>
    <m/>
    <m/>
  </r>
  <r>
    <x v="1"/>
    <s v="NORMAL"/>
    <s v="Government ZC Bonds - Obligations"/>
    <n v="529.73311030246703"/>
    <n v="4.8396882272948296E-3"/>
    <n v="2.8299999999999999E-2"/>
    <n v="14.991447021559701"/>
    <n v="4.0476906958211396"/>
    <n v="10.943756325738599"/>
    <n v="540.67686662820495"/>
    <n v="210908.17395"/>
    <m/>
    <m/>
    <m/>
    <m/>
    <m/>
    <m/>
    <m/>
    <m/>
  </r>
  <r>
    <x v="2"/>
    <s v="ASK"/>
    <s v="Emerging Markets - Equities"/>
    <n v="77471.53"/>
    <n v="0.44009661605949102"/>
    <n v="8.3999999999999894E-2"/>
    <n v="6507.6085199999998"/>
    <n v="1106.2934484"/>
    <n v="5401.3150716"/>
    <n v="82872.845071599993"/>
    <n v="237588.05795467499"/>
    <m/>
    <m/>
    <m/>
    <m/>
    <m/>
    <m/>
    <m/>
    <m/>
  </r>
  <r>
    <x v="2"/>
    <s v="NORMAL"/>
    <s v="Emerging Markets - Equities"/>
    <n v="95212.3"/>
    <n v="0.54087754607713401"/>
    <n v="8.3999999999999894E-2"/>
    <n v="7997.8332"/>
    <n v="2159.4149640000001"/>
    <n v="5838.4182360000004"/>
    <n v="101050.718236"/>
    <n v="237588.05795467499"/>
    <m/>
    <m/>
    <m/>
    <m/>
    <m/>
    <m/>
    <m/>
    <m/>
  </r>
  <r>
    <x v="2"/>
    <s v="ASK"/>
    <s v="Developed Markets - Equities"/>
    <n v="330.11"/>
    <n v="1.87527332850401E-3"/>
    <n v="6.8000000000000005E-2"/>
    <n v="22.447479999999999"/>
    <n v="3.8160715999999999"/>
    <n v="18.631408400000002"/>
    <n v="348.74140840000001"/>
    <n v="237588.05795467499"/>
    <m/>
    <m/>
    <m/>
    <m/>
    <m/>
    <m/>
    <m/>
    <m/>
  </r>
  <r>
    <x v="2"/>
    <s v="NORMAL"/>
    <s v="Developed Markets - Equities"/>
    <n v="405.71"/>
    <n v="2.30473824515271E-3"/>
    <n v="6.8000000000000005E-2"/>
    <n v="27.588279999999902"/>
    <n v="7.4488355999999998"/>
    <n v="20.139444399999899"/>
    <n v="425.84944439999998"/>
    <n v="237588.05795467499"/>
    <m/>
    <m/>
    <m/>
    <m/>
    <m/>
    <m/>
    <m/>
    <m/>
  </r>
  <r>
    <x v="2"/>
    <s v="NORMAL"/>
    <s v="Emerging Markets State - Obligations"/>
    <n v="263.264663004402"/>
    <n v="1.49554148880601E-3"/>
    <n v="4.8300000000000003E-2"/>
    <n v="12.715683223112601"/>
    <n v="3.4332344702404098"/>
    <n v="9.2824487528722308"/>
    <n v="272.54711175727402"/>
    <n v="237588.05795467499"/>
    <m/>
    <m/>
    <m/>
    <m/>
    <m/>
    <m/>
    <m/>
    <m/>
  </r>
  <r>
    <x v="2"/>
    <s v="NORMAL"/>
    <s v="High Yield Bonds - Obligations"/>
    <n v="1068.53274810382"/>
    <n v="6.0700704709102798E-3"/>
    <n v="4.9299999999999997E-2"/>
    <n v="52.678664481518297"/>
    <n v="14.223239410009899"/>
    <n v="38.455425071508301"/>
    <n v="1106.9881731753201"/>
    <n v="237588.05795467499"/>
    <m/>
    <m/>
    <m/>
    <m/>
    <m/>
    <m/>
    <m/>
    <m/>
  </r>
  <r>
    <x v="2"/>
    <s v="NORMAL"/>
    <s v="Investment Grade Bonds - Obligations"/>
    <n v="574.80421667842404"/>
    <n v="3.2653207011259602E-3"/>
    <n v="3.6299999999999999E-2"/>
    <n v="20.865393065426801"/>
    <n v="5.6336561276652404"/>
    <n v="15.2317369377615"/>
    <n v="590.035953616185"/>
    <n v="237588.05795467499"/>
    <m/>
    <m/>
    <m/>
    <m/>
    <m/>
    <m/>
    <m/>
    <m/>
  </r>
  <r>
    <x v="2"/>
    <s v="NORMAL"/>
    <s v="Government ZC Bonds - Obligations"/>
    <n v="706.74767853111496"/>
    <n v="4.0148589001591196E-3"/>
    <n v="2.8299999999999999E-2"/>
    <n v="20.000959302430601"/>
    <n v="5.4002590116562601"/>
    <n v="14.6007002907743"/>
    <n v="721.34837882188901"/>
    <n v="237588.05795467499"/>
    <m/>
    <m/>
    <m/>
    <m/>
    <m/>
    <m/>
    <m/>
    <m/>
  </r>
  <r>
    <x v="3"/>
    <s v="ASK"/>
    <s v="Emerging Markets - Equities"/>
    <n v="29983.82"/>
    <n v="0.121392075790896"/>
    <n v="8.3999999999999894E-2"/>
    <n v="2518.6408799999999"/>
    <n v="428.16894960000002"/>
    <n v="2090.4719304"/>
    <n v="32074.291930399999"/>
    <n v="267642.94728594099"/>
    <m/>
    <m/>
    <m/>
    <m/>
    <m/>
    <m/>
    <m/>
    <m/>
  </r>
  <r>
    <x v="3"/>
    <s v="NORMAL"/>
    <s v="Emerging Markets - Equities"/>
    <n v="209834.21"/>
    <n v="0.84953185831034395"/>
    <n v="8.3999999999999894E-2"/>
    <n v="17626.073639999999"/>
    <n v="4759.0398827999998"/>
    <n v="12867.033757200001"/>
    <n v="222701.24375719999"/>
    <n v="267642.94728594099"/>
    <m/>
    <m/>
    <m/>
    <m/>
    <m/>
    <m/>
    <m/>
    <m/>
  </r>
  <r>
    <x v="3"/>
    <s v="ASK"/>
    <s v="Developed Markets - Equities"/>
    <n v="71.069999999999993"/>
    <n v="2.87733011552864E-4"/>
    <n v="6.8000000000000005E-2"/>
    <n v="4.8327600000000004"/>
    <n v="0.821569200000001"/>
    <n v="4.0111907999999996"/>
    <n v="75.081190800000002"/>
    <n v="267642.94728594099"/>
    <m/>
    <m/>
    <m/>
    <m/>
    <m/>
    <m/>
    <m/>
    <m/>
  </r>
  <r>
    <x v="3"/>
    <s v="NORMAL"/>
    <s v="Developed Markets - Equities"/>
    <n v="497.38"/>
    <n v="2.01368573640303E-3"/>
    <n v="6.8000000000000005E-2"/>
    <n v="33.821840000000002"/>
    <n v="9.1318968000000105"/>
    <n v="24.689943199999998"/>
    <n v="522.06994320000001"/>
    <n v="267642.94728594099"/>
    <m/>
    <m/>
    <m/>
    <m/>
    <m/>
    <m/>
    <m/>
    <m/>
  </r>
  <r>
    <x v="3"/>
    <s v="NORMAL"/>
    <s v="Emerging Markets State - Obligations"/>
    <n v="2363.17908995978"/>
    <n v="9.5675339298281394E-3"/>
    <n v="4.8300000000000003E-2"/>
    <n v="114.141550045057"/>
    <n v="30.818218512165501"/>
    <n v="83.323331532891999"/>
    <n v="2446.5024214926698"/>
    <n v="267642.94728594099"/>
    <m/>
    <m/>
    <m/>
    <m/>
    <m/>
    <m/>
    <m/>
    <m/>
  </r>
  <r>
    <x v="3"/>
    <s v="NORMAL"/>
    <s v="High Yield Bonds - Obligations"/>
    <n v="1197.1808599030401"/>
    <n v="4.8468897452279497E-3"/>
    <n v="4.9299999999999997E-2"/>
    <n v="59.021016393219902"/>
    <n v="15.9356744261693"/>
    <n v="43.085341967050503"/>
    <n v="1240.2662018700901"/>
    <n v="267642.94728594099"/>
    <m/>
    <m/>
    <m/>
    <m/>
    <m/>
    <m/>
    <m/>
    <m/>
  </r>
  <r>
    <x v="3"/>
    <s v="NORMAL"/>
    <s v="Investment Grade Bonds - Obligations"/>
    <n v="2123.67454072908"/>
    <n v="8.5978791496007703E-3"/>
    <n v="3.6299999999999999E-2"/>
    <n v="77.089385828465694"/>
    <n v="20.814134173685702"/>
    <n v="56.27525165478"/>
    <n v="2179.9497923838599"/>
    <n v="267642.94728594099"/>
    <m/>
    <m/>
    <m/>
    <m/>
    <m/>
    <m/>
    <m/>
    <m/>
  </r>
  <r>
    <x v="3"/>
    <s v="NORMAL"/>
    <s v="Government ZC Bonds - Obligations"/>
    <n v="929.30383626072899"/>
    <n v="3.7623665605027298E-3"/>
    <n v="2.8299999999999999E-2"/>
    <n v="26.299298566178599"/>
    <n v="7.1008106128682398"/>
    <n v="19.198487953310401"/>
    <n v="948.50232421403905"/>
    <n v="267642.94728594099"/>
    <m/>
    <m/>
    <m/>
    <m/>
    <m/>
    <m/>
    <m/>
    <m/>
  </r>
  <r>
    <x v="4"/>
    <s v="ASK"/>
    <s v="Emerging Markets - Equities"/>
    <n v="33776.65"/>
    <n v="0.104767988870632"/>
    <n v="8.3999999999999894E-2"/>
    <n v="2837.2386000000001"/>
    <n v="482.33056199999999"/>
    <n v="2354.908038"/>
    <n v="36131.558038000003"/>
    <n v="301499.78011761297"/>
    <m/>
    <m/>
    <m/>
    <m/>
    <m/>
    <m/>
    <m/>
    <m/>
  </r>
  <r>
    <x v="4"/>
    <s v="NORMAL"/>
    <s v="Emerging Markets - Equities"/>
    <n v="286058.73"/>
    <n v="0.88729337696270005"/>
    <n v="8.3999999999999894E-2"/>
    <n v="24028.93332"/>
    <n v="6487.8119963999998"/>
    <n v="17541.1213236"/>
    <n v="303599.85132359999"/>
    <n v="301499.78011761297"/>
    <m/>
    <m/>
    <m/>
    <m/>
    <m/>
    <m/>
    <m/>
    <m/>
  </r>
  <r>
    <x v="4"/>
    <s v="ASK"/>
    <s v="Developed Markets - Equities"/>
    <n v="80.19"/>
    <n v="2.4873233513495201E-4"/>
    <n v="6.8000000000000005E-2"/>
    <n v="5.4529199999999998"/>
    <n v="0.92699640000000105"/>
    <n v="4.5259235999999996"/>
    <n v="84.715923599999996"/>
    <n v="301499.78011761297"/>
    <m/>
    <m/>
    <m/>
    <m/>
    <m/>
    <m/>
    <m/>
    <m/>
  </r>
  <r>
    <x v="4"/>
    <s v="NORMAL"/>
    <s v="Developed Markets - Equities"/>
    <n v="679.1"/>
    <n v="2.1064238532254201E-3"/>
    <n v="6.8000000000000005E-2"/>
    <n v="46.178800000000003"/>
    <n v="12.468275999999999"/>
    <n v="33.710523999999999"/>
    <n v="712.81052399999999"/>
    <n v="301499.78011761297"/>
    <m/>
    <m/>
    <m/>
    <m/>
    <m/>
    <m/>
    <m/>
    <m/>
  </r>
  <r>
    <x v="4"/>
    <s v="NORMAL"/>
    <s v="Emerging Markets State - Obligations"/>
    <n v="468.14180621770703"/>
    <n v="1.45207637654102E-3"/>
    <n v="4.8300000000000003E-2"/>
    <n v="22.611249240315299"/>
    <n v="6.1050372948851299"/>
    <n v="16.506211945430099"/>
    <n v="484.64801816313798"/>
    <n v="301499.78011761297"/>
    <m/>
    <m/>
    <m/>
    <m/>
    <m/>
    <m/>
    <m/>
    <m/>
  </r>
  <r>
    <x v="4"/>
    <s v="NORMAL"/>
    <s v="High Yield Bonds - Obligations"/>
    <n v="657.68218816729996"/>
    <n v="2.03999035340463E-3"/>
    <n v="4.9299999999999997E-2"/>
    <n v="32.4237318766478"/>
    <n v="8.7544076066949099"/>
    <n v="23.669324269952899"/>
    <n v="681.35151243725295"/>
    <n v="301499.78011761297"/>
    <m/>
    <m/>
    <m/>
    <m/>
    <m/>
    <m/>
    <m/>
    <m/>
  </r>
  <r>
    <x v="4"/>
    <s v="NORMAL"/>
    <s v="Investment Grade Bonds - Obligations"/>
    <n v="11.3137302709768"/>
    <n v="3.5092786499402303E-5"/>
    <n v="3.6299999999999999E-2"/>
    <n v="0.41068840883646002"/>
    <n v="0.11088587038584399"/>
    <n v="0.299802538450615"/>
    <n v="11.613532809427401"/>
    <n v="301499.78011761297"/>
    <m/>
    <m/>
    <m/>
    <m/>
    <m/>
    <m/>
    <m/>
    <m/>
  </r>
  <r>
    <x v="4"/>
    <s v="NORMAL"/>
    <s v="Government ZC Bonds - Obligations"/>
    <n v="662.95897381796101"/>
    <n v="2.0563578208805701E-3"/>
    <n v="2.8299999999999999E-2"/>
    <n v="18.761738959048301"/>
    <n v="5.0656695189430403"/>
    <n v="13.6960694401052"/>
    <n v="676.65504325806603"/>
    <n v="301499.78011761297"/>
    <m/>
    <m/>
    <m/>
    <m/>
    <m/>
    <m/>
    <m/>
    <m/>
  </r>
  <r>
    <x v="5"/>
    <s v="ASK"/>
    <s v="Emerging Markets - Equities"/>
    <n v="35227.43"/>
    <n v="8.7371325864178395E-2"/>
    <n v="8.3999999999999894E-2"/>
    <n v="2959.10412"/>
    <n v="503.0477004"/>
    <n v="2456.0564196"/>
    <n v="37683.486419599998"/>
    <n v="339639.50230249099"/>
    <m/>
    <m/>
    <m/>
    <m/>
    <m/>
    <m/>
    <m/>
    <m/>
  </r>
  <r>
    <x v="5"/>
    <s v="NORMAL"/>
    <s v="Emerging Markets - Equities"/>
    <n v="86233.74"/>
    <n v="0.21387754366488901"/>
    <n v="8.3999999999999894E-2"/>
    <n v="7243.6341599999996"/>
    <n v="1955.7812232000001"/>
    <n v="5287.8529368"/>
    <n v="91521.592936800007"/>
    <n v="339639.50230249099"/>
    <m/>
    <m/>
    <m/>
    <m/>
    <m/>
    <m/>
    <m/>
    <m/>
  </r>
  <r>
    <x v="5"/>
    <s v="ASK"/>
    <s v="Developed Markets - Equities"/>
    <n v="2912.29"/>
    <n v="7.22308265465258E-3"/>
    <n v="6.8000000000000005E-2"/>
    <n v="198.03572"/>
    <n v="33.666072399999997"/>
    <n v="164.36964760000001"/>
    <n v="3076.6596476"/>
    <n v="339639.50230249099"/>
    <m/>
    <m/>
    <m/>
    <m/>
    <m/>
    <m/>
    <m/>
    <m/>
  </r>
  <r>
    <x v="5"/>
    <s v="NORMAL"/>
    <s v="Developed Markets - Equities"/>
    <n v="7129.05"/>
    <n v="1.7681521208104602E-2"/>
    <n v="6.8000000000000005E-2"/>
    <n v="484.77539999999999"/>
    <n v="130.88935799999999"/>
    <n v="353.88604199999997"/>
    <n v="7482.9360420000003"/>
    <n v="339639.50230249099"/>
    <m/>
    <m/>
    <m/>
    <m/>
    <m/>
    <m/>
    <m/>
    <m/>
  </r>
  <r>
    <x v="5"/>
    <s v="NORMAL"/>
    <s v="Emerging Markets State - Obligations"/>
    <n v="43008.580555439199"/>
    <n v="0.10667019157131299"/>
    <n v="4.8300000000000003E-2"/>
    <n v="2077.3144408277099"/>
    <n v="560.87489902348295"/>
    <n v="1516.43954180423"/>
    <n v="44525.020097243403"/>
    <n v="339639.50230249099"/>
    <m/>
    <m/>
    <m/>
    <m/>
    <m/>
    <m/>
    <m/>
    <m/>
  </r>
  <r>
    <x v="5"/>
    <s v="NORMAL"/>
    <s v="High Yield Bonds - Obligations"/>
    <n v="23.551544195687399"/>
    <n v="5.8412709713027702E-5"/>
    <n v="4.9299999999999997E-2"/>
    <n v="1.16109112884738"/>
    <n v="0.31349460478879498"/>
    <n v="0.84759652405859298"/>
    <n v="24.399140719746001"/>
    <n v="339639.50230249099"/>
    <m/>
    <m/>
    <m/>
    <m/>
    <m/>
    <m/>
    <m/>
    <m/>
  </r>
  <r>
    <x v="5"/>
    <s v="NORMAL"/>
    <s v="Investment Grade Bonds - Obligations"/>
    <n v="143167.83040101401"/>
    <n v="0.355085885153543"/>
    <n v="3.6299999999999999E-2"/>
    <n v="5196.9922435568296"/>
    <n v="1403.1879057603401"/>
    <n v="3793.80433779648"/>
    <n v="146961.634738811"/>
    <n v="339639.50230249099"/>
    <m/>
    <m/>
    <m/>
    <m/>
    <m/>
    <m/>
    <m/>
    <m/>
  </r>
  <r>
    <x v="5"/>
    <s v="NORMAL"/>
    <s v="Government ZC Bonds - Obligations"/>
    <n v="85489.645585318096"/>
    <n v="0.21203203533291901"/>
    <n v="2.8299999999999999E-2"/>
    <n v="2419.3569700644998"/>
    <n v="653.22638191741498"/>
    <n v="1766.1305881470801"/>
    <n v="87255.776173465201"/>
    <n v="339639.50230249099"/>
    <m/>
    <m/>
    <m/>
    <m/>
    <m/>
    <m/>
    <m/>
    <m/>
  </r>
  <r>
    <x v="6"/>
    <s v="ASK"/>
    <s v="Emerging Markets - Equities"/>
    <n v="42311.76"/>
    <n v="8.7055968085077304E-2"/>
    <n v="8.3999999999999894E-2"/>
    <n v="3554.1878400000001"/>
    <n v="604.21193280000102"/>
    <n v="2949.9759072000002"/>
    <n v="45261.735907200004"/>
    <n v="382603.89934375603"/>
    <m/>
    <m/>
    <m/>
    <m/>
    <m/>
    <m/>
    <m/>
    <m/>
  </r>
  <r>
    <x v="6"/>
    <s v="NORMAL"/>
    <s v="Emerging Markets - Equities"/>
    <n v="44296.89"/>
    <n v="9.1140350628481998E-2"/>
    <n v="8.3999999999999894E-2"/>
    <n v="3720.93876"/>
    <n v="1004.6534652"/>
    <n v="2716.2852948"/>
    <n v="47013.175294799999"/>
    <n v="382603.89934375603"/>
    <m/>
    <m/>
    <m/>
    <m/>
    <m/>
    <m/>
    <m/>
    <m/>
  </r>
  <r>
    <x v="6"/>
    <s v="ASK"/>
    <s v="Developed Markets - Equities"/>
    <n v="652.63"/>
    <n v="1.3427788504038599E-3"/>
    <n v="6.8000000000000005E-2"/>
    <n v="44.378839999999997"/>
    <n v="7.5444028000000101"/>
    <n v="36.834437200000004"/>
    <n v="689.46443720000002"/>
    <n v="382603.89934375603"/>
    <m/>
    <m/>
    <m/>
    <m/>
    <m/>
    <m/>
    <m/>
    <m/>
  </r>
  <r>
    <x v="6"/>
    <s v="NORMAL"/>
    <s v="Developed Markets - Equities"/>
    <n v="683.25"/>
    <n v="1.4057791544036199E-3"/>
    <n v="6.8000000000000005E-2"/>
    <n v="46.460999999999999"/>
    <n v="12.54447"/>
    <n v="33.916530000000002"/>
    <n v="717.16652999999997"/>
    <n v="382603.89934375603"/>
    <m/>
    <m/>
    <m/>
    <m/>
    <m/>
    <m/>
    <m/>
    <m/>
  </r>
  <r>
    <x v="6"/>
    <s v="NORMAL"/>
    <s v="Emerging Markets State - Obligations"/>
    <n v="238.82500681257599"/>
    <n v="4.9137975283925904E-4"/>
    <n v="4.8300000000000003E-2"/>
    <n v="11.5352478290474"/>
    <n v="3.1145169138428099"/>
    <n v="8.4207309152046292"/>
    <n v="247.24573772778101"/>
    <n v="382603.89934375603"/>
    <m/>
    <m/>
    <m/>
    <m/>
    <m/>
    <m/>
    <m/>
    <m/>
  </r>
  <r>
    <x v="6"/>
    <s v="NORMAL"/>
    <s v="High Yield Bonds - Obligations"/>
    <n v="728.92107718572595"/>
    <n v="1.49974687963868E-3"/>
    <n v="4.9299999999999997E-2"/>
    <n v="35.935809105256197"/>
    <n v="9.7026684584191791"/>
    <n v="26.233140646837001"/>
    <n v="755.15421783256295"/>
    <n v="382603.89934375603"/>
    <m/>
    <m/>
    <m/>
    <m/>
    <m/>
    <m/>
    <m/>
    <m/>
  </r>
  <r>
    <x v="6"/>
    <s v="NORMAL"/>
    <s v="Investment Grade Bonds - Obligations"/>
    <n v="1087.56989293931"/>
    <n v="2.2376627653875902E-3"/>
    <n v="3.6299999999999999E-2"/>
    <n v="39.478787113697301"/>
    <n v="10.659272520698201"/>
    <n v="28.819514592998999"/>
    <n v="1116.3894075323101"/>
    <n v="382603.89934375603"/>
    <m/>
    <m/>
    <m/>
    <m/>
    <m/>
    <m/>
    <m/>
    <m/>
  </r>
  <r>
    <x v="6"/>
    <s v="NORMAL"/>
    <s v="Government ZC Bonds - Obligations"/>
    <n v="396029.54794844199"/>
    <n v="0.81482631984458298"/>
    <n v="2.8299999999999999E-2"/>
    <n v="11207.636206940901"/>
    <n v="3026.06177587404"/>
    <n v="8181.5744310668697"/>
    <n v="404211.12237950898"/>
    <n v="382603.89934375603"/>
    <m/>
    <m/>
    <m/>
    <m/>
    <m/>
    <m/>
    <m/>
    <m/>
  </r>
  <r>
    <x v="7"/>
    <s v="ASK"/>
    <s v="Emerging Markets - Equities"/>
    <n v="47438.720000000001"/>
    <n v="8.3491778331731201E-2"/>
    <n v="8.3999999999999894E-2"/>
    <n v="3984.85248"/>
    <n v="677.42492159999995"/>
    <n v="3307.4275584000002"/>
    <n v="50746.1475584"/>
    <n v="431003.29261074099"/>
    <m/>
    <m/>
    <m/>
    <m/>
    <m/>
    <m/>
    <m/>
    <m/>
  </r>
  <r>
    <x v="7"/>
    <s v="NORMAL"/>
    <s v="Emerging Markets - Equities"/>
    <n v="105983.92"/>
    <n v="0.18653087510303601"/>
    <n v="8.3999999999999894E-2"/>
    <n v="8902.6492800000105"/>
    <n v="2403.7153056000002"/>
    <n v="6498.9339743999999"/>
    <n v="112482.8539744"/>
    <n v="431003.29261074099"/>
    <m/>
    <m/>
    <m/>
    <m/>
    <m/>
    <m/>
    <m/>
    <m/>
  </r>
  <r>
    <x v="7"/>
    <s v="ASK"/>
    <s v="Developed Markets - Equities"/>
    <n v="960.67"/>
    <n v="1.69077173013825E-3"/>
    <n v="6.8000000000000005E-2"/>
    <n v="65.325560000000095"/>
    <n v="11.1053452"/>
    <n v="54.220214800000001"/>
    <n v="1014.8902148"/>
    <n v="431003.29261074099"/>
    <m/>
    <m/>
    <m/>
    <m/>
    <m/>
    <m/>
    <m/>
    <m/>
  </r>
  <r>
    <x v="7"/>
    <s v="NORMAL"/>
    <s v="Developed Markets - Equities"/>
    <n v="2146.2600000000002"/>
    <n v="3.7774009113707399E-3"/>
    <n v="6.8000000000000005E-2"/>
    <n v="145.94568000000001"/>
    <n v="39.405333599999999"/>
    <n v="106.5403464"/>
    <n v="2252.8003463999999"/>
    <n v="431003.29261074099"/>
    <m/>
    <m/>
    <m/>
    <m/>
    <m/>
    <m/>
    <m/>
    <m/>
  </r>
  <r>
    <x v="7"/>
    <s v="NORMAL"/>
    <s v="Emerging Markets State - Obligations"/>
    <n v="1619.3986530484401"/>
    <n v="2.8501290374408298E-3"/>
    <n v="4.8300000000000003E-2"/>
    <n v="78.216954942240093"/>
    <n v="21.1185778344048"/>
    <n v="57.098377107835297"/>
    <n v="1676.4970301562801"/>
    <n v="431003.29261074099"/>
    <m/>
    <m/>
    <m/>
    <m/>
    <m/>
    <m/>
    <m/>
    <m/>
  </r>
  <r>
    <x v="7"/>
    <s v="NORMAL"/>
    <s v="High Yield Bonds - Obligations"/>
    <n v="2008.7246771740699"/>
    <n v="3.5353398126276598E-3"/>
    <n v="4.9299999999999997E-2"/>
    <n v="99.030126584681696"/>
    <n v="26.738134177864001"/>
    <n v="72.291992406817599"/>
    <n v="2081.0166695808898"/>
    <n v="431003.29261074099"/>
    <m/>
    <m/>
    <m/>
    <m/>
    <m/>
    <m/>
    <m/>
    <m/>
  </r>
  <r>
    <x v="7"/>
    <s v="NORMAL"/>
    <s v="Investment Grade Bonds - Obligations"/>
    <n v="2164.1051407445898"/>
    <n v="3.8088082203231299E-3"/>
    <n v="3.6299999999999999E-2"/>
    <n v="78.557016609028693"/>
    <n v="21.2103944844377"/>
    <n v="57.346622124591001"/>
    <n v="2221.4517628691801"/>
    <n v="431003.29261074099"/>
    <m/>
    <m/>
    <m/>
    <m/>
    <m/>
    <m/>
    <m/>
    <m/>
  </r>
  <r>
    <x v="7"/>
    <s v="NORMAL"/>
    <s v="Government ZC Bonds - Obligations"/>
    <n v="405862.52779810497"/>
    <n v="0.71431489306784701"/>
    <n v="2.8299999999999999E-2"/>
    <n v="11485.9095366863"/>
    <n v="3101.19557490532"/>
    <n v="8384.7139617810499"/>
    <n v="414247.24175988598"/>
    <n v="431003.29261074099"/>
    <m/>
    <m/>
    <m/>
    <m/>
    <m/>
    <m/>
    <m/>
    <m/>
  </r>
  <r>
    <x v="8"/>
    <s v="ASK"/>
    <s v="Emerging Markets - Equities"/>
    <n v="53007.7"/>
    <n v="8.0856496435925906E-2"/>
    <n v="8.3999999999999894E-2"/>
    <n v="4452.6468000000004"/>
    <n v="756.94995600000004"/>
    <n v="3695.6968440000001"/>
    <n v="56703.396844000003"/>
    <n v="485525.209126"/>
    <n v="62"/>
    <n v="400000"/>
    <m/>
    <m/>
    <m/>
    <m/>
    <m/>
    <m/>
  </r>
  <r>
    <x v="8"/>
    <s v="NORMAL"/>
    <s v="Emerging Markets - Equities"/>
    <n v="183171.23"/>
    <n v="0.27940438663928402"/>
    <n v="8.3999999999999894E-2"/>
    <n v="15386.383320000001"/>
    <n v="4154.3234964000003"/>
    <n v="11232.059823600001"/>
    <n v="194403.2898236"/>
    <n v="485525.209126"/>
    <n v="62"/>
    <n v="400000"/>
    <m/>
    <m/>
    <m/>
    <m/>
    <m/>
    <m/>
  </r>
  <r>
    <x v="8"/>
    <s v="ASK"/>
    <s v="Developed Markets - Equities"/>
    <n v="1514.22"/>
    <n v="2.30974979169456E-3"/>
    <n v="6.8000000000000005E-2"/>
    <n v="102.96696"/>
    <n v="17.504383199999999"/>
    <n v="85.462576800000093"/>
    <n v="1599.6825768000001"/>
    <n v="485525.209126"/>
    <n v="62"/>
    <n v="400000"/>
    <m/>
    <m/>
    <m/>
    <m/>
    <m/>
    <m/>
  </r>
  <r>
    <x v="8"/>
    <s v="NORMAL"/>
    <s v="Developed Markets - Equities"/>
    <n v="5232.46"/>
    <n v="7.9814514370765994E-3"/>
    <n v="6.8000000000000005E-2"/>
    <n v="355.80727999999999"/>
    <n v="96.067965599999994"/>
    <n v="259.73931440000001"/>
    <n v="5492.1993143999998"/>
    <n v="485525.209126"/>
    <n v="62"/>
    <n v="400000"/>
    <m/>
    <m/>
    <m/>
    <m/>
    <m/>
    <m/>
  </r>
  <r>
    <x v="8"/>
    <s v="NORMAL"/>
    <s v="Emerging Markets State - Obligations"/>
    <n v="2647.4888864753798"/>
    <n v="4.03840716940087E-3"/>
    <n v="4.8300000000000003E-2"/>
    <n v="127.873713216761"/>
    <n v="34.525902568525503"/>
    <n v="93.347810648235594"/>
    <n v="2740.8366971236201"/>
    <n v="485525.209126"/>
    <n v="62"/>
    <n v="400000"/>
    <m/>
    <m/>
    <m/>
    <m/>
    <m/>
    <m/>
  </r>
  <r>
    <x v="8"/>
    <s v="NORMAL"/>
    <s v="High Yield Bonds - Obligations"/>
    <n v="639.13144431376998"/>
    <n v="9.7491363234482103E-4"/>
    <n v="4.9299999999999997E-2"/>
    <n v="31.509180204668802"/>
    <n v="8.5074786552605808"/>
    <n v="23.0017015494082"/>
    <n v="662.13314586317802"/>
    <n v="485525.209126"/>
    <n v="62"/>
    <n v="400000"/>
    <m/>
    <m/>
    <m/>
    <m/>
    <m/>
    <m/>
  </r>
  <r>
    <x v="8"/>
    <s v="NORMAL"/>
    <s v="Investment Grade Bonds - Obligations"/>
    <n v="1105.0772227398099"/>
    <n v="1.68565458455818E-3"/>
    <n v="3.6299999999999999E-2"/>
    <n v="40.1143031854551"/>
    <n v="10.830861860072799"/>
    <n v="29.283441325382199"/>
    <n v="1134.3606640651899"/>
    <n v="485525.209126"/>
    <n v="62"/>
    <n v="400000"/>
    <m/>
    <m/>
    <m/>
    <m/>
    <m/>
    <m/>
  </r>
  <r>
    <x v="8"/>
    <s v="NORMAL"/>
    <s v="Government ZC Bonds - Obligations"/>
    <n v="408260.20334110898"/>
    <n v="0.62274895300835198"/>
    <n v="2.8299999999999999E-2"/>
    <n v="11553.7637545533"/>
    <n v="3119.5162137294101"/>
    <n v="8434.2475408239698"/>
    <n v="416694.45088193298"/>
    <n v="485525.209126"/>
    <n v="62"/>
    <n v="400000"/>
    <m/>
    <m/>
    <m/>
    <m/>
    <m/>
    <m/>
  </r>
  <r>
    <x v="9"/>
    <s v="ASK"/>
    <s v="Emerging Markets - Equities"/>
    <n v="17031.61"/>
    <n v="4.8804880707010299E-2"/>
    <n v="6.3E-2"/>
    <n v="1072.99142999999"/>
    <n v="182.40854309999901"/>
    <n v="890.58288689999802"/>
    <n v="17922.1928869"/>
    <n v="546944.14808043896"/>
    <m/>
    <m/>
    <m/>
    <m/>
    <m/>
    <m/>
    <m/>
    <m/>
  </r>
  <r>
    <x v="9"/>
    <s v="NORMAL"/>
    <s v="Emerging Markets - Equities"/>
    <n v="78404.490000000005"/>
    <n v="0.22467175923732299"/>
    <n v="6.3E-2"/>
    <n v="4939.4828699999898"/>
    <n v="1333.6603748999901"/>
    <n v="3605.8224950999902"/>
    <n v="82010.312495100006"/>
    <n v="546944.14808043896"/>
    <m/>
    <m/>
    <m/>
    <m/>
    <m/>
    <m/>
    <m/>
    <m/>
  </r>
  <r>
    <x v="9"/>
    <s v="ASK"/>
    <s v="Developed Markets - Equities"/>
    <n v="44387.33"/>
    <n v="0.12719398492289899"/>
    <n v="6.3E-2"/>
    <n v="2796.4017899999899"/>
    <n v="475.38830429999899"/>
    <n v="2321.0134856999898"/>
    <n v="46708.343485699901"/>
    <n v="546944.14808043896"/>
    <m/>
    <m/>
    <m/>
    <m/>
    <m/>
    <m/>
    <m/>
    <m/>
  </r>
  <r>
    <x v="9"/>
    <s v="NORMAL"/>
    <s v="Developed Markets - Equities"/>
    <n v="204335.75"/>
    <n v="0.58553371659681497"/>
    <n v="6.3E-2"/>
    <n v="12873.152249999899"/>
    <n v="3475.7511074999902"/>
    <n v="9397.4011424999808"/>
    <n v="213733.15114249999"/>
    <n v="546944.14808043896"/>
    <m/>
    <m/>
    <m/>
    <m/>
    <m/>
    <m/>
    <m/>
    <m/>
  </r>
  <r>
    <x v="9"/>
    <s v="NORMAL"/>
    <s v="Emerging Markets State - Obligations"/>
    <n v="1170.1567640114199"/>
    <n v="3.35313932599906E-3"/>
    <n v="3.4299999999999997E-2"/>
    <n v="40.136377005592003"/>
    <n v="10.8368217915098"/>
    <n v="29.299555214082201"/>
    <n v="1199.4563192255"/>
    <n v="546944.14808043896"/>
    <m/>
    <m/>
    <m/>
    <m/>
    <m/>
    <m/>
    <m/>
    <m/>
  </r>
  <r>
    <x v="9"/>
    <s v="NORMAL"/>
    <s v="High Yield Bonds - Obligations"/>
    <n v="631.64323639451595"/>
    <n v="1.8100034466280201E-3"/>
    <n v="3.4299999999999997E-2"/>
    <n v="21.665363008331902"/>
    <n v="5.8496480122496202"/>
    <n v="15.815714996082299"/>
    <n v="647.45895139059803"/>
    <n v="546944.14808043896"/>
    <m/>
    <m/>
    <m/>
    <m/>
    <m/>
    <m/>
    <m/>
    <m/>
  </r>
  <r>
    <x v="9"/>
    <s v="NORMAL"/>
    <s v="Investment Grade Bonds - Obligations"/>
    <n v="1576.48356609549"/>
    <n v="4.5174879168706199E-3"/>
    <n v="3.4299999999999997E-2"/>
    <n v="54.073386317075503"/>
    <n v="14.5998143056104"/>
    <n v="39.473572011465102"/>
    <n v="1615.95713810696"/>
    <n v="546944.14808043896"/>
    <m/>
    <m/>
    <m/>
    <m/>
    <m/>
    <m/>
    <m/>
    <m/>
  </r>
  <r>
    <x v="9"/>
    <s v="NORMAL"/>
    <s v="Government ZC Bonds - Obligations"/>
    <n v="1436.0440134759299"/>
    <n v="4.1150517636153903E-3"/>
    <n v="3.4299999999999997E-2"/>
    <n v="49.256309662224503"/>
    <n v="13.2992036088006"/>
    <n v="35.9571060534239"/>
    <n v="1472.00111952936"/>
    <n v="546944.14808043896"/>
    <m/>
    <m/>
    <m/>
    <m/>
    <m/>
    <m/>
    <m/>
    <m/>
  </r>
  <r>
    <x v="10"/>
    <s v="ASK"/>
    <s v="Emerging Markets - Equities"/>
    <n v="32485.7"/>
    <n v="7.3413717769720596E-2"/>
    <n v="6.3E-2"/>
    <n v="2046.5990999999899"/>
    <n v="347.92184699999899"/>
    <n v="1698.6772529999901"/>
    <n v="34184.377252999999"/>
    <n v="616132.58281261497"/>
    <m/>
    <m/>
    <m/>
    <m/>
    <m/>
    <m/>
    <m/>
    <m/>
  </r>
  <r>
    <x v="10"/>
    <s v="ASK"/>
    <s v="Developed Markets - Equities"/>
    <n v="815.42"/>
    <n v="1.8427496942896599E-3"/>
    <n v="6.3E-2"/>
    <n v="51.3714599999999"/>
    <n v="8.7331481999999898"/>
    <n v="42.638311799999897"/>
    <n v="858.05831179999996"/>
    <n v="616132.58281261497"/>
    <m/>
    <m/>
    <m/>
    <m/>
    <m/>
    <m/>
    <m/>
    <m/>
  </r>
  <r>
    <x v="10"/>
    <s v="NORMAL"/>
    <s v="Emerging Markets State - Obligations"/>
    <n v="3022.3765956852899"/>
    <n v="6.8302022856040999E-3"/>
    <n v="3.4299999999999997E-2"/>
    <n v="103.667517232005"/>
    <n v="27.990229652641499"/>
    <n v="75.677287579364005"/>
    <n v="3098.0538832646498"/>
    <n v="616132.58281261497"/>
    <m/>
    <m/>
    <m/>
    <m/>
    <m/>
    <m/>
    <m/>
    <m/>
  </r>
  <r>
    <x v="10"/>
    <s v="NORMAL"/>
    <s v="High Yield Bonds - Obligations"/>
    <n v="316.23750100548898"/>
    <n v="7.1465816180715596E-4"/>
    <n v="3.4299999999999997E-2"/>
    <n v="10.846946284488199"/>
    <n v="2.9286754968118398"/>
    <n v="7.91827078767645"/>
    <n v="324.155771793165"/>
    <n v="616132.58281261497"/>
    <m/>
    <m/>
    <m/>
    <m/>
    <m/>
    <m/>
    <m/>
    <m/>
  </r>
  <r>
    <x v="10"/>
    <s v="NORMAL"/>
    <s v="Investment Grade Bonds - Obligations"/>
    <n v="1897.36629823356"/>
    <n v="4.2878162983804799E-3"/>
    <n v="3.4299999999999997E-2"/>
    <n v="65.079664029411305"/>
    <n v="17.571509287941002"/>
    <n v="47.5081547414702"/>
    <n v="1944.87445297503"/>
    <n v="616132.58281261497"/>
    <m/>
    <m/>
    <m/>
    <m/>
    <m/>
    <m/>
    <m/>
    <m/>
  </r>
  <r>
    <x v="10"/>
    <s v="NORMAL"/>
    <s v="Government ZC Bonds - Obligations"/>
    <n v="403964.66615171399"/>
    <n v="0.91291084969083003"/>
    <n v="3.4299999999999997E-2"/>
    <n v="13855.988049003799"/>
    <n v="3741.11677323103"/>
    <n v="10114.871275772701"/>
    <n v="414079.53742748703"/>
    <n v="616132.58281261497"/>
    <m/>
    <m/>
    <m/>
    <m/>
    <m/>
    <m/>
    <m/>
    <m/>
  </r>
  <r>
    <x v="11"/>
    <s v="ASK"/>
    <s v="Emerging Markets - Equities"/>
    <n v="113828.08"/>
    <n v="0.213780167444309"/>
    <n v="6.3E-2"/>
    <n v="7171.1690399999898"/>
    <n v="1219.0987367999901"/>
    <n v="5952.0703031999901"/>
    <n v="119780.150303199"/>
    <n v="694073.35453840997"/>
    <m/>
    <m/>
    <m/>
    <m/>
    <m/>
    <m/>
    <m/>
    <m/>
  </r>
  <r>
    <x v="11"/>
    <s v="NORMAL"/>
    <s v="Emerging Markets - Equities"/>
    <n v="7423.79"/>
    <n v="1.39425971980849E-2"/>
    <n v="6.3E-2"/>
    <n v="467.698769999999"/>
    <n v="126.2786679"/>
    <n v="341.42010209999899"/>
    <n v="7765.2101020999999"/>
    <n v="694073.35453840997"/>
    <m/>
    <m/>
    <m/>
    <m/>
    <m/>
    <m/>
    <m/>
    <m/>
  </r>
  <r>
    <x v="11"/>
    <s v="NORMAL"/>
    <s v="Emerging Markets State - Obligations"/>
    <n v="1.6967074694433999E-10"/>
    <n v="3.1865810872117002E-16"/>
    <n v="3.4299999999999997E-2"/>
    <n v="5.8197066201908698E-12"/>
    <n v="1.57132078745153E-12"/>
    <n v="4.2483858327393299E-12"/>
    <n v="1.73919132777079E-10"/>
    <n v="694073.35453840997"/>
    <m/>
    <m/>
    <m/>
    <m/>
    <m/>
    <m/>
    <m/>
    <m/>
  </r>
  <r>
    <x v="11"/>
    <s v="NORMAL"/>
    <s v="Investment Grade Bonds - Obligations"/>
    <n v="1.1529962308741399E-13"/>
    <n v="2.16543867997186E-19"/>
    <n v="3.4299999999999997E-2"/>
    <n v="3.9547770718983098E-15"/>
    <n v="1.06778980941254E-15"/>
    <n v="2.88698726248576E-15"/>
    <n v="1.1818661034989999E-13"/>
    <n v="694073.35453840997"/>
    <m/>
    <m/>
    <m/>
    <m/>
    <m/>
    <m/>
    <m/>
    <m/>
  </r>
  <r>
    <x v="11"/>
    <s v="NORMAL"/>
    <s v="Government ZC Bonds - Obligations"/>
    <n v="411202.007699362"/>
    <n v="0.77227722772277196"/>
    <n v="3.4299999999999997E-2"/>
    <n v="14104.2288640881"/>
    <n v="3808.1417933037901"/>
    <n v="10296.087070784301"/>
    <n v="421498.094770147"/>
    <n v="694073.35453840997"/>
    <m/>
    <m/>
    <m/>
    <m/>
    <m/>
    <m/>
    <m/>
    <m/>
  </r>
  <r>
    <x v="12"/>
    <s v="ASK"/>
    <s v="Emerging Markets - Equities"/>
    <n v="87212.38"/>
    <n v="0.13892012907264301"/>
    <n v="6.3E-2"/>
    <n v="5494.3799399999898"/>
    <n v="934.04458979999902"/>
    <n v="4560.33535019999"/>
    <n v="91772.7153502"/>
    <n v="781873.63388751901"/>
    <m/>
    <m/>
    <m/>
    <m/>
    <m/>
    <m/>
    <m/>
    <m/>
  </r>
  <r>
    <x v="12"/>
    <s v="NORMAL"/>
    <s v="Emerging Markets - Equities"/>
    <n v="134102.67000000001"/>
    <n v="0.21361141876171699"/>
    <n v="6.3E-2"/>
    <n v="8448.46820999999"/>
    <n v="2281.08641669999"/>
    <n v="6167.38179329999"/>
    <n v="140270.05179329999"/>
    <n v="781873.63388751901"/>
    <m/>
    <m/>
    <m/>
    <m/>
    <m/>
    <m/>
    <m/>
    <m/>
  </r>
  <r>
    <x v="12"/>
    <s v="ASK"/>
    <s v="Developed Markets - Equities"/>
    <n v="587.9"/>
    <n v="9.3646273478383295E-4"/>
    <n v="6.3E-2"/>
    <n v="37.037699999999901"/>
    <n v="6.2964089999999899"/>
    <n v="30.741290999999901"/>
    <n v="618.641290999999"/>
    <n v="781873.63388751901"/>
    <m/>
    <m/>
    <m/>
    <m/>
    <m/>
    <m/>
    <m/>
    <m/>
  </r>
  <r>
    <x v="12"/>
    <s v="NORMAL"/>
    <s v="Developed Markets - Equities"/>
    <n v="903.99"/>
    <n v="1.4399607885988001E-3"/>
    <n v="6.3E-2"/>
    <n v="56.951369999999997"/>
    <n v="15.3768698999999"/>
    <n v="41.574500099999902"/>
    <n v="945.56450010000003"/>
    <n v="781873.63388751901"/>
    <m/>
    <m/>
    <m/>
    <m/>
    <m/>
    <m/>
    <m/>
    <m/>
  </r>
  <r>
    <x v="12"/>
    <s v="NORMAL"/>
    <s v="Emerging Markets State - Obligations"/>
    <n v="112.062032774307"/>
    <n v="1.78503006765203E-4"/>
    <n v="3.4299999999999997E-2"/>
    <n v="3.8437277241587302"/>
    <n v="1.0378064855228499"/>
    <n v="2.8059212386358698"/>
    <n v="114.867954012943"/>
    <n v="781873.63388751901"/>
    <m/>
    <m/>
    <m/>
    <m/>
    <m/>
    <m/>
    <m/>
    <m/>
  </r>
  <r>
    <x v="12"/>
    <s v="NORMAL"/>
    <s v="High Yield Bonds - Obligations"/>
    <n v="1447.2081032487999"/>
    <n v="2.3052499713721599E-3"/>
    <n v="3.4299999999999997E-2"/>
    <n v="49.639237941433898"/>
    <n v="13.4025942441871"/>
    <n v="36.236643697246798"/>
    <n v="1483.4447469460399"/>
    <n v="781873.63388751901"/>
    <m/>
    <m/>
    <m/>
    <m/>
    <m/>
    <m/>
    <m/>
    <m/>
  </r>
  <r>
    <x v="12"/>
    <s v="NORMAL"/>
    <s v="Investment Grade Bonds - Obligations"/>
    <n v="1126.1504875441899"/>
    <n v="1.7938390293311399E-3"/>
    <n v="3.4299999999999997E-2"/>
    <n v="38.626961722765799"/>
    <n v="10.4292796651467"/>
    <n v="28.197682057619001"/>
    <n v="1154.34816960181"/>
    <n v="781873.63388751901"/>
    <m/>
    <m/>
    <m/>
    <m/>
    <m/>
    <m/>
    <m/>
    <m/>
  </r>
  <r>
    <x v="12"/>
    <s v="NORMAL"/>
    <s v="Government ZC Bonds - Obligations"/>
    <n v="402295.56119583501"/>
    <n v="0.64081442665223598"/>
    <n v="3.4299999999999997E-2"/>
    <n v="13798.7377490171"/>
    <n v="3725.6591922346402"/>
    <n v="10073.078556782501"/>
    <n v="412368.63975261798"/>
    <n v="781873.63388751901"/>
    <m/>
    <m/>
    <m/>
    <m/>
    <m/>
    <m/>
    <m/>
    <m/>
  </r>
  <r>
    <x v="13"/>
    <s v="ASK"/>
    <s v="Emerging Markets - Equities"/>
    <n v="12.74"/>
    <n v="1.7493747638528001E-5"/>
    <n v="6.3E-2"/>
    <n v="0.802619999999999"/>
    <n v="0.136445399999999"/>
    <n v="0.66617459999999895"/>
    <n v="13.4061746"/>
    <n v="880780.64857429103"/>
    <m/>
    <m/>
    <n v="56"/>
    <n v="400000"/>
    <m/>
    <m/>
    <m/>
    <m/>
  </r>
  <r>
    <x v="13"/>
    <s v="ASK"/>
    <s v="Developed Markets - Equities"/>
    <n v="963.58"/>
    <n v="1.32312600859755E-3"/>
    <n v="6.3E-2"/>
    <n v="60.705539999999999"/>
    <n v="10.3199418"/>
    <n v="50.385598199999997"/>
    <n v="1013.9655982"/>
    <n v="880780.64857429103"/>
    <m/>
    <m/>
    <n v="56"/>
    <n v="400000"/>
    <m/>
    <m/>
    <m/>
    <m/>
  </r>
  <r>
    <x v="13"/>
    <s v="NORMAL"/>
    <s v="Emerging Markets State - Obligations"/>
    <n v="119.716901372097"/>
    <n v="1.64387540083989E-4"/>
    <n v="3.4299999999999997E-2"/>
    <n v="4.1062897170629196"/>
    <n v="1.10869822360698"/>
    <n v="2.9975914934559298"/>
    <n v="122.714492865552"/>
    <n v="880780.64857429103"/>
    <m/>
    <m/>
    <n v="56"/>
    <n v="400000"/>
    <m/>
    <m/>
    <m/>
    <m/>
  </r>
  <r>
    <x v="13"/>
    <s v="NORMAL"/>
    <s v="High Yield Bonds - Obligations"/>
    <n v="5058.5389487681596"/>
    <n v="6.9460599520734202E-3"/>
    <n v="3.4299999999999997E-2"/>
    <n v="173.50788594274701"/>
    <n v="46.847129204541801"/>
    <n v="126.660756738205"/>
    <n v="5185.1997055063603"/>
    <n v="880780.64857429103"/>
    <m/>
    <m/>
    <n v="56"/>
    <n v="400000"/>
    <m/>
    <m/>
    <m/>
    <m/>
  </r>
  <r>
    <x v="13"/>
    <s v="NORMAL"/>
    <s v="Investment Grade Bonds - Obligations"/>
    <n v="3982.0655874129902"/>
    <n v="5.4679160491577696E-3"/>
    <n v="3.4299999999999997E-2"/>
    <n v="136.58484964826499"/>
    <n v="36.877909405031602"/>
    <n v="99.706940243233703"/>
    <n v="4081.7725276562201"/>
    <n v="880780.64857429103"/>
    <m/>
    <m/>
    <n v="56"/>
    <n v="400000"/>
    <m/>
    <m/>
    <m/>
    <m/>
  </r>
  <r>
    <x v="13"/>
    <s v="NORMAL"/>
    <s v="Government ZC Bonds - Obligations"/>
    <n v="718123.55229656305"/>
    <n v="0.98608102018519705"/>
    <n v="3.4299999999999997E-2"/>
    <n v="24631.637843772001"/>
    <n v="6650.5422178184599"/>
    <n v="17981.0956259536"/>
    <n v="736104.64792251703"/>
    <n v="880780.64857429103"/>
    <m/>
    <m/>
    <n v="56"/>
    <n v="400000"/>
    <m/>
    <m/>
    <m/>
    <m/>
  </r>
  <r>
    <x v="14"/>
    <s v="ASK"/>
    <s v="Emerging Markets - Equities"/>
    <n v="106772.36"/>
    <n v="0.245565399534144"/>
    <n v="6.3E-2"/>
    <n v="6726.6586799999905"/>
    <n v="1143.5319755999899"/>
    <n v="5583.1267043999896"/>
    <n v="112355.4867044"/>
    <n v="992199.40061893803"/>
    <m/>
    <m/>
    <m/>
    <m/>
    <m/>
    <m/>
    <m/>
    <m/>
  </r>
  <r>
    <x v="14"/>
    <s v="ASK"/>
    <s v="Developed Markets - Equities"/>
    <n v="949.39"/>
    <n v="2.1834989379622299E-3"/>
    <n v="6.3E-2"/>
    <n v="59.811569999999897"/>
    <n v="10.1679668999999"/>
    <n v="49.643603099999901"/>
    <n v="999.03360309999903"/>
    <n v="992199.40061893803"/>
    <m/>
    <m/>
    <m/>
    <m/>
    <m/>
    <m/>
    <m/>
    <m/>
  </r>
  <r>
    <x v="14"/>
    <s v="NORMAL"/>
    <s v="Emerging Markets State - Obligations"/>
    <n v="5204.5188880507603"/>
    <n v="1.1969855870256899E-2"/>
    <n v="3.4299999999999997E-2"/>
    <n v="178.51499786014099"/>
    <n v="48.199049422238097"/>
    <n v="130.31594843790299"/>
    <n v="5334.8348364886697"/>
    <n v="992199.40061893803"/>
    <m/>
    <m/>
    <m/>
    <m/>
    <m/>
    <m/>
    <m/>
    <m/>
  </r>
  <r>
    <x v="14"/>
    <s v="NORMAL"/>
    <s v="High Yield Bonds - Obligations"/>
    <n v="13261.3043990679"/>
    <n v="3.0499630364085199E-2"/>
    <n v="3.4299999999999997E-2"/>
    <n v="454.862740888031"/>
    <n v="122.81294003976799"/>
    <n v="332.04980084826201"/>
    <n v="13593.354199916201"/>
    <n v="992199.40061893803"/>
    <m/>
    <m/>
    <m/>
    <m/>
    <m/>
    <m/>
    <m/>
    <m/>
  </r>
  <r>
    <x v="14"/>
    <s v="NORMAL"/>
    <s v="Investment Grade Bonds - Obligations"/>
    <n v="3778.69086275686"/>
    <n v="8.6905986851738698E-3"/>
    <n v="3.4299999999999997E-2"/>
    <n v="129.60909659256001"/>
    <n v="34.994456079991302"/>
    <n v="94.614640512569096"/>
    <n v="3873.3055032694301"/>
    <n v="992199.40061893803"/>
    <m/>
    <m/>
    <m/>
    <m/>
    <m/>
    <m/>
    <m/>
    <m/>
  </r>
  <r>
    <x v="14"/>
    <s v="NORMAL"/>
    <s v="Government ZC Bonds - Obligations"/>
    <n v="304835.87538112001"/>
    <n v="0.70109102702520998"/>
    <n v="3.4299999999999997E-2"/>
    <n v="10455.8705255723"/>
    <n v="2823.08504190454"/>
    <n v="7632.7854836678398"/>
    <n v="312468.660864787"/>
    <n v="992199.40061893803"/>
    <m/>
    <m/>
    <m/>
    <m/>
    <m/>
    <m/>
    <m/>
    <m/>
  </r>
  <r>
    <x v="15"/>
    <s v="ASK"/>
    <s v="Emerging Markets - Equities"/>
    <n v="227140.93"/>
    <n v="0.42236154137517201"/>
    <n v="6.3E-2"/>
    <n v="14309.8785899999"/>
    <n v="2432.6793602999901"/>
    <n v="11877.1992296999"/>
    <n v="239018.12922969999"/>
    <n v="1117712.6247972299"/>
    <m/>
    <m/>
    <m/>
    <m/>
    <m/>
    <m/>
    <m/>
    <m/>
  </r>
  <r>
    <x v="15"/>
    <s v="NORMAL"/>
    <s v="Emerging Markets - Equities"/>
    <n v="1011.52"/>
    <n v="1.8808901871266101E-3"/>
    <n v="6.3E-2"/>
    <n v="63.725760000000001"/>
    <n v="17.205955199999998"/>
    <n v="46.519804800000003"/>
    <n v="1058.0398048"/>
    <n v="1117712.6247972299"/>
    <m/>
    <m/>
    <m/>
    <m/>
    <m/>
    <m/>
    <m/>
    <m/>
  </r>
  <r>
    <x v="15"/>
    <s v="NORMAL"/>
    <s v="Investment Grade Bonds - Obligations"/>
    <n v="2.37468842572689E-12"/>
    <n v="4.4156597570318702E-18"/>
    <n v="3.4299999999999997E-2"/>
    <n v="8.14518130024327E-14"/>
    <n v="2.1991989510656799E-14"/>
    <n v="5.9459823491775794E-14"/>
    <n v="2.43414824921867E-12"/>
    <n v="1117712.6247972299"/>
    <m/>
    <m/>
    <m/>
    <m/>
    <m/>
    <m/>
    <m/>
    <m/>
  </r>
  <r>
    <x v="15"/>
    <s v="NORMAL"/>
    <s v="Government ZC Bonds - Obligations"/>
    <n v="309635.46251469501"/>
    <n v="0.57575757575757502"/>
    <n v="3.4299999999999997E-2"/>
    <n v="10620.496364254001"/>
    <n v="2867.5340183485901"/>
    <n v="7752.9623459054401"/>
    <n v="317388.42486060102"/>
    <n v="1117712.6247972299"/>
    <m/>
    <m/>
    <m/>
    <m/>
    <m/>
    <m/>
    <m/>
    <m/>
  </r>
  <r>
    <x v="16"/>
    <s v="ASK"/>
    <s v="Emerging Markets - Equities"/>
    <n v="141199.5"/>
    <n v="0.21806217252288601"/>
    <n v="6.3E-2"/>
    <n v="8895.5684999999903"/>
    <n v="1512.2466449999899"/>
    <n v="7383.3218549999901"/>
    <n v="148582.82185499999"/>
    <n v="1259103.2718340801"/>
    <m/>
    <m/>
    <m/>
    <m/>
    <m/>
    <m/>
    <m/>
    <m/>
  </r>
  <r>
    <x v="16"/>
    <s v="NORMAL"/>
    <s v="Emerging Markets - Equities"/>
    <n v="191117.93"/>
    <n v="0.29515395609670603"/>
    <n v="6.3E-2"/>
    <n v="12040.4295899999"/>
    <n v="3250.9159892999901"/>
    <n v="8789.5136006999892"/>
    <n v="199907.44360069901"/>
    <n v="1259103.2718340801"/>
    <m/>
    <m/>
    <m/>
    <m/>
    <m/>
    <m/>
    <m/>
    <m/>
  </r>
  <r>
    <x v="16"/>
    <s v="ASK"/>
    <s v="Developed Markets - Equities"/>
    <n v="191.15"/>
    <n v="2.9520348356580303E-4"/>
    <n v="6.3E-2"/>
    <n v="12.042450000000001"/>
    <n v="2.0472165000000002"/>
    <n v="9.9952334999999994"/>
    <n v="201.14523349999999"/>
    <n v="1259103.2718340801"/>
    <m/>
    <m/>
    <m/>
    <m/>
    <m/>
    <m/>
    <m/>
    <m/>
  </r>
  <r>
    <x v="16"/>
    <s v="NORMAL"/>
    <s v="Developed Markets - Equities"/>
    <n v="258.73"/>
    <n v="3.9957100341606202E-4"/>
    <n v="6.3E-2"/>
    <n v="16.299989999999902"/>
    <n v="4.4009972999999896"/>
    <n v="11.8989926999999"/>
    <n v="270.62899270000003"/>
    <n v="1259103.2718340801"/>
    <m/>
    <m/>
    <m/>
    <m/>
    <m/>
    <m/>
    <m/>
    <m/>
  </r>
  <r>
    <x v="16"/>
    <s v="NORMAL"/>
    <s v="Emerging Markets State - Obligations"/>
    <n v="3456.0195479406202"/>
    <n v="5.3373215266732301E-3"/>
    <n v="3.4299999999999997E-2"/>
    <n v="118.541470494363"/>
    <n v="32.006197033478202"/>
    <n v="86.535273460885406"/>
    <n v="3542.5548214015098"/>
    <n v="1259103.2718340801"/>
    <m/>
    <m/>
    <m/>
    <m/>
    <m/>
    <m/>
    <m/>
    <m/>
  </r>
  <r>
    <x v="16"/>
    <s v="NORMAL"/>
    <s v="High Yield Bonds - Obligations"/>
    <n v="3901.68631122326"/>
    <n v="6.0255892799064396E-3"/>
    <n v="3.4299999999999997E-2"/>
    <n v="133.82784047495699"/>
    <n v="36.1335169282385"/>
    <n v="97.694323546719005"/>
    <n v="3999.3806347699701"/>
    <n v="1259103.2718340801"/>
    <m/>
    <m/>
    <m/>
    <m/>
    <m/>
    <m/>
    <m/>
    <m/>
  </r>
  <r>
    <x v="16"/>
    <s v="NORMAL"/>
    <s v="Investment Grade Bonds - Obligations"/>
    <n v="979.31683196758502"/>
    <n v="1.51241297573349E-3"/>
    <n v="3.4299999999999997E-2"/>
    <n v="33.590567336488199"/>
    <n v="9.06945318085182"/>
    <n v="24.521114155636401"/>
    <n v="1003.83794612322"/>
    <n v="1259103.2718340801"/>
    <m/>
    <m/>
    <m/>
    <m/>
    <m/>
    <m/>
    <m/>
    <m/>
  </r>
  <r>
    <x v="16"/>
    <s v="NORMAL"/>
    <s v="Government ZC Bonds - Obligations"/>
    <n v="306415.13066569198"/>
    <n v="0.47321377970067102"/>
    <n v="3.4299999999999997E-2"/>
    <n v="10510.038981833201"/>
    <n v="2837.7105250949799"/>
    <n v="7672.3284567382798"/>
    <n v="314087.45912243001"/>
    <n v="1259103.2718340801"/>
    <m/>
    <m/>
    <m/>
    <m/>
    <m/>
    <m/>
    <m/>
    <m/>
  </r>
  <r>
    <x v="17"/>
    <s v="ASK"/>
    <s v="Emerging Markets - Equities"/>
    <n v="158843.47"/>
    <n v="0.20830545812251799"/>
    <n v="6.3E-2"/>
    <n v="10007.1386099999"/>
    <n v="1701.2135636999899"/>
    <n v="8305.9250462999898"/>
    <n v="167149.39504629999"/>
    <n v="1418379.83572109"/>
    <m/>
    <m/>
    <m/>
    <m/>
    <m/>
    <m/>
    <m/>
    <m/>
  </r>
  <r>
    <x v="17"/>
    <s v="NORMAL"/>
    <s v="Emerging Markets - Equities"/>
    <n v="284972.53999999998"/>
    <n v="0.37370963689623199"/>
    <n v="6.3E-2"/>
    <n v="17953.270019999902"/>
    <n v="4847.3829053999898"/>
    <n v="13105.8871145999"/>
    <n v="298078.42711459898"/>
    <n v="1418379.83572109"/>
    <m/>
    <m/>
    <m/>
    <m/>
    <m/>
    <m/>
    <m/>
    <m/>
  </r>
  <r>
    <x v="17"/>
    <s v="ASK"/>
    <s v="Developed Markets - Equities"/>
    <n v="433.09"/>
    <n v="5.6794913167208696E-4"/>
    <n v="6.3E-2"/>
    <n v="27.284669999999899"/>
    <n v="4.6383938999999899"/>
    <n v="22.646276099999898"/>
    <n v="455.73627609999897"/>
    <n v="1418379.83572109"/>
    <m/>
    <m/>
    <m/>
    <m/>
    <m/>
    <m/>
    <m/>
    <m/>
  </r>
  <r>
    <x v="17"/>
    <s v="NORMAL"/>
    <s v="Developed Markets - Equities"/>
    <n v="776.98"/>
    <n v="1.0189224325811699E-3"/>
    <n v="6.3E-2"/>
    <n v="48.949739999999899"/>
    <n v="13.216429799999901"/>
    <n v="35.733310199999899"/>
    <n v="812.713310199999"/>
    <n v="1418379.83572109"/>
    <m/>
    <m/>
    <m/>
    <m/>
    <m/>
    <m/>
    <m/>
    <m/>
  </r>
  <r>
    <x v="17"/>
    <s v="NORMAL"/>
    <s v="Emerging Markets State - Obligations"/>
    <n v="1481.2026437720499"/>
    <n v="1.94243172403135E-3"/>
    <n v="3.4299999999999997E-2"/>
    <n v="50.805250681381402"/>
    <n v="13.717417683973"/>
    <n v="37.087832997408398"/>
    <n v="1518.2904767694599"/>
    <n v="1418379.83572109"/>
    <m/>
    <m/>
    <m/>
    <m/>
    <m/>
    <m/>
    <m/>
    <m/>
  </r>
  <r>
    <x v="17"/>
    <s v="NORMAL"/>
    <s v="High Yield Bonds - Obligations"/>
    <n v="3122.6521416053001"/>
    <n v="4.0950092875354296E-3"/>
    <n v="3.4299999999999997E-2"/>
    <n v="107.106968457062"/>
    <n v="28.9188814834067"/>
    <n v="78.188086973655302"/>
    <n v="3200.8402285789598"/>
    <n v="1418379.83572109"/>
    <m/>
    <m/>
    <m/>
    <m/>
    <m/>
    <m/>
    <m/>
    <m/>
  </r>
  <r>
    <x v="17"/>
    <s v="NORMAL"/>
    <s v="Investment Grade Bonds - Obligations"/>
    <n v="3965.9573185970098"/>
    <n v="5.2009097770572797E-3"/>
    <n v="3.4299999999999997E-2"/>
    <n v="136.03233602787699"/>
    <n v="36.728730727526901"/>
    <n v="99.303605300350597"/>
    <n v="4065.26092389736"/>
    <n v="1418379.83572109"/>
    <m/>
    <m/>
    <m/>
    <m/>
    <m/>
    <m/>
    <m/>
    <m/>
  </r>
  <r>
    <x v="17"/>
    <s v="NORMAL"/>
    <s v="Government ZC Bonds - Obligations"/>
    <n v="308954.78581045999"/>
    <n v="0.40515967195498997"/>
    <n v="3.4299999999999997E-2"/>
    <n v="10597.1491532988"/>
    <n v="2861.2302713906802"/>
    <n v="7735.9188819081301"/>
    <n v="316690.70469236799"/>
    <n v="1418379.83572109"/>
    <m/>
    <m/>
    <m/>
    <m/>
    <m/>
    <m/>
    <m/>
    <m/>
  </r>
  <r>
    <x v="18"/>
    <s v="ASK"/>
    <s v="Emerging Markets - Equities"/>
    <n v="179009.8"/>
    <n v="0.20047419576223499"/>
    <n v="6.3E-2"/>
    <n v="11277.617399999899"/>
    <n v="1917.19495799999"/>
    <n v="9360.42244199999"/>
    <n v="188370.22244199901"/>
    <n v="1597804.88493981"/>
    <m/>
    <m/>
    <m/>
    <m/>
    <n v="36.363636363636303"/>
    <n v="300000"/>
    <m/>
    <m/>
  </r>
  <r>
    <x v="18"/>
    <s v="NORMAL"/>
    <s v="Emerging Markets - Equities"/>
    <n v="384147.86"/>
    <n v="0.43020959348194299"/>
    <n v="6.3E-2"/>
    <n v="24201.3151799999"/>
    <n v="6534.35509859999"/>
    <n v="17666.960081399899"/>
    <n v="401814.82008139999"/>
    <n v="1597804.88493981"/>
    <m/>
    <m/>
    <m/>
    <m/>
    <n v="36.363636363636303"/>
    <n v="300000"/>
    <m/>
    <m/>
  </r>
  <r>
    <x v="18"/>
    <s v="ASK"/>
    <s v="Developed Markets - Equities"/>
    <n v="415.25"/>
    <n v="4.65041074791818E-4"/>
    <n v="6.3E-2"/>
    <n v="26.160749999999901"/>
    <n v="4.4473274999999903"/>
    <n v="21.713422499999901"/>
    <n v="436.96342249999998"/>
    <n v="1597804.88493981"/>
    <m/>
    <m/>
    <m/>
    <m/>
    <n v="36.363636363636303"/>
    <n v="300000"/>
    <m/>
    <m/>
  </r>
  <r>
    <x v="18"/>
    <s v="NORMAL"/>
    <s v="Developed Markets - Equities"/>
    <n v="891.11"/>
    <n v="9.9795966804993902E-4"/>
    <n v="6.3E-2"/>
    <n v="56.1399299999999"/>
    <n v="15.1577810999999"/>
    <n v="40.982148899999899"/>
    <n v="932.09214889999998"/>
    <n v="1597804.88493981"/>
    <m/>
    <m/>
    <m/>
    <m/>
    <n v="36.363636363636303"/>
    <n v="300000"/>
    <m/>
    <m/>
  </r>
  <r>
    <x v="18"/>
    <s v="NORMAL"/>
    <s v="Emerging Markets State - Obligations"/>
    <n v="2440.8158348884199"/>
    <n v="2.7334849349196898E-3"/>
    <n v="3.4299999999999997E-2"/>
    <n v="83.719983136672894"/>
    <n v="22.604395446901599"/>
    <n v="61.115587689771203"/>
    <n v="2501.93142257819"/>
    <n v="1597804.88493981"/>
    <m/>
    <m/>
    <m/>
    <m/>
    <n v="36.363636363636303"/>
    <n v="300000"/>
    <m/>
    <m/>
  </r>
  <r>
    <x v="18"/>
    <s v="NORMAL"/>
    <s v="High Yield Bonds - Obligations"/>
    <n v="1715.7018393548101"/>
    <n v="1.92142523153729E-3"/>
    <n v="3.4299999999999997E-2"/>
    <n v="58.848573089870101"/>
    <n v="15.889114734264901"/>
    <n v="42.959458355605101"/>
    <n v="1758.6612977104101"/>
    <n v="1597804.88493981"/>
    <m/>
    <m/>
    <m/>
    <m/>
    <n v="36.363636363636303"/>
    <n v="300000"/>
    <m/>
    <m/>
  </r>
  <r>
    <x v="18"/>
    <s v="NORMAL"/>
    <s v="Investment Grade Bonds - Obligations"/>
    <n v="2438.2333424963399"/>
    <n v="2.7305927855213602E-3"/>
    <n v="3.4299999999999997E-2"/>
    <n v="83.631403647624595"/>
    <n v="22.580478984858601"/>
    <n v="61.050924662766"/>
    <n v="2499.2842671591002"/>
    <n v="1597804.88493981"/>
    <m/>
    <m/>
    <m/>
    <m/>
    <n v="36.363636363636303"/>
    <n v="300000"/>
    <m/>
    <m/>
  </r>
  <r>
    <x v="18"/>
    <s v="NORMAL"/>
    <s v="Government ZC Bonds - Obligations"/>
    <n v="321873.11282256502"/>
    <n v="0.36046771422900398"/>
    <n v="3.4299999999999997E-2"/>
    <n v="11040.247769813899"/>
    <n v="2980.8668978497699"/>
    <n v="8059.3808719642002"/>
    <n v="329932.493694529"/>
    <n v="1597804.88493981"/>
    <m/>
    <m/>
    <m/>
    <m/>
    <n v="36.363636363636303"/>
    <n v="300000"/>
    <m/>
    <m/>
  </r>
  <r>
    <x v="19"/>
    <s v="ASK"/>
    <s v="Emerging Markets - Equities"/>
    <n v="199865.97"/>
    <n v="0.27370779380696703"/>
    <n v="6.3E-2"/>
    <n v="12591.556109999899"/>
    <n v="2140.56453869999"/>
    <n v="10450.991571299901"/>
    <n v="210316.96157129999"/>
    <n v="1799927.2028846999"/>
    <m/>
    <m/>
    <m/>
    <m/>
    <m/>
    <m/>
    <m/>
    <m/>
  </r>
  <r>
    <x v="19"/>
    <s v="NORMAL"/>
    <s v="Emerging Markets - Equities"/>
    <n v="508755.16"/>
    <n v="0.696718167837731"/>
    <n v="6.3E-2"/>
    <n v="32051.5750799999"/>
    <n v="8653.9252715999792"/>
    <n v="23397.649808399899"/>
    <n v="532152.80980839895"/>
    <n v="1799927.2028846999"/>
    <m/>
    <m/>
    <m/>
    <m/>
    <m/>
    <m/>
    <m/>
    <m/>
  </r>
  <r>
    <x v="19"/>
    <s v="ASK"/>
    <s v="Developed Markets - Equities"/>
    <n v="2256.35"/>
    <n v="3.08997364862238E-3"/>
    <n v="6.3E-2"/>
    <n v="142.150049999999"/>
    <n v="24.165508499999898"/>
    <n v="117.984541499999"/>
    <n v="2374.3345414999999"/>
    <n v="1799927.2028846999"/>
    <m/>
    <m/>
    <m/>
    <m/>
    <m/>
    <m/>
    <m/>
    <m/>
  </r>
  <r>
    <x v="19"/>
    <s v="NORMAL"/>
    <s v="Developed Markets - Equities"/>
    <n v="5743.49"/>
    <n v="7.86546092189872E-3"/>
    <n v="6.3E-2"/>
    <n v="361.839869999999"/>
    <n v="97.696764899999906"/>
    <n v="264.14310509999899"/>
    <n v="6007.6331050999997"/>
    <n v="1799927.2028846999"/>
    <m/>
    <m/>
    <m/>
    <m/>
    <m/>
    <m/>
    <m/>
    <m/>
  </r>
  <r>
    <x v="19"/>
    <s v="NORMAL"/>
    <s v="Emerging Markets State - Obligations"/>
    <n v="1720.5449199320101"/>
    <n v="2.3562117862304202E-3"/>
    <n v="3.4299999999999997E-2"/>
    <n v="59.0146907536679"/>
    <n v="15.9339665034903"/>
    <n v="43.080724250177603"/>
    <n v="1763.6256441821899"/>
    <n v="1799927.2028846999"/>
    <m/>
    <m/>
    <m/>
    <m/>
    <m/>
    <m/>
    <m/>
    <m/>
  </r>
  <r>
    <x v="19"/>
    <s v="NORMAL"/>
    <s v="High Yield Bonds - Obligations"/>
    <n v="5162.4343891844501"/>
    <n v="7.0697304165231196E-3"/>
    <n v="3.4299999999999997E-2"/>
    <n v="177.07149954902701"/>
    <n v="47.809304878237299"/>
    <n v="129.262194670789"/>
    <n v="5291.6965838552396"/>
    <n v="1799927.2028846999"/>
    <m/>
    <m/>
    <m/>
    <m/>
    <m/>
    <m/>
    <m/>
    <m/>
  </r>
  <r>
    <x v="19"/>
    <s v="NORMAL"/>
    <s v="Investment Grade Bonds - Obligations"/>
    <n v="2066.79503321731"/>
    <n v="2.8303863273628298E-3"/>
    <n v="3.4299999999999997E-2"/>
    <n v="70.8910696393541"/>
    <n v="19.140588802625601"/>
    <n v="51.7504808367284"/>
    <n v="2118.5455140540398"/>
    <n v="1799927.2028846999"/>
    <m/>
    <m/>
    <m/>
    <m/>
    <m/>
    <m/>
    <m/>
    <m/>
  </r>
  <r>
    <x v="19"/>
    <s v="NORMAL"/>
    <s v="Government ZC Bonds - Obligations"/>
    <n v="4645.8464034553199"/>
    <n v="6.36228553292885E-3"/>
    <n v="3.4299999999999997E-2"/>
    <n v="159.35253163851701"/>
    <n v="43.025183542399702"/>
    <n v="116.32734809611701"/>
    <n v="4762.1737515514396"/>
    <n v="1799927.2028846999"/>
    <m/>
    <m/>
    <m/>
    <m/>
    <m/>
    <m/>
    <m/>
    <m/>
  </r>
  <r>
    <x v="20"/>
    <s v="ASK"/>
    <s v="Emerging Markets - Equities"/>
    <n v="225809.8"/>
    <n v="0.26021621324115402"/>
    <n v="6.3E-2"/>
    <n v="14226.017399999901"/>
    <n v="2418.4229579999901"/>
    <n v="11807.5944419999"/>
    <n v="237617.394441999"/>
    <n v="2027617.9940496101"/>
    <m/>
    <m/>
    <m/>
    <m/>
    <m/>
    <m/>
    <m/>
    <m/>
  </r>
  <r>
    <x v="20"/>
    <s v="NORMAL"/>
    <s v="Emerging Markets - Equities"/>
    <n v="599658.73"/>
    <n v="0.69102813056652002"/>
    <n v="6.3E-2"/>
    <n v="37778.499989999902"/>
    <n v="10200.194997299899"/>
    <n v="27578.304992699901"/>
    <n v="627237.03499269998"/>
    <n v="2027617.9940496101"/>
    <m/>
    <m/>
    <m/>
    <m/>
    <m/>
    <m/>
    <m/>
    <m/>
  </r>
  <r>
    <x v="20"/>
    <s v="ASK"/>
    <s v="Developed Markets - Equities"/>
    <n v="1880.99"/>
    <n v="2.1675945638518698E-3"/>
    <n v="6.3E-2"/>
    <n v="118.502369999999"/>
    <n v="20.145402899999901"/>
    <n v="98.356967099999906"/>
    <n v="1979.3469671"/>
    <n v="2027617.9940496101"/>
    <m/>
    <m/>
    <m/>
    <m/>
    <m/>
    <m/>
    <m/>
    <m/>
  </r>
  <r>
    <x v="20"/>
    <s v="NORMAL"/>
    <s v="Developed Markets - Equities"/>
    <n v="4995.13"/>
    <n v="5.7562329590978203E-3"/>
    <n v="6.3E-2"/>
    <n v="314.69318999999899"/>
    <n v="84.967161300000001"/>
    <n v="229.72602869999901"/>
    <n v="5224.8560287"/>
    <n v="2027617.9940496101"/>
    <m/>
    <m/>
    <m/>
    <m/>
    <m/>
    <m/>
    <m/>
    <m/>
  </r>
  <r>
    <x v="20"/>
    <s v="NORMAL"/>
    <s v="Emerging Markets State - Obligations"/>
    <n v="11103.414537859901"/>
    <n v="1.27952306989718E-2"/>
    <n v="3.4299999999999997E-2"/>
    <n v="380.84711864859401"/>
    <n v="102.82872203511999"/>
    <n v="278.01839661347401"/>
    <n v="11381.4329344733"/>
    <n v="2027617.9940496101"/>
    <m/>
    <m/>
    <m/>
    <m/>
    <m/>
    <m/>
    <m/>
    <m/>
  </r>
  <r>
    <x v="20"/>
    <s v="NORMAL"/>
    <s v="High Yield Bonds - Obligations"/>
    <n v="8179.4805988133203"/>
    <n v="9.4257798718332501E-3"/>
    <n v="3.4299999999999997E-2"/>
    <n v="280.55618453929702"/>
    <n v="75.7501698256103"/>
    <n v="204.80601471368701"/>
    <n v="8384.2866135270106"/>
    <n v="2027617.9940496101"/>
    <m/>
    <m/>
    <m/>
    <m/>
    <m/>
    <m/>
    <m/>
    <m/>
  </r>
  <r>
    <x v="20"/>
    <s v="NORMAL"/>
    <s v="Investment Grade Bonds - Obligations"/>
    <n v="8008.0295469197599"/>
    <n v="9.2282049947466204E-3"/>
    <n v="3.4299999999999997E-2"/>
    <n v="274.675413459347"/>
    <n v="74.162361634023796"/>
    <n v="200.513051825323"/>
    <n v="8208.5425987450799"/>
    <n v="2027617.9940496101"/>
    <m/>
    <m/>
    <m/>
    <m/>
    <m/>
    <m/>
    <m/>
    <m/>
  </r>
  <r>
    <x v="20"/>
    <s v="NORMAL"/>
    <s v="Government ZC Bonds - Obligations"/>
    <n v="8142.0198583353504"/>
    <n v="9.38261127581844E-3"/>
    <n v="3.4299999999999997E-2"/>
    <n v="279.27128114090198"/>
    <n v="75.403245908043701"/>
    <n v="203.868035232859"/>
    <n v="8345.8878935682096"/>
    <n v="2027617.9940496101"/>
    <m/>
    <m/>
    <m/>
    <m/>
    <m/>
    <m/>
    <m/>
    <m/>
  </r>
  <r>
    <x v="21"/>
    <s v="ASK"/>
    <s v="Emerging Markets - Equities"/>
    <n v="253198.74"/>
    <n v="0.250097902102356"/>
    <n v="6.3E-2"/>
    <n v="15951.520619999899"/>
    <n v="2711.7585053999901"/>
    <n v="13239.7621145999"/>
    <n v="266438.50211459998"/>
    <n v="2284111.6702968902"/>
    <m/>
    <m/>
    <m/>
    <m/>
    <m/>
    <m/>
    <m/>
    <m/>
  </r>
  <r>
    <x v="21"/>
    <s v="NORMAL"/>
    <s v="Emerging Markets - Equities"/>
    <n v="724820.21"/>
    <n v="0.715943586142606"/>
    <n v="6.3E-2"/>
    <n v="45663.673229999898"/>
    <n v="12329.191772099901"/>
    <n v="33334.481457899899"/>
    <n v="758154.69145789999"/>
    <n v="2284111.6702968902"/>
    <m/>
    <m/>
    <m/>
    <m/>
    <m/>
    <m/>
    <m/>
    <m/>
  </r>
  <r>
    <x v="21"/>
    <s v="ASK"/>
    <s v="Developed Markets - Equities"/>
    <n v="3294.94"/>
    <n v="3.2545880028989698E-3"/>
    <n v="6.3E-2"/>
    <n v="207.58122"/>
    <n v="35.288807400000003"/>
    <n v="172.29241260000001"/>
    <n v="3467.2324125999999"/>
    <n v="2284111.6702968902"/>
    <m/>
    <m/>
    <m/>
    <m/>
    <m/>
    <m/>
    <m/>
    <m/>
  </r>
  <r>
    <x v="21"/>
    <s v="NORMAL"/>
    <s v="Developed Markets - Equities"/>
    <n v="9432.27"/>
    <n v="9.3167562329219793E-3"/>
    <n v="6.3E-2"/>
    <n v="594.23300999999901"/>
    <n v="160.44291269999999"/>
    <n v="433.79009729999899"/>
    <n v="9866.0600973000001"/>
    <n v="2284111.6702968902"/>
    <m/>
    <m/>
    <m/>
    <m/>
    <m/>
    <m/>
    <m/>
    <m/>
  </r>
  <r>
    <x v="21"/>
    <s v="NORMAL"/>
    <s v="Emerging Markets State - Obligations"/>
    <n v="11224.344333326"/>
    <n v="1.10868836481544E-2"/>
    <n v="3.4299999999999997E-2"/>
    <n v="384.99501063308298"/>
    <n v="103.94865287093199"/>
    <n v="281.04635776215002"/>
    <n v="11505.3906910882"/>
    <n v="2284111.6702968902"/>
    <m/>
    <m/>
    <m/>
    <m/>
    <m/>
    <m/>
    <m/>
    <m/>
  </r>
  <r>
    <x v="21"/>
    <s v="NORMAL"/>
    <s v="High Yield Bonds - Obligations"/>
    <n v="722.35021635939404"/>
    <n v="7.1350384166472402E-4"/>
    <n v="3.4299999999999997E-2"/>
    <n v="24.776612421127101"/>
    <n v="6.6896853537043404"/>
    <n v="18.086927067422799"/>
    <n v="740.43714342681699"/>
    <n v="2284111.6702968902"/>
    <m/>
    <m/>
    <m/>
    <m/>
    <m/>
    <m/>
    <m/>
    <m/>
  </r>
  <r>
    <x v="21"/>
    <s v="NORMAL"/>
    <s v="Investment Grade Bonds - Obligations"/>
    <n v="7473.60971678039"/>
    <n v="7.3820829886379396E-3"/>
    <n v="3.4299999999999997E-2"/>
    <n v="256.344813285567"/>
    <n v="69.213099587103201"/>
    <n v="187.13171369846401"/>
    <n v="7660.7414304788499"/>
    <n v="2284111.6702968902"/>
    <m/>
    <m/>
    <m/>
    <m/>
    <m/>
    <m/>
    <m/>
    <m/>
  </r>
  <r>
    <x v="21"/>
    <s v="NORMAL"/>
    <s v="Government ZC Bonds - Obligations"/>
    <n v="2232.0317907137801"/>
    <n v="2.2046968649341702E-3"/>
    <n v="3.4299999999999997E-2"/>
    <n v="76.558690421482794"/>
    <n v="20.670846413800302"/>
    <n v="55.887844007682503"/>
    <n v="2287.9196347214602"/>
    <n v="2284111.6702968902"/>
    <m/>
    <m/>
    <m/>
    <m/>
    <m/>
    <m/>
    <m/>
    <m/>
  </r>
  <r>
    <x v="22"/>
    <s v="ASK"/>
    <s v="Emerging Markets - Equities"/>
    <n v="288579.07"/>
    <n v="0.24547743973782399"/>
    <n v="6.3E-2"/>
    <n v="18180.48141"/>
    <n v="3090.6818397000002"/>
    <n v="15089.7995703"/>
    <n v="303668.86957029998"/>
    <n v="2573051.79658945"/>
    <m/>
    <m/>
    <m/>
    <m/>
    <m/>
    <m/>
    <m/>
    <m/>
  </r>
  <r>
    <x v="22"/>
    <s v="NORMAL"/>
    <s v="Emerging Markets - Equities"/>
    <n v="858226.41"/>
    <n v="0.73004331825653201"/>
    <n v="6.3E-2"/>
    <n v="54068.263829999902"/>
    <n v="14598.4312340999"/>
    <n v="39469.832595899898"/>
    <n v="897696.24259589997"/>
    <n v="2573051.79658945"/>
    <m/>
    <m/>
    <m/>
    <m/>
    <m/>
    <m/>
    <m/>
    <m/>
  </r>
  <r>
    <x v="22"/>
    <s v="ASK"/>
    <s v="Developed Markets - Equities"/>
    <n v="361.06"/>
    <n v="3.0713275356989198E-4"/>
    <n v="6.3E-2"/>
    <n v="22.746780000000001"/>
    <n v="3.8669525999999999"/>
    <n v="18.8798274"/>
    <n v="379.93982740000001"/>
    <n v="2573051.79658945"/>
    <m/>
    <m/>
    <m/>
    <m/>
    <m/>
    <m/>
    <m/>
    <m/>
  </r>
  <r>
    <x v="22"/>
    <s v="NORMAL"/>
    <s v="Developed Markets - Equities"/>
    <n v="1073.77"/>
    <n v="9.1339372071329804E-4"/>
    <n v="6.3E-2"/>
    <n v="67.647509999999997"/>
    <n v="18.264827700000001"/>
    <n v="49.382682299999999"/>
    <n v="1123.1526822999999"/>
    <n v="2573051.79658945"/>
    <m/>
    <m/>
    <m/>
    <m/>
    <m/>
    <m/>
    <m/>
    <m/>
  </r>
  <r>
    <x v="22"/>
    <s v="NORMAL"/>
    <s v="Emerging Markets State - Obligations"/>
    <n v="7073.7550582185804"/>
    <n v="6.0172322304038904E-3"/>
    <n v="3.4299999999999997E-2"/>
    <n v="242.629798496897"/>
    <n v="65.510045594162406"/>
    <n v="177.119752902735"/>
    <n v="7250.8748111213199"/>
    <n v="2573051.79658945"/>
    <m/>
    <m/>
    <m/>
    <m/>
    <m/>
    <m/>
    <m/>
    <m/>
  </r>
  <r>
    <x v="22"/>
    <s v="NORMAL"/>
    <s v="High Yield Bonds - Obligations"/>
    <n v="5334.4241424437696"/>
    <n v="4.5376845277196797E-3"/>
    <n v="3.4299999999999997E-2"/>
    <n v="182.97074808582099"/>
    <n v="49.402101983171796"/>
    <n v="133.56864610264901"/>
    <n v="5467.9927885464203"/>
    <n v="2573051.79658945"/>
    <m/>
    <m/>
    <m/>
    <m/>
    <m/>
    <m/>
    <m/>
    <m/>
  </r>
  <r>
    <x v="22"/>
    <s v="NORMAL"/>
    <s v="Investment Grade Bonds - Obligations"/>
    <n v="4175.6614121776402"/>
    <n v="3.55199243199929E-3"/>
    <n v="3.4299999999999997E-2"/>
    <n v="143.225186437693"/>
    <n v="38.670800338177102"/>
    <n v="104.554386099515"/>
    <n v="4280.2157982771596"/>
    <n v="2573051.79658945"/>
    <m/>
    <m/>
    <m/>
    <m/>
    <m/>
    <m/>
    <m/>
    <m/>
  </r>
  <r>
    <x v="22"/>
    <s v="NORMAL"/>
    <s v="Government ZC Bonds - Obligations"/>
    <n v="10758.710183847799"/>
    <n v="9.1518093492096702E-3"/>
    <n v="3.4299999999999997E-2"/>
    <n v="369.02375930598203"/>
    <n v="99.636415012615302"/>
    <n v="269.38734429336699"/>
    <n v="11028.097528141199"/>
    <n v="2573051.79658945"/>
    <m/>
    <m/>
    <m/>
    <m/>
    <m/>
    <m/>
    <m/>
    <m/>
  </r>
  <r>
    <x v="23"/>
    <s v="ASK"/>
    <s v="Emerging Markets - Equities"/>
    <n v="322770.23"/>
    <n v="0.239530525248039"/>
    <n v="6.3E-2"/>
    <n v="20334.524489999902"/>
    <n v="3456.8691632999899"/>
    <n v="16877.6553266999"/>
    <n v="339647.88532669999"/>
    <n v="2898542.84885801"/>
    <m/>
    <m/>
    <m/>
    <m/>
    <m/>
    <m/>
    <m/>
    <m/>
  </r>
  <r>
    <x v="23"/>
    <s v="NORMAL"/>
    <s v="Emerging Markets - Equities"/>
    <n v="951128.06"/>
    <n v="0.70584020028721095"/>
    <n v="6.3E-2"/>
    <n v="59921.067779999903"/>
    <n v="16178.688300599901"/>
    <n v="43742.379479399897"/>
    <n v="994870.43947939901"/>
    <n v="2898542.84885801"/>
    <m/>
    <m/>
    <m/>
    <m/>
    <m/>
    <m/>
    <m/>
    <m/>
  </r>
  <r>
    <x v="23"/>
    <s v="ASK"/>
    <s v="Developed Markets - Equities"/>
    <n v="2720.83"/>
    <n v="2.01915101962973E-3"/>
    <n v="6.3E-2"/>
    <n v="171.41228999999899"/>
    <n v="29.1400892999999"/>
    <n v="142.27220069999899"/>
    <n v="2863.1022006999901"/>
    <n v="2898542.84885801"/>
    <m/>
    <m/>
    <m/>
    <m/>
    <m/>
    <m/>
    <m/>
    <m/>
  </r>
  <r>
    <x v="23"/>
    <s v="NORMAL"/>
    <s v="Developed Markets - Equities"/>
    <n v="8017.64"/>
    <n v="5.9499586453487102E-3"/>
    <n v="6.3E-2"/>
    <n v="505.11131999999901"/>
    <n v="136.38005639999901"/>
    <n v="368.73126359999901"/>
    <n v="8386.3712636"/>
    <n v="2898542.84885801"/>
    <m/>
    <m/>
    <m/>
    <m/>
    <m/>
    <m/>
    <m/>
    <m/>
  </r>
  <r>
    <x v="23"/>
    <s v="NORMAL"/>
    <s v="Emerging Markets State - Obligations"/>
    <n v="12669.815713284001"/>
    <n v="9.4023776994513995E-3"/>
    <n v="3.4299999999999997E-2"/>
    <n v="434.57467896564401"/>
    <n v="117.335163320723"/>
    <n v="317.23951564492"/>
    <n v="12987.055228928901"/>
    <n v="2898542.84885801"/>
    <m/>
    <m/>
    <m/>
    <m/>
    <m/>
    <m/>
    <m/>
    <m/>
  </r>
  <r>
    <x v="23"/>
    <s v="NORMAL"/>
    <s v="High Yield Bonds - Obligations"/>
    <n v="27348.434429351499"/>
    <n v="2.0295505144864601E-2"/>
    <n v="3.4299999999999997E-2"/>
    <n v="938.05130092675597"/>
    <n v="253.273851250224"/>
    <n v="684.77744967653098"/>
    <n v="28033.211879028"/>
    <n v="2898542.84885801"/>
    <m/>
    <m/>
    <m/>
    <m/>
    <m/>
    <m/>
    <m/>
    <m/>
  </r>
  <r>
    <x v="23"/>
    <s v="NORMAL"/>
    <s v="Investment Grade Bonds - Obligations"/>
    <n v="1576.59375840492"/>
    <n v="1.17000359994015E-3"/>
    <n v="3.4299999999999997E-2"/>
    <n v="54.077165913288802"/>
    <n v="14.6008347965879"/>
    <n v="39.476331116700798"/>
    <n v="1616.07008952162"/>
    <n v="2898542.84885801"/>
    <m/>
    <m/>
    <m/>
    <m/>
    <m/>
    <m/>
    <m/>
    <m/>
  </r>
  <r>
    <x v="23"/>
    <s v="NORMAL"/>
    <s v="Government ZC Bonds - Obligations"/>
    <n v="21280.296130288301"/>
    <n v="1.57922882464154E-2"/>
    <n v="3.4299999999999997E-2"/>
    <n v="729.91415726888897"/>
    <n v="197.07682246260001"/>
    <n v="532.83733480628905"/>
    <n v="21813.133465094601"/>
    <n v="2898542.84885801"/>
    <m/>
    <m/>
    <m/>
    <m/>
    <m/>
    <m/>
    <m/>
    <m/>
  </r>
  <r>
    <x v="24"/>
    <s v="ASK"/>
    <s v="Emerging Markets - Equities"/>
    <n v="365517.42"/>
    <n v="0.239212981373053"/>
    <n v="6.3E-2"/>
    <n v="23027.597459999899"/>
    <n v="3914.6915681999899"/>
    <n v="19112.905891799899"/>
    <n v="384630.325891799"/>
    <n v="3265208.5192385502"/>
    <m/>
    <m/>
    <m/>
    <m/>
    <m/>
    <m/>
    <m/>
    <m/>
  </r>
  <r>
    <x v="24"/>
    <s v="NORMAL"/>
    <s v="Emerging Markets - Equities"/>
    <n v="1083966.06"/>
    <n v="0.70940190188418994"/>
    <n v="6.3E-2"/>
    <n v="68289.861779999905"/>
    <n v="18948.887273472799"/>
    <n v="49340.974506527004"/>
    <n v="1133307.03450652"/>
    <n v="3265208.5192385502"/>
    <m/>
    <m/>
    <m/>
    <m/>
    <m/>
    <m/>
    <m/>
    <m/>
  </r>
  <r>
    <x v="24"/>
    <s v="ASK"/>
    <s v="Developed Markets - Equities"/>
    <n v="1148.25"/>
    <n v="7.5147254503385604E-4"/>
    <n v="6.3E-2"/>
    <n v="72.339749999999796"/>
    <n v="12.2977574999999"/>
    <n v="60.0419924999998"/>
    <n v="1208.2919924999901"/>
    <n v="3265208.5192385502"/>
    <m/>
    <m/>
    <m/>
    <m/>
    <m/>
    <m/>
    <m/>
    <m/>
  </r>
  <r>
    <x v="24"/>
    <s v="NORMAL"/>
    <s v="Developed Markets - Equities"/>
    <n v="3405.21"/>
    <n v="2.22854067065076E-3"/>
    <n v="6.3E-2"/>
    <n v="214.52822999999901"/>
    <n v="59.526716576810898"/>
    <n v="155.00151342318799"/>
    <n v="3560.2115134231799"/>
    <n v="3265208.5192385502"/>
    <m/>
    <m/>
    <m/>
    <m/>
    <m/>
    <m/>
    <m/>
    <m/>
  </r>
  <r>
    <x v="24"/>
    <s v="NORMAL"/>
    <s v="Emerging Markets State - Obligations"/>
    <n v="29148.415910042298"/>
    <n v="1.9076189233725099E-2"/>
    <n v="3.4299999999999997E-2"/>
    <n v="999.79066571445196"/>
    <n v="277.41922633736999"/>
    <n v="722.37143937708197"/>
    <n v="29870.787349419399"/>
    <n v="3265208.5192385502"/>
    <m/>
    <m/>
    <m/>
    <m/>
    <m/>
    <m/>
    <m/>
    <m/>
  </r>
  <r>
    <x v="24"/>
    <s v="NORMAL"/>
    <s v="High Yield Bonds - Obligations"/>
    <n v="20645.148681398201"/>
    <n v="1.3511223533387901E-2"/>
    <n v="3.4299999999999997E-2"/>
    <n v="708.12859977196001"/>
    <n v="196.48962031038701"/>
    <n v="511.63897946157198"/>
    <n v="21156.787660859802"/>
    <n v="3265208.5192385502"/>
    <m/>
    <m/>
    <m/>
    <m/>
    <m/>
    <m/>
    <m/>
    <m/>
  </r>
  <r>
    <x v="24"/>
    <s v="NORMAL"/>
    <s v="Investment Grade Bonds - Obligations"/>
    <n v="9503.1129360171508"/>
    <n v="6.2193150130833603E-3"/>
    <n v="3.4299999999999997E-2"/>
    <n v="325.95677370538698"/>
    <n v="90.445609347787496"/>
    <n v="235.51116435759999"/>
    <n v="9738.6241003747491"/>
    <n v="3265208.5192385502"/>
    <m/>
    <m/>
    <m/>
    <m/>
    <m/>
    <m/>
    <m/>
    <m/>
  </r>
  <r>
    <x v="24"/>
    <s v="NORMAL"/>
    <s v="Government ZC Bonds - Obligations"/>
    <n v="14666.317222795"/>
    <n v="9.5983755538320906E-3"/>
    <n v="3.4299999999999997E-2"/>
    <n v="503.05468074187201"/>
    <n v="139.58626052692199"/>
    <n v="363.46842021494899"/>
    <n v="15029.78564301"/>
    <n v="3265208.5192385502"/>
    <m/>
    <m/>
    <m/>
    <m/>
    <m/>
    <m/>
    <m/>
    <m/>
  </r>
  <r>
    <x v="25"/>
    <s v="ASK"/>
    <s v="Emerging Markets - Equities"/>
    <n v="410140.4"/>
    <n v="0.23880605129204699"/>
    <n v="6.3E-2"/>
    <n v="25838.845199999902"/>
    <n v="4392.6036839999897"/>
    <n v="21446.2415159999"/>
    <n v="431586.64151599997"/>
    <n v="3678257.3969222298"/>
    <m/>
    <m/>
    <m/>
    <m/>
    <m/>
    <m/>
    <m/>
    <m/>
  </r>
  <r>
    <x v="25"/>
    <s v="NORMAL"/>
    <s v="Emerging Markets - Equities"/>
    <n v="1267280.8899999999"/>
    <n v="0.73787987045112302"/>
    <n v="6.3E-2"/>
    <n v="79838.696069999802"/>
    <n v="23597.827338566101"/>
    <n v="56240.8687314337"/>
    <n v="1323521.7587314299"/>
    <n v="3678257.3969222298"/>
    <m/>
    <m/>
    <m/>
    <m/>
    <m/>
    <m/>
    <m/>
    <m/>
  </r>
  <r>
    <x v="25"/>
    <s v="ASK"/>
    <s v="Developed Markets - Equities"/>
    <n v="2908.48"/>
    <n v="1.6934752686199499E-3"/>
    <n v="6.3E-2"/>
    <n v="183.23423999999901"/>
    <n v="31.149820799999901"/>
    <n v="152.08441919999899"/>
    <n v="3060.5644192"/>
    <n v="3678257.3969222298"/>
    <m/>
    <m/>
    <m/>
    <m/>
    <m/>
    <m/>
    <m/>
    <m/>
  </r>
  <r>
    <x v="25"/>
    <s v="NORMAL"/>
    <s v="Developed Markets - Equities"/>
    <n v="8986.82"/>
    <n v="5.23261546015072E-3"/>
    <n v="6.3E-2"/>
    <n v="566.169659999999"/>
    <n v="167.342085212673"/>
    <n v="398.82757478732498"/>
    <n v="9385.6475747873192"/>
    <n v="3678257.3969222298"/>
    <m/>
    <m/>
    <m/>
    <m/>
    <m/>
    <m/>
    <m/>
    <m/>
  </r>
  <r>
    <x v="25"/>
    <s v="NORMAL"/>
    <s v="Emerging Markets State - Obligations"/>
    <n v="4837.1290293934098"/>
    <n v="2.8164396462761901E-3"/>
    <n v="3.4299999999999997E-2"/>
    <n v="165.91352570819399"/>
    <n v="49.038861172807799"/>
    <n v="116.874664535386"/>
    <n v="4954.0036939288002"/>
    <n v="3678257.3969222298"/>
    <m/>
    <m/>
    <m/>
    <m/>
    <m/>
    <m/>
    <m/>
    <m/>
  </r>
  <r>
    <x v="25"/>
    <s v="NORMAL"/>
    <s v="High Yield Bonds - Obligations"/>
    <n v="8821.9167931187894"/>
    <n v="5.1365998428628398E-3"/>
    <n v="3.4299999999999997E-2"/>
    <n v="302.59174600397398"/>
    <n v="89.436678299661693"/>
    <n v="213.15506770431199"/>
    <n v="9035.0718608231091"/>
    <n v="3678257.3969222298"/>
    <m/>
    <m/>
    <m/>
    <m/>
    <m/>
    <m/>
    <m/>
    <m/>
  </r>
  <r>
    <x v="25"/>
    <s v="NORMAL"/>
    <s v="Investment Grade Bonds - Obligations"/>
    <n v="10282.9521356678"/>
    <n v="5.9872940952512103E-3"/>
    <n v="3.4299999999999997E-2"/>
    <n v="352.70525825340701"/>
    <n v="104.248668820578"/>
    <n v="248.456589432828"/>
    <n v="10531.4087251006"/>
    <n v="3678257.3969222298"/>
    <m/>
    <m/>
    <m/>
    <m/>
    <m/>
    <m/>
    <m/>
    <m/>
  </r>
  <r>
    <x v="25"/>
    <s v="NORMAL"/>
    <s v="Government ZC Bonds - Obligations"/>
    <n v="4203.7590898551398"/>
    <n v="2.4476572140451299E-3"/>
    <n v="3.4299999999999997E-2"/>
    <n v="144.18893678203099"/>
    <n v="42.617750562090301"/>
    <n v="101.57118621994"/>
    <n v="4305.3302760750803"/>
    <n v="3678257.3969222298"/>
    <m/>
    <m/>
    <m/>
    <m/>
    <m/>
    <m/>
    <m/>
    <m/>
  </r>
  <r>
    <x v="26"/>
    <s v="ASK"/>
    <s v="Emerging Markets - Equities"/>
    <n v="463625.96"/>
    <n v="0.24190898818130099"/>
    <n v="6.3E-2"/>
    <n v="29208.435479999898"/>
    <n v="4965.4340315999898"/>
    <n v="24243.0014483999"/>
    <n v="487868.96144839999"/>
    <n v="4143556.95763289"/>
    <m/>
    <m/>
    <m/>
    <m/>
    <m/>
    <m/>
    <m/>
    <m/>
  </r>
  <r>
    <x v="26"/>
    <s v="NORMAL"/>
    <s v="Emerging Markets - Equities"/>
    <n v="1277886.93"/>
    <n v="0.66677097685903797"/>
    <n v="6.3E-2"/>
    <n v="80506.87659"/>
    <n v="24398.6429354459"/>
    <n v="56108.233654554002"/>
    <n v="1333995.16365455"/>
    <n v="4143556.95763289"/>
    <m/>
    <m/>
    <m/>
    <m/>
    <m/>
    <m/>
    <m/>
    <m/>
  </r>
  <r>
    <x v="26"/>
    <s v="ASK"/>
    <s v="Developed Markets - Equities"/>
    <n v="1673.6"/>
    <n v="8.7324463587031703E-4"/>
    <n v="6.3E-2"/>
    <n v="105.436799999999"/>
    <n v="17.9242559999999"/>
    <n v="87.512543999999906"/>
    <n v="1761.1125439999901"/>
    <n v="4143556.95763289"/>
    <m/>
    <m/>
    <m/>
    <m/>
    <m/>
    <m/>
    <m/>
    <m/>
  </r>
  <r>
    <x v="26"/>
    <s v="NORMAL"/>
    <s v="Developed Markets - Equities"/>
    <n v="4612.9399999999996"/>
    <n v="2.40692226971296E-3"/>
    <n v="6.3E-2"/>
    <n v="290.615219999999"/>
    <n v="88.074674918723701"/>
    <n v="202.54054508127501"/>
    <n v="4815.4805450812701"/>
    <n v="4143556.95763289"/>
    <m/>
    <m/>
    <m/>
    <m/>
    <m/>
    <m/>
    <m/>
    <m/>
  </r>
  <r>
    <x v="26"/>
    <s v="NORMAL"/>
    <s v="Emerging Markets State - Obligations"/>
    <n v="106.602224948805"/>
    <n v="5.56225030523333E-5"/>
    <n v="3.4299999999999997E-2"/>
    <n v="3.6564563157440202"/>
    <n v="1.1081360479456901"/>
    <n v="2.5483202677983199"/>
    <n v="109.15054521660301"/>
    <n v="4143556.95763289"/>
    <m/>
    <m/>
    <m/>
    <m/>
    <m/>
    <m/>
    <m/>
    <m/>
  </r>
  <r>
    <x v="26"/>
    <s v="NORMAL"/>
    <s v="High Yield Bonds - Obligations"/>
    <n v="20285.280530887601"/>
    <n v="1.0584376440440999E-2"/>
    <n v="3.4299999999999997E-2"/>
    <n v="695.78512220944299"/>
    <n v="210.86661755664801"/>
    <n v="484.91850465279401"/>
    <n v="20770.199035540401"/>
    <n v="4143556.95763289"/>
    <m/>
    <m/>
    <m/>
    <m/>
    <m/>
    <m/>
    <m/>
    <m/>
  </r>
  <r>
    <x v="26"/>
    <s v="NORMAL"/>
    <s v="Investment Grade Bonds - Obligations"/>
    <n v="52729.417967541602"/>
    <n v="2.7512954943068602E-2"/>
    <n v="3.4299999999999997E-2"/>
    <n v="1808.6190362866701"/>
    <n v="548.12522782793201"/>
    <n v="1260.49380845874"/>
    <n v="53989.911776000299"/>
    <n v="4143556.95763289"/>
    <m/>
    <m/>
    <m/>
    <m/>
    <m/>
    <m/>
    <m/>
    <m/>
  </r>
  <r>
    <x v="26"/>
    <s v="NORMAL"/>
    <s v="Government ZC Bonds - Obligations"/>
    <n v="95609.793710120299"/>
    <n v="4.9886914133622201E-2"/>
    <n v="3.4299999999999997E-2"/>
    <n v="3279.41592425713"/>
    <n v="993.86911481178799"/>
    <n v="2285.5468094453399"/>
    <n v="97895.340519565594"/>
    <n v="4143556.95763289"/>
    <m/>
    <m/>
    <m/>
    <m/>
    <m/>
    <m/>
    <m/>
    <m/>
  </r>
  <r>
    <x v="27"/>
    <s v="ASK"/>
    <s v="Emerging Markets - Equities"/>
    <n v="523003.94"/>
    <n v="0.24640278683733499"/>
    <n v="6.3E-2"/>
    <n v="32949.248220000001"/>
    <n v="5601.3721974"/>
    <n v="27347.876022600001"/>
    <n v="550351.81602260005"/>
    <n v="4667716.9127734499"/>
    <m/>
    <m/>
    <m/>
    <m/>
    <m/>
    <m/>
    <m/>
    <m/>
  </r>
  <r>
    <x v="27"/>
    <s v="NORMAL"/>
    <s v="Emerging Markets - Equities"/>
    <n v="1494303.54"/>
    <n v="0.70401105704269895"/>
    <n v="6.3E-2"/>
    <n v="94141.123019999795"/>
    <n v="29793.6963854807"/>
    <n v="64347.426634519099"/>
    <n v="1558650.9666345101"/>
    <n v="4667716.9127734499"/>
    <m/>
    <m/>
    <m/>
    <m/>
    <m/>
    <m/>
    <m/>
    <m/>
  </r>
  <r>
    <x v="27"/>
    <s v="ASK"/>
    <s v="Developed Markets - Equities"/>
    <n v="1156.02"/>
    <n v="5.44635571272555E-4"/>
    <n v="6.3E-2"/>
    <n v="72.829259999999906"/>
    <n v="12.380974199999899"/>
    <n v="60.448285799999901"/>
    <n v="1216.4682857999901"/>
    <n v="4667716.9127734499"/>
    <m/>
    <m/>
    <m/>
    <m/>
    <m/>
    <m/>
    <m/>
    <m/>
  </r>
  <r>
    <x v="27"/>
    <s v="NORMAL"/>
    <s v="Developed Markets - Equities"/>
    <n v="3302.93"/>
    <n v="1.5561090356769401E-3"/>
    <n v="6.3E-2"/>
    <n v="208.084589999999"/>
    <n v="65.854420449606806"/>
    <n v="142.23016955039299"/>
    <n v="3445.16016955039"/>
    <n v="4667716.9127734499"/>
    <m/>
    <m/>
    <m/>
    <m/>
    <m/>
    <m/>
    <m/>
    <m/>
  </r>
  <r>
    <x v="27"/>
    <s v="NORMAL"/>
    <s v="Emerging Markets State - Obligations"/>
    <n v="766.65535941794099"/>
    <n v="3.6119425238815601E-4"/>
    <n v="3.4299999999999997E-2"/>
    <n v="26.296278828035302"/>
    <n v="8.3222222376079706"/>
    <n v="17.974056590427399"/>
    <n v="784.62941600836803"/>
    <n v="4667716.9127734499"/>
    <m/>
    <m/>
    <m/>
    <m/>
    <m/>
    <m/>
    <m/>
    <m/>
  </r>
  <r>
    <x v="27"/>
    <s v="NORMAL"/>
    <s v="High Yield Bonds - Obligations"/>
    <n v="6412.3935954735298"/>
    <n v="3.0210702661677101E-3"/>
    <n v="3.4299999999999997E-2"/>
    <n v="219.94510032474199"/>
    <n v="69.608023893631596"/>
    <n v="150.33707643111001"/>
    <n v="6562.7306719046401"/>
    <n v="4667716.9127734499"/>
    <m/>
    <m/>
    <m/>
    <m/>
    <m/>
    <m/>
    <m/>
    <m/>
  </r>
  <r>
    <x v="27"/>
    <s v="NORMAL"/>
    <s v="Investment Grade Bonds - Obligations"/>
    <n v="22005.5502683462"/>
    <n v="1.03674723980274E-2"/>
    <n v="3.4299999999999997E-2"/>
    <n v="754.79037420427596"/>
    <n v="238.87536628332001"/>
    <n v="515.91500792095599"/>
    <n v="22521.465276267201"/>
    <n v="4667716.9127734499"/>
    <m/>
    <m/>
    <m/>
    <m/>
    <m/>
    <m/>
    <m/>
    <m/>
  </r>
  <r>
    <x v="27"/>
    <s v="NORMAL"/>
    <s v="Government ZC Bonds - Obligations"/>
    <n v="71605.896947560104"/>
    <n v="3.3735678094252798E-2"/>
    <n v="3.4299999999999997E-2"/>
    <n v="2456.0822653013101"/>
    <n v="777.29866569156195"/>
    <n v="1678.7835996097499"/>
    <n v="73284.680547169904"/>
    <n v="4667716.9127734499"/>
    <m/>
    <m/>
    <m/>
    <m/>
    <m/>
    <m/>
    <m/>
    <m/>
  </r>
  <r>
    <x v="28"/>
    <s v="ASK"/>
    <s v="Emerging Markets - Equities"/>
    <n v="588225.74"/>
    <n v="0.25144481772845001"/>
    <n v="6.3E-2"/>
    <n v="37058.221619999902"/>
    <n v="6299.8976753999896"/>
    <n v="30758.323944599899"/>
    <n v="618984.06394459901"/>
    <n v="5258183.1022392996"/>
    <m/>
    <m/>
    <m/>
    <m/>
    <m/>
    <m/>
    <m/>
    <m/>
  </r>
  <r>
    <x v="28"/>
    <s v="NORMAL"/>
    <s v="Emerging Markets - Equities"/>
    <n v="1625986.77"/>
    <n v="0.69504939891192496"/>
    <n v="6.3E-2"/>
    <n v="102437.16650999901"/>
    <n v="33315.0765287217"/>
    <n v="69122.089981278099"/>
    <n v="1695108.85998127"/>
    <n v="5258183.1022392996"/>
    <m/>
    <m/>
    <m/>
    <m/>
    <m/>
    <m/>
    <m/>
    <m/>
  </r>
  <r>
    <x v="28"/>
    <s v="ASK"/>
    <s v="Developed Markets - Equities"/>
    <n v="2240.4499999999998"/>
    <n v="9.5770977631768901E-4"/>
    <n v="6.3E-2"/>
    <n v="141.148349999999"/>
    <n v="23.995219499999902"/>
    <n v="117.15313049999899"/>
    <n v="2357.6031304999901"/>
    <n v="5258183.1022392996"/>
    <m/>
    <m/>
    <m/>
    <m/>
    <m/>
    <m/>
    <m/>
    <m/>
  </r>
  <r>
    <x v="28"/>
    <s v="NORMAL"/>
    <s v="Developed Markets - Equities"/>
    <n v="6193.09"/>
    <n v="2.64731765431735E-3"/>
    <n v="6.3E-2"/>
    <n v="390.16467"/>
    <n v="126.891110743331"/>
    <n v="263.27355925666802"/>
    <n v="6456.3635592566598"/>
    <n v="5258183.1022392996"/>
    <m/>
    <m/>
    <m/>
    <m/>
    <m/>
    <m/>
    <m/>
    <m/>
  </r>
  <r>
    <x v="28"/>
    <s v="NORMAL"/>
    <s v="Emerging Markets State - Obligations"/>
    <n v="26897.671934486301"/>
    <n v="1.14977631153757E-2"/>
    <n v="3.4299999999999997E-2"/>
    <n v="922.59014735287894"/>
    <n v="300.04892180130099"/>
    <n v="622.54122555157801"/>
    <n v="27520.213160037802"/>
    <n v="5258183.1022392996"/>
    <m/>
    <m/>
    <m/>
    <m/>
    <m/>
    <m/>
    <m/>
    <m/>
  </r>
  <r>
    <x v="28"/>
    <s v="NORMAL"/>
    <s v="High Yield Bonds - Obligations"/>
    <n v="3.1592104364671199E-2"/>
    <n v="1.35044599096138E-8"/>
    <n v="3.4299999999999997E-2"/>
    <n v="1.08360917970821E-3"/>
    <n v="3.52416256512528E-4"/>
    <n v="7.3119292319569098E-4"/>
    <n v="3.2323297287866898E-2"/>
    <n v="5258183.1022392996"/>
    <m/>
    <m/>
    <m/>
    <m/>
    <m/>
    <m/>
    <m/>
    <m/>
  </r>
  <r>
    <x v="28"/>
    <s v="NORMAL"/>
    <s v="Investment Grade Bonds - Obligations"/>
    <n v="18890.7039882096"/>
    <n v="8.0750795112731494E-3"/>
    <n v="3.4299999999999997E-2"/>
    <n v="647.95114679558901"/>
    <n v="210.72958944311199"/>
    <n v="437.221557352476"/>
    <n v="19327.925545562099"/>
    <n v="5258183.1022392996"/>
    <m/>
    <m/>
    <m/>
    <m/>
    <m/>
    <m/>
    <m/>
    <m/>
  </r>
  <r>
    <x v="28"/>
    <s v="NORMAL"/>
    <s v="Government ZC Bonds - Obligations"/>
    <n v="70948.578839716007"/>
    <n v="3.0327901792337401E-2"/>
    <n v="3.4299999999999997E-2"/>
    <n v="2433.5362542022599"/>
    <n v="791.44561789741397"/>
    <n v="1642.09063630484"/>
    <n v="72590.669476020805"/>
    <n v="5258183.1022392996"/>
    <m/>
    <m/>
    <m/>
    <m/>
    <m/>
    <m/>
    <m/>
    <m/>
  </r>
  <r>
    <x v="29"/>
    <s v="ASK"/>
    <s v="Emerging Markets - Equities"/>
    <n v="661752.66"/>
    <n v="0.25787897907657897"/>
    <n v="6.3E-2"/>
    <n v="41690.417580000001"/>
    <n v="7087.3709885999997"/>
    <n v="34603.046591400001"/>
    <n v="696355.70659139997"/>
    <n v="5923343.2646725699"/>
    <m/>
    <m/>
    <m/>
    <m/>
    <m/>
    <m/>
    <m/>
    <m/>
  </r>
  <r>
    <x v="29"/>
    <s v="NORMAL"/>
    <s v="Emerging Markets - Equities"/>
    <n v="1726322.6"/>
    <n v="0.67273218009403402"/>
    <n v="6.3E-2"/>
    <n v="108758.32379999899"/>
    <n v="36103.373492471103"/>
    <n v="72654.950307528707"/>
    <n v="1798977.55030752"/>
    <n v="5923343.2646725699"/>
    <m/>
    <m/>
    <m/>
    <m/>
    <m/>
    <m/>
    <m/>
    <m/>
  </r>
  <r>
    <x v="29"/>
    <s v="ASK"/>
    <s v="Developed Markets - Equities"/>
    <n v="3407.5"/>
    <n v="1.3278716872909E-3"/>
    <n v="6.3E-2"/>
    <n v="214.67249999999899"/>
    <n v="36.494324999999897"/>
    <n v="178.17817499999899"/>
    <n v="3585.67817499999"/>
    <n v="5923343.2646725699"/>
    <m/>
    <m/>
    <m/>
    <m/>
    <m/>
    <m/>
    <m/>
    <m/>
  </r>
  <r>
    <x v="29"/>
    <s v="NORMAL"/>
    <s v="Developed Markets - Equities"/>
    <n v="8889.2000000000007"/>
    <n v="3.4640402062116799E-3"/>
    <n v="6.3E-2"/>
    <n v="560.01959999999895"/>
    <n v="185.903902114978"/>
    <n v="374.11569788502101"/>
    <n v="9263.3156978850202"/>
    <n v="5923343.2646725699"/>
    <m/>
    <m/>
    <m/>
    <m/>
    <m/>
    <m/>
    <m/>
    <m/>
  </r>
  <r>
    <x v="29"/>
    <s v="NORMAL"/>
    <s v="Emerging Markets State - Obligations"/>
    <n v="23782.773369353701"/>
    <n v="9.2679299787002296E-3"/>
    <n v="3.4299999999999997E-2"/>
    <n v="815.749126568836"/>
    <n v="270.795782461957"/>
    <n v="544.95334410687894"/>
    <n v="24327.726713460601"/>
    <n v="5923343.2646725699"/>
    <m/>
    <m/>
    <m/>
    <m/>
    <m/>
    <m/>
    <m/>
    <m/>
  </r>
  <r>
    <x v="29"/>
    <s v="NORMAL"/>
    <s v="High Yield Bonds - Obligations"/>
    <n v="21489.688560912899"/>
    <n v="8.3743357325709693E-3"/>
    <n v="3.4299999999999997E-2"/>
    <n v="737.096317639316"/>
    <n v="244.68622470308199"/>
    <n v="492.41009293623301"/>
    <n v="21982.0986538492"/>
    <n v="5923343.2646725699"/>
    <m/>
    <m/>
    <m/>
    <m/>
    <m/>
    <m/>
    <m/>
    <m/>
  </r>
  <r>
    <x v="29"/>
    <s v="NORMAL"/>
    <s v="Investment Grade Bonds - Obligations"/>
    <n v="48883.2879659256"/>
    <n v="1.90493717011418E-2"/>
    <n v="3.4299999999999997E-2"/>
    <n v="1676.69677723124"/>
    <n v="556.59565049312198"/>
    <n v="1120.10112673812"/>
    <n v="50003.389092663703"/>
    <n v="5923343.2646725699"/>
    <m/>
    <m/>
    <m/>
    <m/>
    <m/>
    <m/>
    <m/>
    <m/>
  </r>
  <r>
    <x v="29"/>
    <s v="NORMAL"/>
    <s v="Government ZC Bonds - Obligations"/>
    <n v="71608.782119698299"/>
    <n v="2.7905289607668499E-2"/>
    <n v="3.4299999999999997E-2"/>
    <n v="2456.1812267056498"/>
    <n v="815.35302397654505"/>
    <n v="1640.8282027291"/>
    <n v="73249.610322427397"/>
    <n v="5923343.2646725699"/>
    <m/>
    <m/>
    <m/>
    <m/>
    <m/>
    <m/>
    <m/>
    <m/>
  </r>
  <r>
    <x v="30"/>
    <s v="ASK"/>
    <s v="Emerging Markets - Equities"/>
    <n v="747734.44"/>
    <n v="0.26678373174445902"/>
    <n v="6.3E-2"/>
    <n v="47107.269719999902"/>
    <n v="8008.2358523999901"/>
    <n v="39099.033867599901"/>
    <n v="786833.47386759997"/>
    <n v="6672646.1876536496"/>
    <m/>
    <m/>
    <m/>
    <m/>
    <m/>
    <m/>
    <m/>
    <m/>
  </r>
  <r>
    <x v="30"/>
    <s v="NORMAL"/>
    <s v="Emerging Markets - Equities"/>
    <n v="1951482.82"/>
    <n v="0.69626840934971701"/>
    <n v="6.3E-2"/>
    <n v="122943.417659999"/>
    <n v="41800.496982546501"/>
    <n v="81142.920677453207"/>
    <n v="2032625.7406774501"/>
    <n v="6672646.1876536496"/>
    <m/>
    <m/>
    <m/>
    <m/>
    <m/>
    <m/>
    <m/>
    <m/>
  </r>
  <r>
    <x v="30"/>
    <s v="ASK"/>
    <s v="Developed Markets - Equities"/>
    <n v="1568.48"/>
    <n v="5.5961705811832102E-4"/>
    <n v="6.3E-2"/>
    <n v="98.814239999999899"/>
    <n v="16.798420799999899"/>
    <n v="82.015819199999896"/>
    <n v="1650.4958191999999"/>
    <n v="6672646.1876536496"/>
    <m/>
    <m/>
    <m/>
    <m/>
    <m/>
    <m/>
    <m/>
    <m/>
  </r>
  <r>
    <x v="30"/>
    <s v="NORMAL"/>
    <s v="Developed Markets - Equities"/>
    <n v="4093.51"/>
    <n v="1.46052102900765E-3"/>
    <n v="6.3E-2"/>
    <n v="257.89112999999998"/>
    <n v="87.682428279345203"/>
    <n v="170.20870172065401"/>
    <n v="4263.7187017206497"/>
    <n v="6672646.1876536496"/>
    <m/>
    <m/>
    <m/>
    <m/>
    <m/>
    <m/>
    <m/>
    <m/>
  </r>
  <r>
    <x v="30"/>
    <s v="NORMAL"/>
    <s v="Emerging Markets State - Obligations"/>
    <n v="24404.516451938602"/>
    <n v="8.7072730934624996E-3"/>
    <n v="3.4299999999999997E-2"/>
    <n v="837.074914301494"/>
    <n v="284.60366642962799"/>
    <n v="552.47124787186601"/>
    <n v="24956.987699810401"/>
    <n v="6672646.1876536496"/>
    <m/>
    <m/>
    <m/>
    <m/>
    <m/>
    <m/>
    <m/>
    <m/>
  </r>
  <r>
    <x v="30"/>
    <s v="NORMAL"/>
    <s v="High Yield Bonds - Obligations"/>
    <n v="28047.805348589402"/>
    <n v="1.0007159999396199E-2"/>
    <n v="3.4299999999999997E-2"/>
    <n v="962.03972345661896"/>
    <n v="327.09143216312202"/>
    <n v="634.94829129349603"/>
    <n v="28682.7536398829"/>
    <n v="6672646.1876536496"/>
    <m/>
    <m/>
    <m/>
    <m/>
    <m/>
    <m/>
    <m/>
    <m/>
  </r>
  <r>
    <x v="30"/>
    <s v="NORMAL"/>
    <s v="Investment Grade Bonds - Obligations"/>
    <n v="19634.329687634501"/>
    <n v="7.0053209590936801E-3"/>
    <n v="3.4299999999999997E-2"/>
    <n v="673.45750828586404"/>
    <n v="228.97410108467801"/>
    <n v="444.48340720118603"/>
    <n v="20078.813094835699"/>
    <n v="6672646.1876536496"/>
    <m/>
    <m/>
    <m/>
    <m/>
    <m/>
    <m/>
    <m/>
    <m/>
  </r>
  <r>
    <x v="30"/>
    <s v="NORMAL"/>
    <s v="Government ZC Bonds - Obligations"/>
    <n v="25807.838619730799"/>
    <n v="9.2079635856154602E-3"/>
    <n v="3.4299999999999997E-2"/>
    <n v="885.20886465676801"/>
    <n v="300.96910579091099"/>
    <n v="584.23975886585595"/>
    <n v="26392.078378596601"/>
    <n v="6672646.1876536496"/>
    <m/>
    <m/>
    <m/>
    <m/>
    <m/>
    <m/>
    <m/>
    <m/>
  </r>
  <r>
    <x v="31"/>
    <s v="ASK"/>
    <s v="Emerging Markets - Equities"/>
    <n v="840513.28"/>
    <n v="0.27541892142928398"/>
    <n v="6.3E-2"/>
    <n v="52952.336639999899"/>
    <n v="9001.8972288000004"/>
    <n v="43950.439411199899"/>
    <n v="884463.71941120003"/>
    <n v="7516735.9303918397"/>
    <m/>
    <m/>
    <m/>
    <m/>
    <m/>
    <m/>
    <m/>
    <m/>
  </r>
  <r>
    <x v="31"/>
    <s v="NORMAL"/>
    <s v="Emerging Markets - Equities"/>
    <n v="1969735.2"/>
    <n v="0.64544172851771697"/>
    <n v="6.3E-2"/>
    <n v="124093.31759999901"/>
    <n v="42636.243028277102"/>
    <n v="81457.074571722798"/>
    <n v="2051192.27457172"/>
    <n v="7516735.9303918397"/>
    <m/>
    <m/>
    <m/>
    <m/>
    <m/>
    <m/>
    <m/>
    <m/>
  </r>
  <r>
    <x v="31"/>
    <s v="ASK"/>
    <s v="Developed Markets - Equities"/>
    <n v="3576.47"/>
    <n v="1.1719356890163501E-3"/>
    <n v="6.3E-2"/>
    <n v="225.31760999999901"/>
    <n v="38.3039936999999"/>
    <n v="187.013616299999"/>
    <n v="3763.48361629999"/>
    <n v="7516735.9303918397"/>
    <m/>
    <m/>
    <m/>
    <m/>
    <m/>
    <m/>
    <m/>
    <m/>
  </r>
  <r>
    <x v="31"/>
    <s v="NORMAL"/>
    <s v="Developed Markets - Equities"/>
    <n v="8381.42"/>
    <n v="2.7464190172531602E-3"/>
    <n v="6.3E-2"/>
    <n v="528.02945999999895"/>
    <n v="181.421472308593"/>
    <n v="346.60798769140501"/>
    <n v="8728.0279876913992"/>
    <n v="7516735.9303918397"/>
    <m/>
    <m/>
    <m/>
    <m/>
    <m/>
    <m/>
    <m/>
    <m/>
  </r>
  <r>
    <x v="31"/>
    <s v="NORMAL"/>
    <s v="Emerging Markets State - Obligations"/>
    <n v="11134.8998667407"/>
    <n v="3.64867775976224E-3"/>
    <n v="3.4299999999999997E-2"/>
    <n v="381.92706542920598"/>
    <n v="131.223304329776"/>
    <n v="250.70376109943001"/>
    <n v="11385.603627840101"/>
    <n v="7516735.9303918397"/>
    <m/>
    <m/>
    <m/>
    <m/>
    <m/>
    <m/>
    <m/>
    <m/>
  </r>
  <r>
    <x v="31"/>
    <s v="NORMAL"/>
    <s v="High Yield Bonds - Obligations"/>
    <n v="9642.4970500509007"/>
    <n v="3.15964803960037E-3"/>
    <n v="3.4299999999999997E-2"/>
    <n v="330.737648816746"/>
    <n v="113.63553691912701"/>
    <n v="217.10211189761901"/>
    <n v="9859.5991619485194"/>
    <n v="7516735.9303918397"/>
    <m/>
    <m/>
    <m/>
    <m/>
    <m/>
    <m/>
    <m/>
    <m/>
  </r>
  <r>
    <x v="31"/>
    <s v="NORMAL"/>
    <s v="Investment Grade Bonds - Obligations"/>
    <n v="28683.6595391421"/>
    <n v="9.3990455128981805E-3"/>
    <n v="3.4299999999999997E-2"/>
    <n v="983.84952219257298"/>
    <n v="338.03308786271703"/>
    <n v="645.81643432985504"/>
    <n v="29329.475973471901"/>
    <n v="7516735.9303918397"/>
    <m/>
    <m/>
    <m/>
    <m/>
    <m/>
    <m/>
    <m/>
    <m/>
  </r>
  <r>
    <x v="31"/>
    <s v="NORMAL"/>
    <s v="Government ZC Bonds - Obligations"/>
    <n v="180095.60330728799"/>
    <n v="5.90136265509685E-2"/>
    <n v="3.4299999999999997E-2"/>
    <n v="6177.2791934399802"/>
    <n v="2122.4025760515801"/>
    <n v="4054.8766173884001"/>
    <n v="184150.47992467601"/>
    <n v="7516735.9303918397"/>
    <m/>
    <m/>
    <m/>
    <m/>
    <m/>
    <m/>
    <m/>
    <m/>
  </r>
  <r>
    <x v="32"/>
    <s v="ASK"/>
    <s v="Emerging Markets - Equities"/>
    <n v="950867.1"/>
    <n v="0.28723506517956399"/>
    <n v="6.3E-2"/>
    <n v="59904.627299999898"/>
    <n v="10183.786640999901"/>
    <n v="49720.840658999899"/>
    <n v="1000587.940659"/>
    <n v="8467603.0255864095"/>
    <m/>
    <m/>
    <m/>
    <m/>
    <m/>
    <m/>
    <m/>
    <m/>
  </r>
  <r>
    <x v="32"/>
    <s v="NORMAL"/>
    <s v="Emerging Markets - Equities"/>
    <n v="2131799.79"/>
    <n v="0.64396764976980703"/>
    <n v="6.3E-2"/>
    <n v="134303.38676999899"/>
    <n v="46838.970315467697"/>
    <n v="87464.416454531995"/>
    <n v="2219264.2064545299"/>
    <n v="8467603.0255864095"/>
    <m/>
    <m/>
    <m/>
    <m/>
    <m/>
    <m/>
    <m/>
    <m/>
  </r>
  <r>
    <x v="32"/>
    <s v="NORMAL"/>
    <s v="Emerging Markets State - Obligations"/>
    <n v="14290.172850630201"/>
    <n v="4.3167323069417604E-3"/>
    <n v="3.4299999999999997E-2"/>
    <n v="490.15292877661699"/>
    <n v="170.94325789657501"/>
    <n v="319.20967088004102"/>
    <n v="14609.382521510201"/>
    <n v="8467603.0255864095"/>
    <m/>
    <m/>
    <m/>
    <m/>
    <m/>
    <m/>
    <m/>
    <m/>
  </r>
  <r>
    <x v="32"/>
    <s v="NORMAL"/>
    <s v="High Yield Bonds - Obligations"/>
    <n v="2417.3755657595102"/>
    <n v="7.3023351864253403E-4"/>
    <n v="3.4299999999999997E-2"/>
    <n v="82.915981905551206"/>
    <n v="28.9173587394558"/>
    <n v="53.9986231660953"/>
    <n v="2471.3741889256098"/>
    <n v="8467603.0255864095"/>
    <m/>
    <m/>
    <m/>
    <m/>
    <m/>
    <m/>
    <m/>
    <m/>
  </r>
  <r>
    <x v="32"/>
    <s v="NORMAL"/>
    <s v="Investment Grade Bonds - Obligations"/>
    <n v="52534.853678929998"/>
    <n v="1.5869570122540099E-2"/>
    <n v="3.4299999999999997E-2"/>
    <n v="1801.9454811872999"/>
    <n v="628.437397844359"/>
    <n v="1173.5080833429399"/>
    <n v="53708.361762273002"/>
    <n v="8467603.0255864095"/>
    <m/>
    <m/>
    <m/>
    <m/>
    <m/>
    <m/>
    <m/>
    <m/>
  </r>
  <r>
    <x v="32"/>
    <s v="NORMAL"/>
    <s v="Government ZC Bonds - Obligations"/>
    <n v="158505.131630786"/>
    <n v="4.7880752015990798E-2"/>
    <n v="3.4299999999999997E-2"/>
    <n v="5436.7260149359599"/>
    <n v="1896.08508431002"/>
    <n v="3540.6409306259302"/>
    <n v="162045.77256141201"/>
    <n v="8467603.0255864095"/>
    <m/>
    <m/>
    <m/>
    <m/>
    <m/>
    <m/>
    <m/>
    <m/>
  </r>
  <r>
    <x v="33"/>
    <s v="ASK"/>
    <s v="Emerging Markets - Equities"/>
    <n v="1070671.93"/>
    <n v="0.29894476414968801"/>
    <n v="6.3E-2"/>
    <n v="67452.331589999798"/>
    <n v="11466.896370299901"/>
    <n v="55985.435219699801"/>
    <n v="1126657.3652196999"/>
    <n v="9538754.8083230909"/>
    <m/>
    <m/>
    <m/>
    <m/>
    <m/>
    <m/>
    <m/>
    <m/>
  </r>
  <r>
    <x v="33"/>
    <s v="NORMAL"/>
    <s v="Emerging Markets - Equities"/>
    <n v="2296709.31"/>
    <n v="0.64126947177772997"/>
    <n v="6.3E-2"/>
    <n v="144692.68653000001"/>
    <n v="51135.863241919396"/>
    <n v="93556.823288080603"/>
    <n v="2390266.1332880799"/>
    <n v="9538754.8083230909"/>
    <m/>
    <m/>
    <m/>
    <m/>
    <m/>
    <m/>
    <m/>
    <m/>
  </r>
  <r>
    <x v="33"/>
    <s v="ASK"/>
    <s v="Developed Markets - Equities"/>
    <n v="479.85"/>
    <n v="1.3398001858256199E-4"/>
    <n v="6.3E-2"/>
    <n v="30.230549999999901"/>
    <n v="5.1391934999999904"/>
    <n v="25.0913564999999"/>
    <n v="504.94135649999998"/>
    <n v="9538754.8083230909"/>
    <m/>
    <m/>
    <m/>
    <m/>
    <m/>
    <m/>
    <m/>
    <m/>
  </r>
  <r>
    <x v="33"/>
    <s v="NORMAL"/>
    <s v="Developed Markets - Equities"/>
    <n v="1029.33"/>
    <n v="2.8740158909573498E-4"/>
    <n v="6.3E-2"/>
    <n v="64.847790000000003"/>
    <n v="22.917866828695399"/>
    <n v="41.929923171304601"/>
    <n v="1071.2599231713"/>
    <n v="9538754.8083230909"/>
    <m/>
    <m/>
    <m/>
    <m/>
    <m/>
    <m/>
    <m/>
    <m/>
  </r>
  <r>
    <x v="33"/>
    <s v="NORMAL"/>
    <s v="Emerging Markets State - Obligations"/>
    <n v="8407.1697522770792"/>
    <n v="2.34738514043313E-3"/>
    <n v="3.4299999999999997E-2"/>
    <n v="288.365922503104"/>
    <n v="101.911442315305"/>
    <n v="186.454480187798"/>
    <n v="8593.6242324648792"/>
    <n v="9538754.8083230909"/>
    <m/>
    <m/>
    <m/>
    <m/>
    <m/>
    <m/>
    <m/>
    <m/>
  </r>
  <r>
    <x v="33"/>
    <s v="NORMAL"/>
    <s v="High Yield Bonds - Obligations"/>
    <n v="4606.6687867389101"/>
    <n v="1.28623855298736E-3"/>
    <n v="3.4299999999999997E-2"/>
    <n v="158.008739385144"/>
    <n v="55.841891404453101"/>
    <n v="102.166847980691"/>
    <n v="4708.8356347196004"/>
    <n v="9538754.8083230909"/>
    <m/>
    <m/>
    <m/>
    <m/>
    <m/>
    <m/>
    <m/>
    <m/>
  </r>
  <r>
    <x v="33"/>
    <s v="NORMAL"/>
    <s v="Investment Grade Bonds - Obligations"/>
    <n v="35496.789917171402"/>
    <n v="9.9111400911200305E-3"/>
    <n v="3.4299999999999997E-2"/>
    <n v="1217.5398941589799"/>
    <n v="430.29094982202798"/>
    <n v="787.24894433695204"/>
    <n v="36284.038861508401"/>
    <n v="9538754.8083230909"/>
    <m/>
    <m/>
    <m/>
    <m/>
    <m/>
    <m/>
    <m/>
    <m/>
  </r>
  <r>
    <x v="33"/>
    <s v="NORMAL"/>
    <s v="Government ZC Bonds - Obligations"/>
    <n v="164103.15472432401"/>
    <n v="4.5819618046101997E-2"/>
    <n v="3.4299999999999997E-2"/>
    <n v="5628.73820704431"/>
    <n v="1989.2531826085501"/>
    <n v="3639.4850244357499"/>
    <n v="167742.63974875899"/>
    <n v="9538754.8083230909"/>
    <m/>
    <m/>
    <m/>
    <m/>
    <m/>
    <m/>
    <m/>
    <m/>
  </r>
  <r>
    <x v="34"/>
    <s v="ASK"/>
    <s v="Emerging Markets - Equities"/>
    <n v="1206388.48"/>
    <n v="0.31205613564287799"/>
    <n v="6.3E-2"/>
    <n v="76002.474239999894"/>
    <n v="12920.4206207999"/>
    <n v="63082.053619199898"/>
    <n v="1269470.5336191901"/>
    <n v="10745407.291575899"/>
    <m/>
    <m/>
    <m/>
    <m/>
    <m/>
    <m/>
    <m/>
    <m/>
  </r>
  <r>
    <x v="34"/>
    <s v="NORMAL"/>
    <s v="Emerging Markets - Equities"/>
    <n v="2422826.41"/>
    <n v="0.62671175941443702"/>
    <n v="6.3E-2"/>
    <n v="152638.06382999901"/>
    <n v="54494.744373894297"/>
    <n v="98143.319456105499"/>
    <n v="2520969.7294561001"/>
    <n v="10745407.291575899"/>
    <m/>
    <m/>
    <m/>
    <m/>
    <m/>
    <m/>
    <m/>
    <m/>
  </r>
  <r>
    <x v="34"/>
    <s v="ASK"/>
    <s v="Developed Markets - Equities"/>
    <n v="264"/>
    <n v="6.8288798488626098E-5"/>
    <n v="6.3E-2"/>
    <n v="16.632000000000001"/>
    <n v="2.8274400000000002"/>
    <n v="13.80456"/>
    <n v="277.80455999999998"/>
    <n v="10745407.291575899"/>
    <m/>
    <m/>
    <m/>
    <m/>
    <m/>
    <m/>
    <m/>
    <m/>
  </r>
  <r>
    <x v="34"/>
    <s v="NORMAL"/>
    <s v="Developed Markets - Equities"/>
    <n v="530.21"/>
    <n v="1.3714925699490299E-4"/>
    <n v="6.3E-2"/>
    <n v="33.403230000000001"/>
    <n v="11.925599908943701"/>
    <n v="21.477630091056199"/>
    <n v="551.68763009105601"/>
    <n v="10745407.291575899"/>
    <m/>
    <m/>
    <m/>
    <m/>
    <m/>
    <m/>
    <m/>
    <m/>
  </r>
  <r>
    <x v="34"/>
    <s v="NORMAL"/>
    <s v="Emerging Markets State - Obligations"/>
    <n v="1625.3277485835599"/>
    <n v="4.20423026897709E-4"/>
    <n v="3.4299999999999997E-2"/>
    <n v="55.748741776416097"/>
    <n v="19.903380297430999"/>
    <n v="35.845361478985097"/>
    <n v="1661.17311006254"/>
    <n v="10745407.291575899"/>
    <m/>
    <m/>
    <m/>
    <m/>
    <m/>
    <m/>
    <m/>
    <m/>
  </r>
  <r>
    <x v="34"/>
    <s v="NORMAL"/>
    <s v="High Yield Bonds - Obligations"/>
    <n v="8512.8053165368401"/>
    <n v="2.20200472285564E-3"/>
    <n v="3.4299999999999997E-2"/>
    <n v="291.98922235721301"/>
    <n v="104.245806275493"/>
    <n v="187.74341608172"/>
    <n v="8700.5487326185594"/>
    <n v="10745407.291575899"/>
    <m/>
    <m/>
    <m/>
    <m/>
    <m/>
    <m/>
    <m/>
    <m/>
  </r>
  <r>
    <x v="34"/>
    <s v="NORMAL"/>
    <s v="Investment Grade Bonds - Obligations"/>
    <n v="38037.403717177003"/>
    <n v="9.8391234752758395E-3"/>
    <n v="3.4299999999999997E-2"/>
    <n v="1304.68294749917"/>
    <n v="465.79707530968199"/>
    <n v="838.88587218949306"/>
    <n v="38876.289589366497"/>
    <n v="10745407.291575899"/>
    <m/>
    <m/>
    <m/>
    <m/>
    <m/>
    <m/>
    <m/>
    <m/>
  </r>
  <r>
    <x v="34"/>
    <s v="NORMAL"/>
    <s v="Government ZC Bonds - Obligations"/>
    <n v="187749.54138522301"/>
    <n v="4.8565115901467802E-2"/>
    <n v="3.4299999999999997E-2"/>
    <n v="6439.80926951317"/>
    <n v="2299.1366055953699"/>
    <n v="4140.6726639177996"/>
    <n v="191890.21404914101"/>
    <n v="10745407.291575899"/>
    <m/>
    <m/>
    <m/>
    <m/>
    <m/>
    <m/>
    <m/>
    <m/>
  </r>
  <r>
    <x v="35"/>
    <s v="ASK"/>
    <s v="Emerging Markets - Equities"/>
    <n v="345881.91"/>
    <n v="8.2809968289321995E-2"/>
    <n v="6.3E-2"/>
    <n v="21790.56033"/>
    <n v="3704.3952561000001"/>
    <n v="18086.1650739"/>
    <n v="363968.07507389999"/>
    <n v="12104701.313960301"/>
    <m/>
    <m/>
    <m/>
    <m/>
    <m/>
    <m/>
    <m/>
    <m/>
  </r>
  <r>
    <x v="35"/>
    <s v="NORMAL"/>
    <s v="Emerging Markets - Equities"/>
    <n v="699163.87"/>
    <n v="0.167391633473226"/>
    <n v="6.3E-2"/>
    <n v="44047.3238099999"/>
    <n v="15958.671035338601"/>
    <n v="28088.652774661201"/>
    <n v="727252.52277466096"/>
    <n v="12104701.313960301"/>
    <m/>
    <m/>
    <m/>
    <m/>
    <m/>
    <m/>
    <m/>
    <m/>
  </r>
  <r>
    <x v="35"/>
    <s v="ASK"/>
    <s v="Developed Markets - Equities"/>
    <n v="1013412.11"/>
    <n v="0.24262796713801801"/>
    <n v="6.3E-2"/>
    <n v="63844.962930000002"/>
    <n v="10853.643698100001"/>
    <n v="52991.319231900001"/>
    <n v="1066403.4292319"/>
    <n v="12104701.313960301"/>
    <m/>
    <m/>
    <m/>
    <m/>
    <m/>
    <m/>
    <m/>
    <m/>
  </r>
  <r>
    <x v="35"/>
    <s v="NORMAL"/>
    <s v="Developed Markets - Equities"/>
    <n v="2048505.88"/>
    <n v="0.49044688970085099"/>
    <n v="6.3E-2"/>
    <n v="129055.87043999899"/>
    <n v="46757.895903398101"/>
    <n v="82297.9745366016"/>
    <n v="2130803.8545365999"/>
    <n v="12104701.313960301"/>
    <m/>
    <m/>
    <m/>
    <m/>
    <m/>
    <m/>
    <m/>
    <m/>
  </r>
  <r>
    <x v="35"/>
    <s v="NORMAL"/>
    <s v="Emerging Markets State - Obligations"/>
    <n v="2233.42581778047"/>
    <n v="5.3471984454739004E-4"/>
    <n v="3.4299999999999997E-2"/>
    <n v="76.606505549870207"/>
    <n v="27.755103272804799"/>
    <n v="48.851402277065297"/>
    <n v="2282.27722005754"/>
    <n v="12104701.313960301"/>
    <m/>
    <m/>
    <m/>
    <m/>
    <m/>
    <m/>
    <m/>
    <m/>
  </r>
  <r>
    <x v="35"/>
    <s v="NORMAL"/>
    <s v="High Yield Bonds - Obligations"/>
    <n v="2586.4697560228201"/>
    <n v="6.1924452330432795E-4"/>
    <n v="3.4299999999999997E-2"/>
    <n v="88.715912631582796"/>
    <n v="32.142430977063199"/>
    <n v="56.573481654519497"/>
    <n v="2643.0432376773401"/>
    <n v="12104701.313960301"/>
    <m/>
    <m/>
    <m/>
    <m/>
    <m/>
    <m/>
    <m/>
    <m/>
  </r>
  <r>
    <x v="35"/>
    <s v="NORMAL"/>
    <s v="Investment Grade Bonds - Obligations"/>
    <n v="30943.050538627002"/>
    <n v="7.4082886667261498E-3"/>
    <n v="3.4299999999999997E-2"/>
    <n v="1061.34663347491"/>
    <n v="384.53373129209098"/>
    <n v="676.81290218281799"/>
    <n v="31619.863440809899"/>
    <n v="12104701.313960301"/>
    <m/>
    <m/>
    <m/>
    <m/>
    <m/>
    <m/>
    <m/>
    <m/>
  </r>
  <r>
    <x v="35"/>
    <s v="NORMAL"/>
    <s v="Government ZC Bonds - Obligations"/>
    <n v="34088.181583286103"/>
    <n v="8.1612861336187604E-3"/>
    <n v="3.4299999999999997E-2"/>
    <n v="1169.22462830671"/>
    <n v="423.61872630561101"/>
    <n v="745.605902001103"/>
    <n v="34833.787485287197"/>
    <n v="12104701.313960301"/>
    <m/>
    <m/>
    <m/>
    <m/>
    <m/>
    <m/>
    <m/>
    <m/>
  </r>
  <r>
    <x v="36"/>
    <s v="ASK"/>
    <s v="Emerging Markets - Equities"/>
    <n v="1529450.99"/>
    <n v="0.339450444966649"/>
    <n v="6.3E-2"/>
    <n v="96355.412369999802"/>
    <n v="16380.4201028999"/>
    <n v="79974.992267099806"/>
    <n v="1609425.9822670999"/>
    <n v="13635946.030176301"/>
    <m/>
    <m/>
    <m/>
    <m/>
    <m/>
    <m/>
    <m/>
    <m/>
  </r>
  <r>
    <x v="36"/>
    <s v="NORMAL"/>
    <s v="Emerging Markets - Equities"/>
    <n v="2778978.99"/>
    <n v="0.61677403256214902"/>
    <n v="6.3E-2"/>
    <n v="175075.67637"/>
    <n v="63785.193335336102"/>
    <n v="111290.483034663"/>
    <n v="2890269.4730346599"/>
    <n v="13635946.030176301"/>
    <m/>
    <m/>
    <m/>
    <m/>
    <m/>
    <m/>
    <m/>
    <m/>
  </r>
  <r>
    <x v="36"/>
    <s v="ASK"/>
    <s v="Developed Markets - Equities"/>
    <n v="1793.72"/>
    <n v="3.9810301613232998E-4"/>
    <n v="6.3E-2"/>
    <n v="113.004359999999"/>
    <n v="19.210741199999902"/>
    <n v="93.793618799999905"/>
    <n v="1887.5136187999999"/>
    <n v="13635946.030176301"/>
    <m/>
    <m/>
    <m/>
    <m/>
    <m/>
    <m/>
    <m/>
    <m/>
  </r>
  <r>
    <x v="36"/>
    <s v="NORMAL"/>
    <s v="Developed Markets - Equities"/>
    <n v="3259.15"/>
    <n v="7.2334447128185296E-4"/>
    <n v="6.3E-2"/>
    <n v="205.32644999999999"/>
    <n v="74.806435603480693"/>
    <n v="130.520014396519"/>
    <n v="3389.6700143965099"/>
    <n v="13635946.030176301"/>
    <m/>
    <m/>
    <m/>
    <m/>
    <m/>
    <m/>
    <m/>
    <m/>
  </r>
  <r>
    <x v="36"/>
    <s v="NORMAL"/>
    <s v="Emerging Markets State - Obligations"/>
    <n v="5385.9663617215301"/>
    <n v="1.1953757851775101E-3"/>
    <n v="3.4299999999999997E-2"/>
    <n v="184.73864620704899"/>
    <n v="67.305696080372499"/>
    <n v="117.432950126676"/>
    <n v="5503.3993118482103"/>
    <n v="13635946.030176301"/>
    <m/>
    <m/>
    <m/>
    <m/>
    <m/>
    <m/>
    <m/>
    <m/>
  </r>
  <r>
    <x v="36"/>
    <s v="NORMAL"/>
    <s v="High Yield Bonds - Obligations"/>
    <n v="2520.7267562613902"/>
    <n v="5.5945684081859395E-4"/>
    <n v="3.4299999999999997E-2"/>
    <n v="86.460927739765793"/>
    <n v="31.500246671492999"/>
    <n v="54.960681068272699"/>
    <n v="2575.68743732967"/>
    <n v="13635946.030176301"/>
    <m/>
    <m/>
    <m/>
    <m/>
    <m/>
    <m/>
    <m/>
    <m/>
  </r>
  <r>
    <x v="36"/>
    <s v="NORMAL"/>
    <s v="Investment Grade Bonds - Obligations"/>
    <n v="31779.008906847099"/>
    <n v="7.0531182656780496E-3"/>
    <n v="3.4299999999999997E-2"/>
    <n v="1090.0200055048499"/>
    <n v="397.12619269609399"/>
    <n v="692.89381280876501"/>
    <n v="32471.902719655802"/>
    <n v="13635946.030176301"/>
    <m/>
    <m/>
    <m/>
    <m/>
    <m/>
    <m/>
    <m/>
    <m/>
  </r>
  <r>
    <x v="36"/>
    <s v="NORMAL"/>
    <s v="Government ZC Bonds - Obligations"/>
    <n v="152499.38556632501"/>
    <n v="3.3846121664630802E-2"/>
    <n v="3.4299999999999997E-2"/>
    <n v="5230.7289249249698"/>
    <n v="1905.7076498505801"/>
    <n v="3325.0212750743799"/>
    <n v="155824.40684139999"/>
    <n v="13635946.030176301"/>
    <m/>
    <m/>
    <m/>
    <m/>
    <m/>
    <m/>
    <m/>
    <m/>
  </r>
  <r>
    <x v="37"/>
    <s v="ASK"/>
    <s v="Emerging Markets - Equities"/>
    <n v="1724947.17"/>
    <n v="0.35575693404497799"/>
    <n v="6.3E-2"/>
    <n v="108671.67170999901"/>
    <n v="18474.1841906999"/>
    <n v="90197.487519299902"/>
    <n v="1815144.65751929"/>
    <n v="15360893.2029936"/>
    <m/>
    <m/>
    <m/>
    <m/>
    <m/>
    <m/>
    <m/>
    <m/>
  </r>
  <r>
    <x v="37"/>
    <s v="NORMAL"/>
    <s v="Emerging Markets - Equities"/>
    <n v="2615587.86"/>
    <n v="0.53944464733888997"/>
    <n v="6.3E-2"/>
    <n v="164782.03517999899"/>
    <n v="60051.937196833896"/>
    <n v="104730.097983165"/>
    <n v="2720317.9579831599"/>
    <n v="15360893.2029936"/>
    <m/>
    <m/>
    <m/>
    <m/>
    <m/>
    <m/>
    <m/>
    <m/>
  </r>
  <r>
    <x v="37"/>
    <s v="NORMAL"/>
    <s v="Investment Grade Bonds - Obligations"/>
    <n v="19758.7598590874"/>
    <n v="4.0750905014673199E-3"/>
    <n v="3.4299999999999997E-2"/>
    <n v="677.72546316669798"/>
    <n v="246.98521842095499"/>
    <n v="430.74024474574202"/>
    <n v="20189.500103833099"/>
    <n v="15360893.2029936"/>
    <m/>
    <m/>
    <m/>
    <m/>
    <m/>
    <m/>
    <m/>
    <m/>
  </r>
  <r>
    <x v="37"/>
    <s v="NORMAL"/>
    <s v="Government ZC Bonds - Obligations"/>
    <n v="488373.94845306"/>
    <n v="0.10072332741013799"/>
    <n v="3.4299999999999997E-2"/>
    <n v="16751.2264319399"/>
    <n v="6104.6921562897396"/>
    <n v="10646.5342756502"/>
    <n v="499020.48272870999"/>
    <n v="15360893.2029936"/>
    <m/>
    <m/>
    <m/>
    <m/>
    <m/>
    <m/>
    <m/>
    <m/>
  </r>
  <r>
    <x v="38"/>
    <s v="ASK"/>
    <s v="Emerging Markets - Equities"/>
    <n v="1942263.11"/>
    <n v="0.37326337789636899"/>
    <n v="6.3E-2"/>
    <n v="122362.575929999"/>
    <n v="20801.6379080999"/>
    <n v="101560.938021899"/>
    <n v="2043824.0480219"/>
    <n v="17304046.193172298"/>
    <m/>
    <m/>
    <m/>
    <m/>
    <m/>
    <m/>
    <m/>
    <m/>
  </r>
  <r>
    <x v="38"/>
    <s v="NORMAL"/>
    <s v="Emerging Markets - Equities"/>
    <n v="2747492.51"/>
    <n v="0.52801205446751898"/>
    <n v="6.3E-2"/>
    <n v="173092.02812999999"/>
    <n v="63509.3887457858"/>
    <n v="109582.639384214"/>
    <n v="2857075.1493842099"/>
    <n v="17304046.193172298"/>
    <m/>
    <m/>
    <m/>
    <m/>
    <m/>
    <m/>
    <m/>
    <m/>
  </r>
  <r>
    <x v="38"/>
    <s v="ASK"/>
    <s v="Developed Markets - Equities"/>
    <n v="889.88"/>
    <n v="1.7101679634044001E-4"/>
    <n v="6.3E-2"/>
    <n v="56.062439999999903"/>
    <n v="9.5306147999999808"/>
    <n v="46.531825199999901"/>
    <n v="936.41182519999995"/>
    <n v="17304046.193172298"/>
    <m/>
    <m/>
    <m/>
    <m/>
    <m/>
    <m/>
    <m/>
    <m/>
  </r>
  <r>
    <x v="38"/>
    <s v="NORMAL"/>
    <s v="Developed Markets - Equities"/>
    <n v="1258.8"/>
    <n v="2.41915700131867E-4"/>
    <n v="6.3E-2"/>
    <n v="79.304399999999902"/>
    <n v="29.097665694162401"/>
    <n v="50.2067343058375"/>
    <n v="1309.0067343058299"/>
    <n v="17304046.193172298"/>
    <m/>
    <m/>
    <m/>
    <m/>
    <m/>
    <m/>
    <m/>
    <m/>
  </r>
  <r>
    <x v="38"/>
    <s v="NORMAL"/>
    <s v="Emerging Markets State - Obligations"/>
    <n v="3.2803167449364297E-14"/>
    <n v="6.3041001112614196E-21"/>
    <n v="3.4299999999999997E-2"/>
    <n v="1.1251486435131901E-15"/>
    <n v="4.12829541427553E-16"/>
    <n v="7.1231910208564102E-16"/>
    <n v="3.35154865514499E-14"/>
    <n v="17304046.193172298"/>
    <m/>
    <m/>
    <m/>
    <m/>
    <m/>
    <m/>
    <m/>
    <m/>
  </r>
  <r>
    <x v="38"/>
    <s v="NORMAL"/>
    <s v="High Yield Bonds - Obligations"/>
    <n v="2.6383837991911899E-13"/>
    <n v="5.0704358436440701E-20"/>
    <n v="3.4299999999999997E-2"/>
    <n v="9.0496564312258096E-15"/>
    <n v="3.3204195162290501E-15"/>
    <n v="5.7292369149967496E-15"/>
    <n v="2.6956761683411598E-13"/>
    <n v="17304046.193172298"/>
    <m/>
    <m/>
    <m/>
    <m/>
    <m/>
    <m/>
    <m/>
    <m/>
  </r>
  <r>
    <x v="38"/>
    <s v="NORMAL"/>
    <s v="Investment Grade Bonds - Obligations"/>
    <n v="25014.141852123099"/>
    <n v="4.8072081659947799E-3"/>
    <n v="3.4299999999999997E-2"/>
    <n v="857.98506552782396"/>
    <n v="314.80425559379597"/>
    <n v="543.18080993402702"/>
    <n v="25557.322662057199"/>
    <n v="17304046.193172298"/>
    <m/>
    <m/>
    <m/>
    <m/>
    <m/>
    <m/>
    <m/>
    <m/>
  </r>
  <r>
    <x v="38"/>
    <s v="NORMAL"/>
    <s v="Government ZC Bonds - Obligations"/>
    <n v="486547.05192900298"/>
    <n v="9.3504425416667494E-2"/>
    <n v="3.4299999999999997E-2"/>
    <n v="16688.563881164799"/>
    <n v="6123.2195531371199"/>
    <n v="10565.344328027601"/>
    <n v="497112.39625703002"/>
    <n v="17304046.193172298"/>
    <m/>
    <m/>
    <m/>
    <m/>
    <m/>
    <m/>
    <m/>
    <m/>
  </r>
  <r>
    <x v="39"/>
    <s v="ASK"/>
    <s v="Emerging Markets - Equities"/>
    <n v="562250.87"/>
    <n v="0.100832366219335"/>
    <n v="6.3E-2"/>
    <n v="35421.804810000001"/>
    <n v="6021.7068177000001"/>
    <n v="29400.097992300001"/>
    <n v="591650.96799230005"/>
    <n v="19493008.036608599"/>
    <m/>
    <m/>
    <m/>
    <m/>
    <m/>
    <m/>
    <m/>
    <m/>
  </r>
  <r>
    <x v="39"/>
    <s v="NORMAL"/>
    <s v="Emerging Markets - Equities"/>
    <n v="832362.5"/>
    <n v="0.14927336693537099"/>
    <n v="6.3E-2"/>
    <n v="52438.8374999999"/>
    <n v="19486.134144301701"/>
    <n v="32952.703355698097"/>
    <n v="865315.20335569803"/>
    <n v="19493008.036608599"/>
    <m/>
    <m/>
    <m/>
    <m/>
    <m/>
    <m/>
    <m/>
    <m/>
  </r>
  <r>
    <x v="39"/>
    <s v="ASK"/>
    <s v="Developed Markets - Equities"/>
    <n v="1626710.98"/>
    <n v="0.291729414786631"/>
    <n v="6.3E-2"/>
    <n v="102482.79174"/>
    <n v="17422.074595800001"/>
    <n v="85060.717144199996"/>
    <n v="1711771.6971442001"/>
    <n v="19493008.036608599"/>
    <m/>
    <m/>
    <m/>
    <m/>
    <m/>
    <m/>
    <m/>
    <m/>
  </r>
  <r>
    <x v="39"/>
    <s v="NORMAL"/>
    <s v="Developed Markets - Equities"/>
    <n v="2408201.21"/>
    <n v="0.43187950307051998"/>
    <n v="6.3E-2"/>
    <n v="151716.67622999899"/>
    <n v="56377.517997903298"/>
    <n v="95339.158232096393"/>
    <n v="2503540.36823209"/>
    <n v="19493008.036608599"/>
    <m/>
    <m/>
    <m/>
    <m/>
    <m/>
    <m/>
    <m/>
    <m/>
  </r>
  <r>
    <x v="39"/>
    <s v="NORMAL"/>
    <s v="Emerging Markets State - Obligations"/>
    <n v="4.7812277364646E-14"/>
    <n v="8.5745088504931104E-21"/>
    <n v="3.4299999999999997E-2"/>
    <n v="1.6399611136073601E-15"/>
    <n v="6.0940523807743804E-16"/>
    <n v="1.03055587552992E-15"/>
    <n v="4.8842833240175901E-14"/>
    <n v="19493008.036608599"/>
    <m/>
    <m/>
    <m/>
    <m/>
    <m/>
    <m/>
    <m/>
    <m/>
  </r>
  <r>
    <x v="39"/>
    <s v="NORMAL"/>
    <s v="High Yield Bonds - Obligations"/>
    <n v="2.9478054769753698E-10"/>
    <n v="5.2865049617041003E-17"/>
    <n v="3.4299999999999997E-2"/>
    <n v="1.01109727860255E-11"/>
    <n v="3.7572109038053701E-12"/>
    <n v="6.3537618822201498E-12"/>
    <n v="3.0113430957975698E-10"/>
    <n v="19493008.036608599"/>
    <m/>
    <m/>
    <m/>
    <m/>
    <m/>
    <m/>
    <m/>
    <m/>
  </r>
  <r>
    <x v="39"/>
    <s v="NORMAL"/>
    <s v="Investment Grade Bonds - Obligations"/>
    <n v="19039.109303018398"/>
    <n v="3.4144161337303302E-3"/>
    <n v="3.4299999999999997E-2"/>
    <n v="653.04144909353204"/>
    <n v="242.66848552517601"/>
    <n v="410.372963568356"/>
    <n v="19449.482266586801"/>
    <n v="19493008.036608599"/>
    <m/>
    <m/>
    <m/>
    <m/>
    <m/>
    <m/>
    <m/>
    <m/>
  </r>
  <r>
    <x v="39"/>
    <s v="NORMAL"/>
    <s v="Government ZC Bonds - Obligations"/>
    <n v="127530.51088793601"/>
    <n v="2.28709351361099E-2"/>
    <n v="3.4299999999999997E-2"/>
    <n v="4374.2965234562098"/>
    <n v="1625.47708734048"/>
    <n v="2748.8194361157298"/>
    <n v="130279.330324052"/>
    <n v="19493008.036608599"/>
    <m/>
    <m/>
    <m/>
    <m/>
    <m/>
    <m/>
    <m/>
    <m/>
  </r>
  <r>
    <x v="40"/>
    <s v="ASK"/>
    <s v="Emerging Markets - Equities"/>
    <n v="605743.69999999995"/>
    <n v="0.10140022163670399"/>
    <n v="6.3E-2"/>
    <n v="38161.853099999898"/>
    <n v="6487.5150269999904"/>
    <n v="31674.338072999901"/>
    <n v="637418.03807299898"/>
    <n v="21958873.553239498"/>
    <m/>
    <m/>
    <m/>
    <m/>
    <m/>
    <m/>
    <m/>
    <m/>
  </r>
  <r>
    <x v="40"/>
    <s v="NORMAL"/>
    <s v="Emerging Markets - Equities"/>
    <n v="746229.96"/>
    <n v="0.124917326149573"/>
    <n v="6.3E-2"/>
    <n v="47012.487480000003"/>
    <n v="17451.322555020899"/>
    <n v="29561.164924978999"/>
    <n v="775791.12492497906"/>
    <n v="21958873.553239498"/>
    <m/>
    <m/>
    <m/>
    <m/>
    <m/>
    <m/>
    <m/>
    <m/>
  </r>
  <r>
    <x v="40"/>
    <s v="ASK"/>
    <s v="Developed Markets - Equities"/>
    <n v="1860121.81"/>
    <n v="0.311380479574559"/>
    <n v="6.3E-2"/>
    <n v="117187.67402999901"/>
    <n v="19921.904585099899"/>
    <n v="97265.769444899895"/>
    <n v="1957387.5794448999"/>
    <n v="21958873.553239498"/>
    <m/>
    <m/>
    <m/>
    <m/>
    <m/>
    <m/>
    <m/>
    <m/>
  </r>
  <r>
    <x v="40"/>
    <s v="NORMAL"/>
    <s v="Developed Markets - Equities"/>
    <n v="2291527.9300000002"/>
    <n v="0.38359695691213702"/>
    <n v="6.3E-2"/>
    <n v="144366.25958999901"/>
    <n v="53589.637502988197"/>
    <n v="90776.622087011594"/>
    <n v="2382304.5520870099"/>
    <n v="21958873.553239498"/>
    <m/>
    <m/>
    <m/>
    <m/>
    <m/>
    <m/>
    <m/>
    <m/>
  </r>
  <r>
    <x v="40"/>
    <s v="NORMAL"/>
    <s v="High Yield Bonds - Obligations"/>
    <n v="3.8135397927253003E-11"/>
    <n v="6.3837854228238503E-18"/>
    <n v="3.4299999999999997E-2"/>
    <n v="1.30804414890477E-12"/>
    <n v="4.8555397900304996E-13"/>
    <n v="8.2249016990172597E-13"/>
    <n v="3.8957888097154698E-11"/>
    <n v="21958873.553239498"/>
    <m/>
    <m/>
    <m/>
    <m/>
    <m/>
    <m/>
    <m/>
    <m/>
  </r>
  <r>
    <x v="40"/>
    <s v="NORMAL"/>
    <s v="Investment Grade Bonds - Obligations"/>
    <n v="22279.7223961007"/>
    <n v="3.7295786798424301E-3"/>
    <n v="3.4299999999999997E-2"/>
    <n v="764.19447818625395"/>
    <n v="283.673658818153"/>
    <n v="480.520819368101"/>
    <n v="22760.243215468799"/>
    <n v="21958873.553239498"/>
    <m/>
    <m/>
    <m/>
    <m/>
    <m/>
    <m/>
    <m/>
    <m/>
  </r>
  <r>
    <x v="40"/>
    <s v="NORMAL"/>
    <s v="Government ZC Bonds - Obligations"/>
    <n v="447887.56237094401"/>
    <n v="7.4975436133693299E-2"/>
    <n v="3.4299999999999997E-2"/>
    <n v="15362.5433893234"/>
    <n v="5702.6699569266702"/>
    <n v="9659.8734323967292"/>
    <n v="457547.43580334098"/>
    <n v="21958873.553239498"/>
    <m/>
    <m/>
    <m/>
    <m/>
    <m/>
    <m/>
    <m/>
    <m/>
  </r>
  <r>
    <x v="41"/>
    <s v="ASK"/>
    <s v="Emerging Markets - Equities"/>
    <n v="716617.91"/>
    <n v="0.112208054071645"/>
    <n v="6.3E-2"/>
    <n v="45146.928329999901"/>
    <n v="7674.9778160999804"/>
    <n v="37471.950513899901"/>
    <n v="754089.86051389901"/>
    <n v="24736671.057724301"/>
    <m/>
    <m/>
    <m/>
    <m/>
    <m/>
    <m/>
    <m/>
    <m/>
  </r>
  <r>
    <x v="41"/>
    <s v="NORMAL"/>
    <s v="Emerging Markets - Equities"/>
    <n v="874311.02"/>
    <n v="0.136899646015817"/>
    <n v="6.3E-2"/>
    <n v="55081.594259999903"/>
    <n v="20611.2463553216"/>
    <n v="34470.347904678201"/>
    <n v="908781.36790467799"/>
    <n v="24736671.057724301"/>
    <m/>
    <m/>
    <m/>
    <m/>
    <m/>
    <m/>
    <m/>
    <m/>
  </r>
  <r>
    <x v="41"/>
    <s v="ASK"/>
    <s v="Developed Markets - Equities"/>
    <n v="2061179.59"/>
    <n v="0.32273956268563198"/>
    <n v="6.3E-2"/>
    <n v="129854.31416999899"/>
    <n v="22075.233408899901"/>
    <n v="107779.080761099"/>
    <n v="2168958.6707611"/>
    <n v="24736671.057724301"/>
    <m/>
    <m/>
    <m/>
    <m/>
    <m/>
    <m/>
    <m/>
    <m/>
  </r>
  <r>
    <x v="41"/>
    <s v="NORMAL"/>
    <s v="Developed Markets - Equities"/>
    <n v="2514745.9900000002"/>
    <n v="0.39375900334722702"/>
    <n v="6.3E-2"/>
    <n v="158428.99737"/>
    <n v="59283.307581948698"/>
    <n v="99145.689788051197"/>
    <n v="2613891.6797880498"/>
    <n v="24736671.057724301"/>
    <m/>
    <m/>
    <m/>
    <m/>
    <m/>
    <m/>
    <m/>
    <m/>
  </r>
  <r>
    <x v="41"/>
    <s v="NORMAL"/>
    <s v="Emerging Markets State - Obligations"/>
    <n v="2.23405161646041E-11"/>
    <n v="3.4980786982931697E-18"/>
    <n v="3.4299999999999997E-2"/>
    <n v="7.66279704445923E-13"/>
    <n v="2.8673788363615902E-13"/>
    <n v="4.7954182080976397E-13"/>
    <n v="2.2820057985413901E-11"/>
    <n v="24736671.057724301"/>
    <m/>
    <m/>
    <m/>
    <m/>
    <m/>
    <m/>
    <m/>
    <m/>
  </r>
  <r>
    <x v="41"/>
    <s v="NORMAL"/>
    <s v="High Yield Bonds - Obligations"/>
    <n v="2.68088830674661E-12"/>
    <n v="4.19773572339917E-19"/>
    <n v="3.4299999999999997E-2"/>
    <n v="9.1954468921408703E-14"/>
    <n v="3.4408884453591102E-14"/>
    <n v="5.7545584467817594E-14"/>
    <n v="2.7384338912144201E-12"/>
    <n v="24736671.057724301"/>
    <m/>
    <m/>
    <m/>
    <m/>
    <m/>
    <m/>
    <m/>
    <m/>
  </r>
  <r>
    <x v="41"/>
    <s v="NORMAL"/>
    <s v="Investment Grade Bonds - Obligations"/>
    <n v="25842.779545234702"/>
    <n v="4.0464632046013299E-3"/>
    <n v="3.4299999999999997E-2"/>
    <n v="886.40733840155303"/>
    <n v="331.68902005123999"/>
    <n v="554.71831835031298"/>
    <n v="26397.497863584998"/>
    <n v="24736671.057724301"/>
    <m/>
    <m/>
    <m/>
    <m/>
    <m/>
    <m/>
    <m/>
    <m/>
  </r>
  <r>
    <x v="41"/>
    <s v="NORMAL"/>
    <s v="Government ZC Bonds - Obligations"/>
    <n v="193813.160988474"/>
    <n v="3.0347270622905799E-2"/>
    <n v="3.4299999999999997E-2"/>
    <n v="6647.7914219046597"/>
    <n v="2487.5690066068701"/>
    <n v="4160.2224152977797"/>
    <n v="197973.383403771"/>
    <n v="24736671.057724301"/>
    <m/>
    <m/>
    <m/>
    <m/>
    <m/>
    <m/>
    <m/>
    <m/>
  </r>
  <r>
    <x v="42"/>
    <s v="ASK"/>
    <s v="Emerging Markets - Equities"/>
    <n v="799213"/>
    <n v="0.117102059198973"/>
    <n v="6.3E-2"/>
    <n v="50350.4189999999"/>
    <n v="8559.5712299999996"/>
    <n v="41790.847769999898"/>
    <n v="841003.84776999999"/>
    <n v="27865859.946526501"/>
    <m/>
    <m/>
    <m/>
    <m/>
    <m/>
    <m/>
    <m/>
    <m/>
  </r>
  <r>
    <x v="42"/>
    <s v="NORMAL"/>
    <s v="Emerging Markets - Equities"/>
    <n v="809001.95"/>
    <n v="0.118536352938433"/>
    <n v="6.3E-2"/>
    <n v="50967.122849999898"/>
    <n v="19035.4537531151"/>
    <n v="31931.669096884802"/>
    <n v="840933.61909688404"/>
    <n v="27865859.946526501"/>
    <m/>
    <m/>
    <m/>
    <m/>
    <m/>
    <m/>
    <m/>
    <m/>
  </r>
  <r>
    <x v="42"/>
    <s v="ASK"/>
    <s v="Developed Markets - Equities"/>
    <n v="2329975.89"/>
    <n v="0.34139206269537598"/>
    <n v="6.3E-2"/>
    <n v="146788.48106999899"/>
    <n v="24954.041781899901"/>
    <n v="121834.43928809901"/>
    <n v="2451810.3292880999"/>
    <n v="27865859.946526501"/>
    <m/>
    <m/>
    <m/>
    <m/>
    <m/>
    <m/>
    <m/>
    <m/>
  </r>
  <r>
    <x v="42"/>
    <s v="NORMAL"/>
    <s v="Developed Markets - Equities"/>
    <n v="2358514.0099999998"/>
    <n v="0.34557351697310601"/>
    <n v="6.3E-2"/>
    <n v="148586.38262999899"/>
    <n v="55494.778922880301"/>
    <n v="93091.603707119502"/>
    <n v="2451605.6137071098"/>
    <n v="27865859.946526501"/>
    <m/>
    <m/>
    <m/>
    <m/>
    <m/>
    <m/>
    <m/>
    <m/>
  </r>
  <r>
    <x v="42"/>
    <s v="NORMAL"/>
    <s v="High Yield Bonds - Obligations"/>
    <n v="9.5158012412827901E-14"/>
    <n v="1.3942715149557801E-20"/>
    <n v="3.4299999999999997E-2"/>
    <n v="3.2639198257600001E-15"/>
    <n v="1.2190249600705101E-15"/>
    <n v="2.04489486568949E-15"/>
    <n v="9.7202907278517395E-14"/>
    <n v="27865859.946526501"/>
    <m/>
    <m/>
    <m/>
    <m/>
    <m/>
    <m/>
    <m/>
    <m/>
  </r>
  <r>
    <x v="42"/>
    <s v="NORMAL"/>
    <s v="Investment Grade Bonds - Obligations"/>
    <n v="17756.754533342901"/>
    <n v="2.60175012236432E-3"/>
    <n v="3.4299999999999997E-2"/>
    <n v="609.05668049366398"/>
    <n v="227.47350892621401"/>
    <n v="381.58317156744903"/>
    <n v="18138.3377049103"/>
    <n v="27865859.946526501"/>
    <m/>
    <m/>
    <m/>
    <m/>
    <m/>
    <m/>
    <m/>
    <m/>
  </r>
  <r>
    <x v="42"/>
    <s v="NORMAL"/>
    <s v="Government ZC Bonds - Obligations"/>
    <n v="510465.35204613698"/>
    <n v="7.4794258694905302E-2"/>
    <n v="3.4299999999999997E-2"/>
    <n v="17508.9615751825"/>
    <n v="6539.3337840622498"/>
    <n v="10969.6277911202"/>
    <n v="521434.97983725701"/>
    <n v="27865859.946526501"/>
    <m/>
    <m/>
    <m/>
    <m/>
    <m/>
    <m/>
    <m/>
    <m/>
  </r>
  <r>
    <x v="43"/>
    <s v="ASK"/>
    <s v="Emerging Markets - Equities"/>
    <n v="3525031.28"/>
    <n v="0.48412050728163902"/>
    <n v="6.3E-2"/>
    <n v="222076.970639999"/>
    <n v="37753.085008799899"/>
    <n v="184323.88563119899"/>
    <n v="3709355.1656311899"/>
    <n v="31390891.2297621"/>
    <m/>
    <m/>
    <m/>
    <m/>
    <m/>
    <m/>
    <m/>
    <m/>
  </r>
  <r>
    <x v="43"/>
    <s v="NORMAL"/>
    <s v="Emerging Markets - Equities"/>
    <n v="2995672.09"/>
    <n v="0.41141941068399501"/>
    <n v="6.3E-2"/>
    <n v="188727.34166999999"/>
    <n v="70370.135186423402"/>
    <n v="118357.206483576"/>
    <n v="3114029.2964835698"/>
    <n v="31390891.2297621"/>
    <m/>
    <m/>
    <m/>
    <m/>
    <m/>
    <m/>
    <m/>
    <m/>
  </r>
  <r>
    <x v="43"/>
    <s v="NORMAL"/>
    <s v="Emerging Markets State - Obligations"/>
    <n v="9.5951534631200695E-8"/>
    <n v="1.31777853670872E-14"/>
    <n v="3.4299999999999997E-2"/>
    <n v="3.29113763785018E-9"/>
    <n v="1.2271555273512201E-9"/>
    <n v="2.0639821104989601E-9"/>
    <n v="9.8015516741699702E-8"/>
    <n v="31390891.2297621"/>
    <m/>
    <m/>
    <m/>
    <m/>
    <m/>
    <m/>
    <m/>
    <m/>
  </r>
  <r>
    <x v="43"/>
    <s v="NORMAL"/>
    <s v="High Yield Bonds - Obligations"/>
    <n v="1.2841814791505301E-7"/>
    <n v="1.7636682904216501E-14"/>
    <n v="3.4299999999999997E-2"/>
    <n v="4.4047424734863403E-9"/>
    <n v="1.6423816526945001E-9"/>
    <n v="2.7623608207918301E-9"/>
    <n v="1.31180508735845E-7"/>
    <n v="31390891.2297621"/>
    <m/>
    <m/>
    <m/>
    <m/>
    <m/>
    <m/>
    <m/>
    <m/>
  </r>
  <r>
    <x v="43"/>
    <s v="NORMAL"/>
    <s v="Investment Grade Bonds - Obligations"/>
    <n v="31854.912247611599"/>
    <n v="4.3748877816272499E-3"/>
    <n v="3.4299999999999997E-2"/>
    <n v="1092.6234900930799"/>
    <n v="407.402880925197"/>
    <n v="685.22060916788496"/>
    <n v="32540.132856779499"/>
    <n v="31390891.2297621"/>
    <m/>
    <m/>
    <m/>
    <m/>
    <m/>
    <m/>
    <m/>
    <m/>
  </r>
  <r>
    <x v="43"/>
    <s v="NORMAL"/>
    <s v="Government ZC Bonds - Obligations"/>
    <n v="728751.274204958"/>
    <n v="0.100085193158979"/>
    <n v="3.4299999999999997E-2"/>
    <n v="24996.168705230099"/>
    <n v="9320.2381560874601"/>
    <n v="15675.9305491426"/>
    <n v="744427.204754101"/>
    <n v="31390891.2297621"/>
    <m/>
    <m/>
    <m/>
    <m/>
    <m/>
    <m/>
    <m/>
    <m/>
  </r>
  <r>
    <x v="44"/>
    <s v="ASK"/>
    <s v="Emerging Markets - Equities"/>
    <n v="1018572.31"/>
    <n v="0.13128810583671899"/>
    <n v="6.3E-2"/>
    <n v="64170.055529999998"/>
    <n v="10908.9094401"/>
    <n v="53261.146089900001"/>
    <n v="1071833.4560899001"/>
    <n v="35361838.970326997"/>
    <m/>
    <m/>
    <m/>
    <m/>
    <m/>
    <m/>
    <m/>
    <m/>
  </r>
  <r>
    <x v="44"/>
    <s v="NORMAL"/>
    <s v="Emerging Markets - Equities"/>
    <n v="797550.49"/>
    <n v="0.102799665878653"/>
    <n v="6.3E-2"/>
    <n v="50245.680869999902"/>
    <n v="18781.695222522099"/>
    <n v="31463.985647477701"/>
    <n v="829014.47564747697"/>
    <n v="35361838.970326997"/>
    <m/>
    <m/>
    <m/>
    <m/>
    <m/>
    <m/>
    <m/>
    <m/>
  </r>
  <r>
    <x v="44"/>
    <s v="ASK"/>
    <s v="Developed Markets - Equities"/>
    <n v="2952375.43"/>
    <n v="0.38054419319878302"/>
    <n v="6.3E-2"/>
    <n v="185999.65208999999"/>
    <n v="31619.940855299999"/>
    <n v="154379.71123469999"/>
    <n v="3106755.1412347001"/>
    <n v="35361838.970326997"/>
    <m/>
    <m/>
    <m/>
    <m/>
    <m/>
    <m/>
    <m/>
    <m/>
  </r>
  <r>
    <x v="44"/>
    <s v="NORMAL"/>
    <s v="Developed Markets - Equities"/>
    <n v="2311734.2000000002"/>
    <n v="0.297969227453242"/>
    <n v="6.3E-2"/>
    <n v="145639.25459999999"/>
    <n v="54439.546742528"/>
    <n v="91199.707857472007"/>
    <n v="2402933.9078574702"/>
    <n v="35361838.970326997"/>
    <m/>
    <m/>
    <m/>
    <m/>
    <m/>
    <m/>
    <m/>
    <m/>
  </r>
  <r>
    <x v="44"/>
    <s v="NORMAL"/>
    <s v="Emerging Markets State - Obligations"/>
    <n v="1.52600122651692E-10"/>
    <n v="1.9669277140855901E-17"/>
    <n v="3.4299999999999997E-2"/>
    <n v="5.2341842069530397E-12"/>
    <n v="1.9565234426393501E-12"/>
    <n v="3.27766076431368E-12"/>
    <n v="1.5587778341600601E-10"/>
    <n v="35361838.970326997"/>
    <m/>
    <m/>
    <m/>
    <m/>
    <m/>
    <m/>
    <m/>
    <m/>
  </r>
  <r>
    <x v="44"/>
    <s v="NORMAL"/>
    <s v="High Yield Bonds - Obligations"/>
    <n v="6.2080565703044799E-12"/>
    <n v="8.0018274602662195E-19"/>
    <n v="3.4299999999999997E-2"/>
    <n v="2.1293634036144299E-13"/>
    <n v="7.9595009505697294E-14"/>
    <n v="1.33341330855746E-13"/>
    <n v="6.3413979011602299E-12"/>
    <n v="35361838.970326997"/>
    <m/>
    <m/>
    <m/>
    <m/>
    <m/>
    <m/>
    <m/>
    <m/>
  </r>
  <r>
    <x v="44"/>
    <s v="NORMAL"/>
    <s v="Investment Grade Bonds - Obligations"/>
    <n v="17517.3192911427"/>
    <n v="2.2578815921975798E-3"/>
    <n v="3.4299999999999997E-2"/>
    <n v="600.84405168619503"/>
    <n v="224.593828954824"/>
    <n v="376.25022273137"/>
    <n v="17893.569513874099"/>
    <n v="35361838.970326997"/>
    <m/>
    <m/>
    <m/>
    <m/>
    <m/>
    <m/>
    <m/>
    <m/>
  </r>
  <r>
    <x v="44"/>
    <s v="NORMAL"/>
    <s v="Government ZC Bonds - Obligations"/>
    <n v="660548.72131385398"/>
    <n v="8.5140926748895507E-2"/>
    <n v="3.4299999999999997E-2"/>
    <n v="22656.8211410652"/>
    <n v="8469.0564843505908"/>
    <n v="14187.7646567146"/>
    <n v="674736.48597056803"/>
    <n v="35361838.970326997"/>
    <m/>
    <m/>
    <m/>
    <m/>
    <m/>
    <m/>
    <m/>
    <m/>
  </r>
  <r>
    <x v="45"/>
    <s v="ASK"/>
    <s v="Emerging Markets - Equities"/>
    <n v="1149591.4099999999"/>
    <n v="0.141869395613857"/>
    <n v="6.3E-2"/>
    <n v="72424.258829999904"/>
    <n v="12312.124001099901"/>
    <n v="60112.1348288999"/>
    <n v="1209703.5448288999"/>
    <n v="39835111.600073397"/>
    <m/>
    <m/>
    <m/>
    <m/>
    <m/>
    <m/>
    <m/>
    <m/>
  </r>
  <r>
    <x v="45"/>
    <s v="NORMAL"/>
    <s v="Emerging Markets - Equities"/>
    <n v="878604.22"/>
    <n v="0.108427262582959"/>
    <n v="6.3E-2"/>
    <n v="55352.065859999901"/>
    <n v="20730.454976628898"/>
    <n v="34621.610883371002"/>
    <n v="913225.83088337095"/>
    <n v="39835111.600073397"/>
    <m/>
    <m/>
    <m/>
    <m/>
    <m/>
    <m/>
    <m/>
    <m/>
  </r>
  <r>
    <x v="45"/>
    <s v="ASK"/>
    <s v="Developed Markets - Equities"/>
    <n v="3323681.22"/>
    <n v="0.41017064131901299"/>
    <n v="6.3E-2"/>
    <n v="209391.91685999901"/>
    <n v="35596.625866199902"/>
    <n v="173795.29099379899"/>
    <n v="3497476.5109938001"/>
    <n v="39835111.600073397"/>
    <m/>
    <m/>
    <m/>
    <m/>
    <m/>
    <m/>
    <m/>
    <m/>
  </r>
  <r>
    <x v="45"/>
    <s v="NORMAL"/>
    <s v="Developed Markets - Equities"/>
    <n v="2540207.1800000002"/>
    <n v="0.31348325520332598"/>
    <n v="6.3E-2"/>
    <n v="160033.05233999901"/>
    <n v="59935.576653956297"/>
    <n v="100097.47568604301"/>
    <n v="2640304.6556860399"/>
    <n v="39835111.600073397"/>
    <m/>
    <m/>
    <m/>
    <m/>
    <m/>
    <m/>
    <m/>
    <m/>
  </r>
  <r>
    <x v="45"/>
    <s v="NORMAL"/>
    <s v="Emerging Markets State - Obligations"/>
    <n v="4.98481004067782E-14"/>
    <n v="6.1516812109865296E-21"/>
    <n v="3.4299999999999997E-2"/>
    <n v="1.7097898439524901E-15"/>
    <n v="6.4035046983076799E-16"/>
    <n v="1.0694393741217199E-15"/>
    <n v="5.0917539780899898E-14"/>
    <n v="39835111.600073397"/>
    <m/>
    <m/>
    <m/>
    <m/>
    <m/>
    <m/>
    <m/>
    <m/>
  </r>
  <r>
    <x v="45"/>
    <s v="NORMAL"/>
    <s v="High Yield Bonds - Obligations"/>
    <n v="8.01838834673728E-13"/>
    <n v="9.8953758583566305E-20"/>
    <n v="3.4299999999999997E-2"/>
    <n v="2.75030720293088E-14"/>
    <n v="1.0300450174066301E-14"/>
    <n v="1.7202621855242399E-14"/>
    <n v="8.1904145652897004E-13"/>
    <n v="39835111.600073397"/>
    <m/>
    <m/>
    <m/>
    <m/>
    <m/>
    <m/>
    <m/>
    <m/>
  </r>
  <r>
    <x v="45"/>
    <s v="NORMAL"/>
    <s v="Investment Grade Bonds - Obligations"/>
    <n v="26548.1992781679"/>
    <n v="3.2762744688827599E-3"/>
    <n v="3.4299999999999997E-2"/>
    <n v="910.60323524115995"/>
    <n v="341.03911166540701"/>
    <n v="569.56412357575198"/>
    <n v="27117.763401743701"/>
    <n v="39835111.600073397"/>
    <m/>
    <m/>
    <m/>
    <m/>
    <m/>
    <m/>
    <m/>
    <m/>
  </r>
  <r>
    <x v="45"/>
    <s v="NORMAL"/>
    <s v="Government ZC Bonds - Obligations"/>
    <n v="184534.80725089199"/>
    <n v="2.27731708385015E-2"/>
    <n v="3.4299999999999997E-2"/>
    <n v="6329.5438887055998"/>
    <n v="2370.54069380687"/>
    <n v="3959.0031948987198"/>
    <n v="188493.81044579099"/>
    <n v="39835111.600073397"/>
    <m/>
    <m/>
    <m/>
    <m/>
    <m/>
    <m/>
    <m/>
    <m/>
  </r>
  <r>
    <x v="46"/>
    <s v="ASK"/>
    <s v="Emerging Markets - Equities"/>
    <n v="5039141.62"/>
    <n v="0.59449623915844196"/>
    <n v="6.3E-2"/>
    <n v="317465.92205999902"/>
    <n v="53969.206750199897"/>
    <n v="263496.71530979901"/>
    <n v="5302638.3353097998"/>
    <n v="44874253.217482701"/>
    <m/>
    <m/>
    <m/>
    <m/>
    <m/>
    <m/>
    <m/>
    <m/>
  </r>
  <r>
    <x v="46"/>
    <s v="NORMAL"/>
    <s v="Emerging Markets - Equities"/>
    <n v="2677904.29"/>
    <n v="0.31592762206021402"/>
    <n v="6.3E-2"/>
    <n v="168707.970269999"/>
    <n v="62086.317153222801"/>
    <n v="106621.653116777"/>
    <n v="2784525.9431167701"/>
    <n v="44874253.217482701"/>
    <m/>
    <m/>
    <m/>
    <m/>
    <m/>
    <m/>
    <m/>
    <m/>
  </r>
  <r>
    <x v="46"/>
    <s v="NORMAL"/>
    <s v="Emerging Markets State - Obligations"/>
    <n v="2.27248259611196E-10"/>
    <n v="2.6809771560688399E-17"/>
    <n v="3.4299999999999997E-2"/>
    <n v="7.7946153046640497E-12"/>
    <n v="2.8685008605001998E-12"/>
    <n v="4.9261144441638398E-12"/>
    <n v="2.32174374055359E-10"/>
    <n v="44874253.217482701"/>
    <m/>
    <m/>
    <m/>
    <m/>
    <m/>
    <m/>
    <m/>
    <m/>
  </r>
  <r>
    <x v="46"/>
    <s v="NORMAL"/>
    <s v="High Yield Bonds - Obligations"/>
    <n v="2.13877454036106E-10"/>
    <n v="2.5232341468753501E-17"/>
    <n v="3.4299999999999997E-2"/>
    <n v="7.3359966734384502E-12"/>
    <n v="2.6997243542979099E-12"/>
    <n v="4.6362723191405301E-12"/>
    <n v="2.18513726355247E-10"/>
    <n v="44874253.217482701"/>
    <m/>
    <m/>
    <m/>
    <m/>
    <m/>
    <m/>
    <m/>
    <m/>
  </r>
  <r>
    <x v="46"/>
    <s v="NORMAL"/>
    <s v="Investment Grade Bonds - Obligations"/>
    <n v="9483.8529266183104"/>
    <n v="1.11886414845518E-3"/>
    <n v="3.4299999999999997E-2"/>
    <n v="325.296155383008"/>
    <n v="119.71242520143601"/>
    <n v="205.58373018157101"/>
    <n v="9689.4366567998804"/>
    <n v="44874253.217482701"/>
    <m/>
    <m/>
    <m/>
    <m/>
    <m/>
    <m/>
    <m/>
    <m/>
  </r>
  <r>
    <x v="46"/>
    <s v="NORMAL"/>
    <s v="Government ZC Bonds - Obligations"/>
    <n v="749792.35669457505"/>
    <n v="8.8457275031827695E-2"/>
    <n v="3.4299999999999997E-2"/>
    <n v="25717.877834623901"/>
    <n v="9464.4510107785609"/>
    <n v="16253.426823845301"/>
    <n v="766045.78351841995"/>
    <n v="44874253.217482701"/>
    <m/>
    <m/>
    <m/>
    <m/>
    <m/>
    <m/>
    <m/>
    <m/>
  </r>
  <r>
    <x v="47"/>
    <s v="ASK"/>
    <s v="Emerging Markets - Equities"/>
    <n v="5676525.2599999998"/>
    <n v="0.64048173635451"/>
    <n v="6.3E-2"/>
    <n v="357621.09138"/>
    <n v="60795.585534600003"/>
    <n v="296825.50584539998"/>
    <n v="5973350.7658454003"/>
    <n v="50550846.249494202"/>
    <m/>
    <m/>
    <m/>
    <m/>
    <m/>
    <m/>
    <m/>
    <m/>
  </r>
  <r>
    <x v="47"/>
    <s v="NORMAL"/>
    <s v="Emerging Markets - Equities"/>
    <n v="2507828.27"/>
    <n v="0.28295799477311301"/>
    <n v="6.3E-2"/>
    <n v="157993.18100999901"/>
    <n v="57532.081421796298"/>
    <n v="100461.099588203"/>
    <n v="2608289.3695882"/>
    <n v="50550846.249494202"/>
    <m/>
    <m/>
    <m/>
    <m/>
    <m/>
    <m/>
    <m/>
    <m/>
  </r>
  <r>
    <x v="47"/>
    <s v="ASK"/>
    <s v="Developed Markets - Equities"/>
    <n v="67.77"/>
    <n v="7.6464818325753604E-6"/>
    <n v="6.3E-2"/>
    <n v="4.2695099999999897"/>
    <n v="0.72581669999999898"/>
    <n v="3.5436932999999899"/>
    <n v="71.313693299999997"/>
    <n v="50550846.249494202"/>
    <m/>
    <m/>
    <m/>
    <m/>
    <m/>
    <m/>
    <m/>
    <m/>
  </r>
  <r>
    <x v="47"/>
    <s v="NORMAL"/>
    <s v="Developed Markets - Equities"/>
    <n v="29.94"/>
    <n v="3.3781269893360801E-6"/>
    <n v="6.3E-2"/>
    <n v="1.88621999999999"/>
    <n v="0.68685345738150605"/>
    <n v="1.1993665426184901"/>
    <n v="31.139366542618401"/>
    <n v="50550846.249494202"/>
    <m/>
    <m/>
    <m/>
    <m/>
    <m/>
    <m/>
    <m/>
    <m/>
  </r>
  <r>
    <x v="47"/>
    <s v="NORMAL"/>
    <s v="Emerging Markets State - Obligations"/>
    <n v="5.1317746625152897E-14"/>
    <n v="5.7901758485751499E-21"/>
    <n v="3.4299999999999997E-2"/>
    <n v="1.76019870924274E-15"/>
    <n v="6.4096371002419899E-16"/>
    <n v="1.1192349992185399E-15"/>
    <n v="5.24369816243715E-14"/>
    <n v="50550846.249494202"/>
    <m/>
    <m/>
    <m/>
    <m/>
    <m/>
    <m/>
    <m/>
    <m/>
  </r>
  <r>
    <x v="47"/>
    <s v="NORMAL"/>
    <s v="High Yield Bonds - Obligations"/>
    <n v="3.97385078844254E-9"/>
    <n v="4.4836915831771002E-16"/>
    <n v="3.4299999999999997E-2"/>
    <n v="1.36303082043579E-10"/>
    <n v="4.9633787762502497E-11"/>
    <n v="8.6669294281076595E-11"/>
    <n v="4.0605200827236199E-9"/>
    <n v="50550846.249494202"/>
    <m/>
    <m/>
    <m/>
    <m/>
    <m/>
    <m/>
    <m/>
    <m/>
  </r>
  <r>
    <x v="47"/>
    <s v="NORMAL"/>
    <s v="Investment Grade Bonds - Obligations"/>
    <n v="29206.486385122502"/>
    <n v="3.2953647268289601E-3"/>
    <n v="3.4299999999999997E-2"/>
    <n v="1001.7824830096999"/>
    <n v="364.79189171965299"/>
    <n v="636.99059129004797"/>
    <n v="29843.476976412501"/>
    <n v="50550846.249494202"/>
    <m/>
    <m/>
    <m/>
    <m/>
    <m/>
    <m/>
    <m/>
    <m/>
  </r>
  <r>
    <x v="47"/>
    <s v="NORMAL"/>
    <s v="Government ZC Bonds - Obligations"/>
    <n v="649241.77258894895"/>
    <n v="7.3253879578728504E-2"/>
    <n v="3.4299999999999997E-2"/>
    <n v="22268.992799800901"/>
    <n v="8109.0936884070497"/>
    <n v="14159.899111393799"/>
    <n v="663401.67170034302"/>
    <n v="50550846.249494202"/>
    <m/>
    <m/>
    <m/>
    <m/>
    <m/>
    <m/>
    <m/>
    <m/>
  </r>
  <r>
    <x v="48"/>
    <s v="ASK"/>
    <s v="Emerging Markets - Equities"/>
    <n v="6392349.8799999999"/>
    <n v="0.68920305461776299"/>
    <n v="6.3E-2"/>
    <n v="402718.04243999999"/>
    <n v="68462.067214800001"/>
    <n v="334255.9752252"/>
    <n v="6726605.8552251998"/>
    <n v="56945528.300055303"/>
    <m/>
    <m/>
    <m/>
    <m/>
    <m/>
    <m/>
    <n v="100"/>
    <n v="9500000"/>
  </r>
  <r>
    <x v="48"/>
    <s v="NORMAL"/>
    <s v="Emerging Markets - Equities"/>
    <n v="2488691.7000000002"/>
    <n v="0.26832291001597502"/>
    <n v="6.3E-2"/>
    <n v="156787.57709999901"/>
    <n v="56526.1917436972"/>
    <n v="100261.38535630199"/>
    <n v="2588953.0853563002"/>
    <n v="56945528.300055303"/>
    <m/>
    <m/>
    <m/>
    <m/>
    <m/>
    <m/>
    <n v="100"/>
    <n v="9500000"/>
  </r>
  <r>
    <x v="48"/>
    <s v="ASK"/>
    <s v="Developed Markets - Equities"/>
    <n v="2332.17"/>
    <n v="2.5144723271747801E-4"/>
    <n v="6.3E-2"/>
    <n v="146.92670999999899"/>
    <n v="24.977540699999899"/>
    <n v="121.949169299999"/>
    <n v="2454.1191693000001"/>
    <n v="56945528.300055303"/>
    <m/>
    <m/>
    <m/>
    <m/>
    <m/>
    <m/>
    <n v="100"/>
    <n v="9500000"/>
  </r>
  <r>
    <x v="48"/>
    <s v="NORMAL"/>
    <s v="Developed Markets - Equities"/>
    <n v="907.97"/>
    <n v="9.7894469052637302E-5"/>
    <n v="6.3E-2"/>
    <n v="57.202109999999898"/>
    <n v="20.622918587113301"/>
    <n v="36.579191412886502"/>
    <n v="944.54919141288599"/>
    <n v="56945528.300055303"/>
    <m/>
    <m/>
    <m/>
    <m/>
    <m/>
    <m/>
    <n v="100"/>
    <n v="9500000"/>
  </r>
  <r>
    <x v="48"/>
    <s v="NORMAL"/>
    <s v="Emerging Markets State - Obligations"/>
    <n v="2.9343067245849601E-12"/>
    <n v="3.16367720123823E-19"/>
    <n v="3.4299999999999997E-2"/>
    <n v="1.00646720653264E-13"/>
    <n v="3.6285883966381801E-14"/>
    <n v="6.4360836686882298E-14"/>
    <n v="2.9986675612718399E-12"/>
    <n v="56945528.300055303"/>
    <m/>
    <m/>
    <m/>
    <m/>
    <m/>
    <m/>
    <n v="100"/>
    <n v="9500000"/>
  </r>
  <r>
    <x v="48"/>
    <s v="NORMAL"/>
    <s v="High Yield Bonds - Obligations"/>
    <n v="2.3704206404566502E-10"/>
    <n v="2.5557129644031898E-17"/>
    <n v="3.4299999999999997E-2"/>
    <n v="8.1305427967663299E-12"/>
    <n v="2.9312821182077599E-12"/>
    <n v="5.19926067855857E-12"/>
    <n v="2.4224132472422299E-10"/>
    <n v="56945528.300055303"/>
    <m/>
    <m/>
    <m/>
    <m/>
    <m/>
    <m/>
    <n v="100"/>
    <n v="9500000"/>
  </r>
  <r>
    <x v="48"/>
    <s v="NORMAL"/>
    <s v="Investment Grade Bonds - Obligations"/>
    <n v="48844.406432328498"/>
    <n v="5.2662502438230599E-3"/>
    <n v="3.4299999999999997E-2"/>
    <n v="1675.36314062886"/>
    <n v="604.014041668039"/>
    <n v="1071.3490989608299"/>
    <n v="49915.755531289302"/>
    <n v="56945528.300055303"/>
    <m/>
    <m/>
    <m/>
    <m/>
    <m/>
    <m/>
    <n v="100"/>
    <n v="9500000"/>
  </r>
  <r>
    <x v="48"/>
    <s v="NORMAL"/>
    <s v="Government ZC Bonds - Obligations"/>
    <n v="341861.61501233402"/>
    <n v="3.6858443881526398E-2"/>
    <n v="3.4299999999999997E-2"/>
    <n v="11725.853394923"/>
    <n v="4227.4895091793896"/>
    <n v="7498.3638857436899"/>
    <n v="349359.97889807803"/>
    <n v="56945528.300055303"/>
    <m/>
    <m/>
    <m/>
    <m/>
    <m/>
    <m/>
    <n v="100"/>
    <n v="9500000"/>
  </r>
  <r>
    <x v="49"/>
    <s v="ASK"/>
    <s v="Emerging Markets - Equities"/>
    <n v="42448.57"/>
    <n v="0.19451001090939299"/>
    <n v="6.3E-2"/>
    <n v="2674.2599100000002"/>
    <n v="454.6241847"/>
    <n v="2219.6357253000001"/>
    <n v="44668.205725300002"/>
    <n v="64149137.630012304"/>
    <m/>
    <m/>
    <m/>
    <m/>
    <m/>
    <m/>
    <m/>
    <m/>
  </r>
  <r>
    <x v="49"/>
    <s v="ASK"/>
    <s v="Developed Markets - Equities"/>
    <n v="7474.52"/>
    <n v="3.4250128255026602E-2"/>
    <n v="6.3E-2"/>
    <n v="470.894759999999"/>
    <n v="80.052109199999805"/>
    <n v="390.84265079999898"/>
    <n v="7865.3626507999998"/>
    <n v="64149137.630012304"/>
    <m/>
    <m/>
    <m/>
    <m/>
    <m/>
    <m/>
    <m/>
    <m/>
  </r>
  <r>
    <x v="49"/>
    <s v="NORMAL"/>
    <s v="Emerging Markets State - Obligations"/>
    <n v="11050.392862057801"/>
    <n v="5.0635675975703197E-2"/>
    <n v="3.4299999999999997E-2"/>
    <n v="379.02847516858401"/>
    <n v="102.337688295517"/>
    <n v="276.69078687306597"/>
    <n v="11327.0836489309"/>
    <n v="64149137.630012304"/>
    <m/>
    <m/>
    <m/>
    <m/>
    <m/>
    <m/>
    <m/>
    <m/>
  </r>
  <r>
    <x v="49"/>
    <s v="NORMAL"/>
    <s v="High Yield Bonds - Obligations"/>
    <n v="54794.9576282915"/>
    <n v="0.25108426046056898"/>
    <n v="3.4299999999999997E-2"/>
    <n v="1879.4670466503901"/>
    <n v="507.45610259560601"/>
    <n v="1372.0109440547801"/>
    <n v="56166.968572346297"/>
    <n v="64149137.630012304"/>
    <m/>
    <m/>
    <m/>
    <m/>
    <m/>
    <m/>
    <m/>
    <m/>
  </r>
  <r>
    <x v="49"/>
    <s v="NORMAL"/>
    <s v="Investment Grade Bonds - Obligations"/>
    <n v="45945.068167063597"/>
    <n v="0.210531843838517"/>
    <n v="3.4299999999999997E-2"/>
    <n v="1575.91583813028"/>
    <n v="425.49727629517599"/>
    <n v="1150.4185618351"/>
    <n v="47095.486728898701"/>
    <n v="64149137.630012304"/>
    <m/>
    <m/>
    <m/>
    <m/>
    <m/>
    <m/>
    <m/>
    <m/>
  </r>
  <r>
    <x v="49"/>
    <s v="NORMAL"/>
    <s v="Government ZC Bonds - Obligations"/>
    <n v="56519.828036891697"/>
    <n v="0.25898804996382202"/>
    <n v="3.4299999999999997E-2"/>
    <n v="1938.6301016653799"/>
    <n v="523.43012744965495"/>
    <n v="1415.19997421573"/>
    <n v="57935.028011107403"/>
    <n v="64149137.630012304"/>
    <m/>
    <m/>
    <m/>
    <m/>
    <m/>
    <m/>
    <m/>
    <m/>
  </r>
  <r>
    <x v="50"/>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6AE6EB-D6A4-4D97-B64B-FF52541C83F4}" name="PivotTable2" cacheId="8" applyNumberFormats="0" applyBorderFormats="0" applyFontFormats="0" applyPatternFormats="0" applyAlignmentFormats="0" applyWidthHeightFormats="1" dataCaption="Values" updatedVersion="8" minRefreshableVersion="3" useAutoFormatting="1" itemPrintTitles="1" createdVersion="8" indent="0" multipleFieldFilters="0">
  <location ref="N3:Q54" firstHeaderRow="1" firstDataRow="2" firstDataCol="1"/>
  <pivotFields count="19">
    <pivotField axis="axisRow"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axis="axisCol" showAll="0">
      <items count="3">
        <item x="0"/>
        <item x="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1"/>
  </colFields>
  <colItems count="3">
    <i>
      <x/>
    </i>
    <i>
      <x v="1"/>
    </i>
    <i t="grand">
      <x/>
    </i>
  </colItems>
  <dataFields count="1">
    <dataField name="Sum of Inves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25ECEF-4A3C-4035-BC96-260A02DEA46C}" name="PivotTable1" cacheId="9"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D55" firstHeaderRow="0" firstDataRow="1" firstDataCol="1"/>
  <pivotFields count="19">
    <pivotField axis="axisRow"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50"/>
        <item x="49"/>
        <item t="default"/>
      </items>
    </pivotField>
    <pivotField showAll="0"/>
    <pivotField showAll="0"/>
    <pivotField dataField="1" showAll="0"/>
    <pivotField dataField="1"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0"/>
  </rowFields>
  <rowItems count="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Fields count="1">
    <field x="-2"/>
  </colFields>
  <colItems count="3">
    <i>
      <x/>
    </i>
    <i i="1">
      <x v="1"/>
    </i>
    <i i="2">
      <x v="2"/>
    </i>
  </colItems>
  <dataFields count="3">
    <dataField name="Sum of Weight" fld="4" baseField="0" baseItem="0"/>
    <dataField name="Invested Amt" fld="3" baseField="0" baseItem="0"/>
    <dataField name="End Valu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F7B272-2B0E-4976-9393-E73F3487686E}" name="TableLoop" displayName="TableLoop" ref="B2:F53" totalsRowShown="0" headerRowDxfId="52" dataDxfId="51">
  <autoFilter ref="B2:F53" xr:uid="{FCF7B272-2B0E-4976-9393-E73F3487686E}"/>
  <tableColumns count="5">
    <tableColumn id="1" xr3:uid="{1C47A566-8CA0-498F-9373-FD3CF377EAB3}" name="N" dataDxfId="50"/>
    <tableColumn id="2" xr3:uid="{CDD5D904-D3D0-4E9B-89C8-61F4141B77FC}" name="Year" dataDxfId="49"/>
    <tableColumn id="3" xr3:uid="{3294EF53-9541-4FD2-A3C4-3CCF4CC8E18A}" name="AgeP1" dataDxfId="48">
      <calculatedColumnFormula>D2+1</calculatedColumnFormula>
    </tableColumn>
    <tableColumn id="4" xr3:uid="{27918B9D-DBDA-40FF-A6EC-6456F91F4DED}" name="AgeP2" dataDxfId="47">
      <calculatedColumnFormula>E2+1</calculatedColumnFormula>
    </tableColumn>
    <tableColumn id="5" xr3:uid="{3DF041D1-2FEE-456F-8F08-5A0165B3999F}" name="LoopStatus" dataDxfId="0"/>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188FC4-483E-4C27-BFF6-3D5A9BEC7A02}" name="GoalsP1" displayName="GoalsP1" ref="B2:F5" totalsRowShown="0" headerRowDxfId="46" dataDxfId="45">
  <autoFilter ref="B2:F5" xr:uid="{E6188FC4-483E-4C27-BFF6-3D5A9BEC7A02}"/>
  <tableColumns count="5">
    <tableColumn id="1" xr3:uid="{B2C6C0FB-6BCC-4A61-B677-3B10161A53EF}" name="Goal Info" dataDxfId="44"/>
    <tableColumn id="2" xr3:uid="{C536957A-8C0E-4218-9336-E98D68589B96}" name="GOAL A" dataDxfId="43"/>
    <tableColumn id="3" xr3:uid="{119B5EE3-3581-4D04-BB55-BCC2E702193C}" name="GOAL B" dataDxfId="42"/>
    <tableColumn id="4" xr3:uid="{6D7BF2C5-D2EB-4CDD-A1E3-639A94B04FB3}" name="GOAL C" dataDxfId="41"/>
    <tableColumn id="5" xr3:uid="{FC141F07-39CA-4E36-BE88-AE8259A28409}" name="GOAL D" dataDxfId="40"/>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296D22-18E1-44D3-A59A-E5E6D672089D}" name="GoalsP2" displayName="GoalsP2" ref="B7:F10" totalsRowShown="0" headerRowDxfId="39" dataDxfId="38">
  <autoFilter ref="B7:F10" xr:uid="{06296D22-18E1-44D3-A59A-E5E6D672089D}"/>
  <tableColumns count="5">
    <tableColumn id="1" xr3:uid="{B3C79FB9-971E-4621-BADB-62E0B6C842D7}" name="Goal Info" dataDxfId="37"/>
    <tableColumn id="2" xr3:uid="{08F0C2B6-02D7-4431-924D-D9E7C41049B7}" name="GOAL A" dataDxfId="36"/>
    <tableColumn id="3" xr3:uid="{7D5C117D-0D45-489D-81E8-DBEB6FE69CF3}" name="GOAL B" dataDxfId="35"/>
    <tableColumn id="4" xr3:uid="{900DE77F-2D16-4E30-8E7F-638FF98F2CDB}" name="GOAL C" dataDxfId="34"/>
    <tableColumn id="5" xr3:uid="{B0C50B12-C738-4419-9074-3A1A9E37C8AC}" name="GOAL D" dataDxfId="33"/>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6BD61-AB28-418B-A7E4-9C2421B91B8B}" name="TableIncome" displayName="TableIncome" ref="B2:F48" totalsRowShown="0" headerRowDxfId="32" dataDxfId="31">
  <autoFilter ref="B2:F48" xr:uid="{FCF7B272-2B0E-4976-9393-E73F3487686E}"/>
  <tableColumns count="5">
    <tableColumn id="2" xr3:uid="{0498A719-AEC9-446E-8B8E-0AB0C44DDED3}" name="Year" dataDxfId="30"/>
    <tableColumn id="5" xr3:uid="{CC8B1647-0351-43F5-A9B1-47A7C65801F2}" name="SalaryP1" dataDxfId="29">
      <calculatedColumnFormula>(TableIncomeCalculations[[#This Row],[GrossMonthlySalaryP1]]*12)</calculatedColumnFormula>
    </tableColumn>
    <tableColumn id="6" xr3:uid="{D9247035-5056-46B8-9FE0-90DD69539CD9}" name="SalaryP2" dataDxfId="28" dataCellStyle="Comma">
      <calculatedColumnFormula>(TableIncomeCalculations[[#This Row],[GrossMonthlySalaryP2]]*12)</calculatedColumnFormula>
    </tableColumn>
    <tableColumn id="1" xr3:uid="{00C8C4D5-91FF-46B4-A492-F0182F8DA0F4}" name="InvestmentP1" dataDxfId="27">
      <calculatedColumnFormula>TableIncome[[#This Row],[SalaryP1]]*$I$6</calculatedColumnFormula>
    </tableColumn>
    <tableColumn id="3" xr3:uid="{FB2E9633-4667-4315-B59A-930552C59B31}" name="InvestmentP2" dataDxfId="26">
      <calculatedColumnFormula>TableIncome[[#This Row],[SalaryP2]]*$I$6</calculatedColumnFormula>
    </tableColumn>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C60019-787B-4EAD-BA34-E0802DDFB733}" name="TableIncomeCalculations" displayName="TableIncomeCalculations" ref="M2:P48" totalsRowShown="0" headerRowDxfId="25" dataDxfId="24">
  <autoFilter ref="M2:P48" xr:uid="{66C60019-787B-4EAD-BA34-E0802DDFB733}"/>
  <tableColumns count="4">
    <tableColumn id="1" xr3:uid="{C0C732EC-361A-46E0-89E3-08CAE72DBD66}" name="GrossMonthlySalaryP1" dataDxfId="23" dataCellStyle="Comma"/>
    <tableColumn id="3" xr3:uid="{C5CF3F3B-E102-4C03-AE19-3CC173DDD008}" name="GrossMonthlySalaryP2" dataDxfId="22"/>
    <tableColumn id="5" xr3:uid="{FC28F95D-C1B7-458D-BD0C-E085DE566194}" name="SwitchP1" dataDxfId="21">
      <calculatedColumnFormula>_xlfn.XLOOKUP(_xlfn.XLOOKUP(TableIncome[[#This Row],[Year]],Loop!C:C,Loop!D:D),'Job Hopping'!B:B,'Job Hopping'!F:F)</calculatedColumnFormula>
    </tableColumn>
    <tableColumn id="6" xr3:uid="{85FE9DAF-5AA1-4B37-AB45-C3AD3B6E6CC3}" name="SwitchP2" dataDxfId="20">
      <calculatedColumnFormula>_xlfn.XLOOKUP(_xlfn.XLOOKUP(TableIncome[[#This Row],[Year]],Loop!C:C,Loop!E:E),'Job Hopping'!B:B,'Job Hopping'!G:G)</calculatedColumnFormula>
    </tableColumn>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FF2D4F-428C-466F-8C40-CD97C53327FB}" name="JobHopping" displayName="JobHopping" ref="B2:G78" totalsRowShown="0" headerRowDxfId="19" dataDxfId="18">
  <autoFilter ref="B2:G78" xr:uid="{F2FF2D4F-428C-466F-8C40-CD97C53327FB}"/>
  <tableColumns count="6">
    <tableColumn id="1" xr3:uid="{693674CC-D425-46E9-84F4-DC2C74DDA885}" name="Age" dataDxfId="17"/>
    <tableColumn id="2" xr3:uid="{0C578F60-3352-4A6E-80A5-4BD450385FDB}" name="Age Group" dataDxfId="16">
      <calculatedColumnFormula>IF(B3&lt;30, "25-29 år", IF(B3&lt;35, "30-34 år", IF(B3&lt;40, "35-39 år", IF(B3&lt;45, "40-44 år", IF(B3&lt;50, "45-49 år", IF(B3&lt;55, "50-54 år", IF(B3&lt;60, "55-59 år", IF(B3&lt;65, "60-64 år", "65+ år"))))))))</calculatedColumnFormula>
    </tableColumn>
    <tableColumn id="5" xr3:uid="{6B84A72A-055D-41E9-BBC7-389E144ADCF3}" name="FH/FW" dataDxfId="15" dataCellStyle="Percent">
      <calculatedColumnFormula>_xlfn.XLOOKUP(C3,S:S,T:T)</calculatedColumnFormula>
    </tableColumn>
    <tableColumn id="6" xr3:uid="{D9FFF900-4664-40B3-8190-EA72525447EA}" name="Switch" dataDxfId="14">
      <calculatedColumnFormula>IF(OR(JobHopping[[#This Row],[Age]]=25,JobHopping[[#This Row],[Age]]&gt;69),"N",IF(AND(E1="N",E2="N", RAND()&lt;=D3), "Y", "N"))</calculatedColumnFormula>
    </tableColumn>
    <tableColumn id="8" xr3:uid="{691319CE-230D-4FBF-BE6A-2D428D532435}" name="SwitchP1Static" dataDxfId="13"/>
    <tableColumn id="9" xr3:uid="{898CE31A-679C-499C-AEA0-26B20AF30FB2}" name="SwitchP2Static" dataDxfId="12">
      <calculatedColumnFormula>IF(JobHopping[[#This Row],[Age]]&lt;40,"",JobHopping[[#This Row],[SwitchP1Static]])</calculatedColumnFormula>
    </tableColumn>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FD3679-1FAE-42ED-9371-E916E1BA67DA}" name="JobHoppingRatios" displayName="JobHoppingRatios" ref="M2:Q101" totalsRowShown="0" headerRowDxfId="11" dataDxfId="10">
  <autoFilter ref="M2:Q101" xr:uid="{B0FD3679-1FAE-42ED-9371-E916E1BA67DA}"/>
  <tableColumns count="5">
    <tableColumn id="1" xr3:uid="{EED2352B-0CD2-49FA-8E8F-B19F866F9084}" name="Year" dataDxfId="9"/>
    <tableColumn id="2" xr3:uid="{125F1890-3292-40A5-B52B-65BC24DCD8A4}" name="Age Group" dataDxfId="8"/>
    <tableColumn id="3" xr3:uid="{ADFD9F1D-95FD-48CF-AAA7-252CEF08E617}" name="Finance Workers" dataDxfId="7">
      <calculatedColumnFormula>_xlfn.XLOOKUP(M3&amp;"-"&amp;N3,'Djøf Finance Workers'!D:D,'Djøf Finance Workers'!C:C,0,1)</calculatedColumnFormula>
    </tableColumn>
    <tableColumn id="4" xr3:uid="{3B11AAA6-9DF8-45E1-AF3C-A28F474CCCE6}" name="Finance Hoppers" dataDxfId="6">
      <calculatedColumnFormula>_xlfn.XLOOKUP(M3&amp;"-"&amp;N3,'Djøf Finance Hoppers'!D:D,'Djøf Finance Hoppers'!C:C,0,1)</calculatedColumnFormula>
    </tableColumn>
    <tableColumn id="5" xr3:uid="{797F4F22-806C-479D-A67E-5B23C5721AD9}" name="FH/FW" dataDxfId="5" dataCellStyle="Percent">
      <calculatedColumnFormula>IF(O3&gt;0, P3/O3, 0)</calculatedColumnFormula>
    </tableColumn>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F731F5-9A61-4A3C-A0CD-4F447986E27B}" name="JobHoppingAvg" displayName="JobHoppingAvg" ref="S2:T11" totalsRowShown="0" headerRowDxfId="4" dataDxfId="3">
  <autoFilter ref="S2:T11" xr:uid="{B4F731F5-9A61-4A3C-A0CD-4F447986E27B}"/>
  <tableColumns count="2">
    <tableColumn id="1" xr3:uid="{1D4D0898-5851-47E3-97D4-09C98B70723D}" name="Age Group" dataDxfId="2"/>
    <tableColumn id="2" xr3:uid="{966F8474-449D-442D-A7AA-ED23DFA6D69D}" name="FH/FV" dataDxfId="1">
      <calculatedColumnFormula>SUMIFS(Q:Q,N:N,S3)/(MAX($M$3:$M$101)-MIN($M$3:$M$101))</calculatedColumnFormula>
    </tableColum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drawing" Target="../drawings/drawing3.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F78F-1C0D-4BC5-A49C-ED9FDDBB5B8B}">
  <sheetPr>
    <tabColor theme="7" tint="0.79998168889431442"/>
  </sheetPr>
  <dimension ref="B3:C10"/>
  <sheetViews>
    <sheetView workbookViewId="0">
      <selection activeCell="B7" sqref="B7"/>
    </sheetView>
  </sheetViews>
  <sheetFormatPr defaultColWidth="8.7265625" defaultRowHeight="14.5" x14ac:dyDescent="0.35"/>
  <cols>
    <col min="1" max="1" width="8.7265625" style="1"/>
    <col min="2" max="2" width="20.54296875" style="1" bestFit="1" customWidth="1"/>
    <col min="3" max="16384" width="8.7265625" style="1"/>
  </cols>
  <sheetData>
    <row r="3" spans="2:3" ht="23.5" x14ac:dyDescent="0.55000000000000004">
      <c r="B3" s="13" t="s">
        <v>47</v>
      </c>
    </row>
    <row r="4" spans="2:3" x14ac:dyDescent="0.35">
      <c r="B4" s="11" t="s">
        <v>52</v>
      </c>
    </row>
    <row r="5" spans="2:3" x14ac:dyDescent="0.35">
      <c r="B5" s="12" t="s">
        <v>51</v>
      </c>
      <c r="C5" s="1" t="s">
        <v>48</v>
      </c>
    </row>
    <row r="6" spans="2:3" x14ac:dyDescent="0.35">
      <c r="B6" s="17" t="s">
        <v>60</v>
      </c>
      <c r="C6" s="1" t="s">
        <v>61</v>
      </c>
    </row>
    <row r="8" spans="2:3" ht="23.5" x14ac:dyDescent="0.55000000000000004">
      <c r="B8" s="13" t="s">
        <v>49</v>
      </c>
    </row>
    <row r="9" spans="2:3" x14ac:dyDescent="0.35">
      <c r="B9" s="14" t="s">
        <v>50</v>
      </c>
    </row>
    <row r="10" spans="2:3" x14ac:dyDescent="0.35">
      <c r="B10" s="15" t="s">
        <v>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C5E26-0D27-4F2D-BD5C-FE681A33A0C8}">
  <sheetPr>
    <tabColor theme="7" tint="0.79998168889431442"/>
  </sheetPr>
  <dimension ref="B2:F53"/>
  <sheetViews>
    <sheetView workbookViewId="0">
      <selection activeCell="F3" sqref="F3:F53"/>
    </sheetView>
  </sheetViews>
  <sheetFormatPr defaultColWidth="8.7265625" defaultRowHeight="14.5" x14ac:dyDescent="0.35"/>
  <cols>
    <col min="1" max="1" width="3.453125" style="1" customWidth="1"/>
    <col min="2" max="2" width="8.7265625" style="1"/>
    <col min="3" max="3" width="13.1796875" style="1" customWidth="1"/>
    <col min="4" max="4" width="11.54296875" style="1" customWidth="1"/>
    <col min="5" max="5" width="11.26953125" style="1" customWidth="1"/>
    <col min="6" max="6" width="16.26953125" style="1" customWidth="1"/>
    <col min="7" max="16384" width="8.7265625" style="1"/>
  </cols>
  <sheetData>
    <row r="2" spans="2:6" x14ac:dyDescent="0.35">
      <c r="B2" s="2" t="s">
        <v>0</v>
      </c>
      <c r="C2" s="2" t="s">
        <v>1</v>
      </c>
      <c r="D2" s="2" t="s">
        <v>2</v>
      </c>
      <c r="E2" s="2" t="s">
        <v>3</v>
      </c>
      <c r="F2" s="2" t="s">
        <v>4</v>
      </c>
    </row>
    <row r="3" spans="2:6" x14ac:dyDescent="0.35">
      <c r="B3" s="2">
        <v>1</v>
      </c>
      <c r="C3" s="2">
        <v>2025</v>
      </c>
      <c r="D3" s="2">
        <v>25</v>
      </c>
      <c r="E3" s="2">
        <v>40</v>
      </c>
      <c r="F3" s="2" t="s">
        <v>0</v>
      </c>
    </row>
    <row r="4" spans="2:6" x14ac:dyDescent="0.35">
      <c r="B4" s="2">
        <v>2</v>
      </c>
      <c r="C4" s="2">
        <v>2026</v>
      </c>
      <c r="D4" s="2">
        <f>D3+1</f>
        <v>26</v>
      </c>
      <c r="E4" s="2">
        <f>E3+1</f>
        <v>41</v>
      </c>
      <c r="F4" s="2" t="s">
        <v>0</v>
      </c>
    </row>
    <row r="5" spans="2:6" x14ac:dyDescent="0.35">
      <c r="B5" s="2">
        <v>3</v>
      </c>
      <c r="C5" s="2">
        <v>2027</v>
      </c>
      <c r="D5" s="2">
        <f t="shared" ref="D5:D16" si="0">D4+1</f>
        <v>27</v>
      </c>
      <c r="E5" s="2">
        <f t="shared" ref="E5:E16" si="1">E4+1</f>
        <v>42</v>
      </c>
      <c r="F5" s="2" t="s">
        <v>0</v>
      </c>
    </row>
    <row r="6" spans="2:6" x14ac:dyDescent="0.35">
      <c r="B6" s="2">
        <v>4</v>
      </c>
      <c r="C6" s="2">
        <v>2028</v>
      </c>
      <c r="D6" s="2">
        <f t="shared" si="0"/>
        <v>28</v>
      </c>
      <c r="E6" s="2">
        <f t="shared" si="1"/>
        <v>43</v>
      </c>
      <c r="F6" s="2" t="s">
        <v>0</v>
      </c>
    </row>
    <row r="7" spans="2:6" x14ac:dyDescent="0.35">
      <c r="B7" s="2">
        <v>5</v>
      </c>
      <c r="C7" s="2">
        <v>2029</v>
      </c>
      <c r="D7" s="2">
        <f t="shared" si="0"/>
        <v>29</v>
      </c>
      <c r="E7" s="2">
        <f t="shared" si="1"/>
        <v>44</v>
      </c>
      <c r="F7" s="2" t="s">
        <v>0</v>
      </c>
    </row>
    <row r="8" spans="2:6" x14ac:dyDescent="0.35">
      <c r="B8" s="2">
        <v>6</v>
      </c>
      <c r="C8" s="2">
        <v>2030</v>
      </c>
      <c r="D8" s="2">
        <f t="shared" si="0"/>
        <v>30</v>
      </c>
      <c r="E8" s="2">
        <f t="shared" si="1"/>
        <v>45</v>
      </c>
      <c r="F8" s="2" t="s">
        <v>0</v>
      </c>
    </row>
    <row r="9" spans="2:6" x14ac:dyDescent="0.35">
      <c r="B9" s="2">
        <v>7</v>
      </c>
      <c r="C9" s="2">
        <v>2031</v>
      </c>
      <c r="D9" s="2">
        <f t="shared" si="0"/>
        <v>31</v>
      </c>
      <c r="E9" s="2">
        <f t="shared" si="1"/>
        <v>46</v>
      </c>
      <c r="F9" s="2" t="s">
        <v>0</v>
      </c>
    </row>
    <row r="10" spans="2:6" x14ac:dyDescent="0.35">
      <c r="B10" s="2">
        <v>8</v>
      </c>
      <c r="C10" s="2">
        <v>2032</v>
      </c>
      <c r="D10" s="2">
        <f t="shared" si="0"/>
        <v>32</v>
      </c>
      <c r="E10" s="2">
        <f t="shared" si="1"/>
        <v>47</v>
      </c>
      <c r="F10" s="2" t="s">
        <v>0</v>
      </c>
    </row>
    <row r="11" spans="2:6" x14ac:dyDescent="0.35">
      <c r="B11" s="2">
        <v>9</v>
      </c>
      <c r="C11" s="2">
        <v>2033</v>
      </c>
      <c r="D11" s="2">
        <f t="shared" si="0"/>
        <v>33</v>
      </c>
      <c r="E11" s="2">
        <f t="shared" si="1"/>
        <v>48</v>
      </c>
      <c r="F11" s="2" t="s">
        <v>0</v>
      </c>
    </row>
    <row r="12" spans="2:6" x14ac:dyDescent="0.35">
      <c r="B12" s="2">
        <v>10</v>
      </c>
      <c r="C12" s="2">
        <v>2034</v>
      </c>
      <c r="D12" s="2">
        <f t="shared" si="0"/>
        <v>34</v>
      </c>
      <c r="E12" s="2">
        <f t="shared" si="1"/>
        <v>49</v>
      </c>
      <c r="F12" s="2" t="s">
        <v>0</v>
      </c>
    </row>
    <row r="13" spans="2:6" x14ac:dyDescent="0.35">
      <c r="B13" s="2">
        <v>11</v>
      </c>
      <c r="C13" s="2">
        <v>2035</v>
      </c>
      <c r="D13" s="2">
        <f t="shared" si="0"/>
        <v>35</v>
      </c>
      <c r="E13" s="2">
        <f t="shared" si="1"/>
        <v>50</v>
      </c>
      <c r="F13" s="2" t="s">
        <v>0</v>
      </c>
    </row>
    <row r="14" spans="2:6" x14ac:dyDescent="0.35">
      <c r="B14" s="2">
        <v>12</v>
      </c>
      <c r="C14" s="2">
        <v>2036</v>
      </c>
      <c r="D14" s="2">
        <f t="shared" si="0"/>
        <v>36</v>
      </c>
      <c r="E14" s="2">
        <f t="shared" si="1"/>
        <v>51</v>
      </c>
      <c r="F14" s="2" t="s">
        <v>0</v>
      </c>
    </row>
    <row r="15" spans="2:6" x14ac:dyDescent="0.35">
      <c r="B15" s="2">
        <v>13</v>
      </c>
      <c r="C15" s="2">
        <v>2037</v>
      </c>
      <c r="D15" s="2">
        <f t="shared" si="0"/>
        <v>37</v>
      </c>
      <c r="E15" s="2">
        <f t="shared" si="1"/>
        <v>52</v>
      </c>
      <c r="F15" s="2" t="s">
        <v>0</v>
      </c>
    </row>
    <row r="16" spans="2:6" x14ac:dyDescent="0.35">
      <c r="B16" s="2">
        <v>14</v>
      </c>
      <c r="C16" s="2">
        <v>2038</v>
      </c>
      <c r="D16" s="2">
        <f t="shared" si="0"/>
        <v>38</v>
      </c>
      <c r="E16" s="2">
        <f t="shared" si="1"/>
        <v>53</v>
      </c>
      <c r="F16" s="2" t="s">
        <v>0</v>
      </c>
    </row>
    <row r="17" spans="2:6" x14ac:dyDescent="0.35">
      <c r="B17" s="2">
        <v>15</v>
      </c>
      <c r="C17" s="2">
        <v>2039</v>
      </c>
      <c r="D17" s="2">
        <f>D16+1</f>
        <v>39</v>
      </c>
      <c r="E17" s="2">
        <f>E16+1</f>
        <v>54</v>
      </c>
      <c r="F17" s="2" t="s">
        <v>0</v>
      </c>
    </row>
    <row r="18" spans="2:6" x14ac:dyDescent="0.35">
      <c r="B18" s="2">
        <v>16</v>
      </c>
      <c r="C18" s="2">
        <v>2040</v>
      </c>
      <c r="D18" s="2">
        <f t="shared" ref="D18:D28" si="2">D17+1</f>
        <v>40</v>
      </c>
      <c r="E18" s="2">
        <f t="shared" ref="E18:E28" si="3">E17+1</f>
        <v>55</v>
      </c>
      <c r="F18" s="2" t="s">
        <v>0</v>
      </c>
    </row>
    <row r="19" spans="2:6" x14ac:dyDescent="0.35">
      <c r="B19" s="2">
        <v>17</v>
      </c>
      <c r="C19" s="2">
        <v>2041</v>
      </c>
      <c r="D19" s="2">
        <f t="shared" si="2"/>
        <v>41</v>
      </c>
      <c r="E19" s="2">
        <f t="shared" si="3"/>
        <v>56</v>
      </c>
      <c r="F19" s="2" t="s">
        <v>0</v>
      </c>
    </row>
    <row r="20" spans="2:6" x14ac:dyDescent="0.35">
      <c r="B20" s="2">
        <v>18</v>
      </c>
      <c r="C20" s="2">
        <v>2042</v>
      </c>
      <c r="D20" s="2">
        <f t="shared" si="2"/>
        <v>42</v>
      </c>
      <c r="E20" s="2">
        <f t="shared" si="3"/>
        <v>57</v>
      </c>
      <c r="F20" s="2" t="s">
        <v>0</v>
      </c>
    </row>
    <row r="21" spans="2:6" x14ac:dyDescent="0.35">
      <c r="B21" s="2">
        <v>19</v>
      </c>
      <c r="C21" s="2">
        <v>2043</v>
      </c>
      <c r="D21" s="2">
        <f t="shared" si="2"/>
        <v>43</v>
      </c>
      <c r="E21" s="2">
        <f t="shared" si="3"/>
        <v>58</v>
      </c>
      <c r="F21" s="2" t="s">
        <v>0</v>
      </c>
    </row>
    <row r="22" spans="2:6" x14ac:dyDescent="0.35">
      <c r="B22" s="2">
        <v>20</v>
      </c>
      <c r="C22" s="2">
        <v>2044</v>
      </c>
      <c r="D22" s="2">
        <f t="shared" si="2"/>
        <v>44</v>
      </c>
      <c r="E22" s="2">
        <f t="shared" si="3"/>
        <v>59</v>
      </c>
      <c r="F22" s="2" t="s">
        <v>0</v>
      </c>
    </row>
    <row r="23" spans="2:6" x14ac:dyDescent="0.35">
      <c r="B23" s="2">
        <v>21</v>
      </c>
      <c r="C23" s="2">
        <v>2045</v>
      </c>
      <c r="D23" s="2">
        <f t="shared" si="2"/>
        <v>45</v>
      </c>
      <c r="E23" s="2">
        <f t="shared" si="3"/>
        <v>60</v>
      </c>
      <c r="F23" s="2" t="s">
        <v>0</v>
      </c>
    </row>
    <row r="24" spans="2:6" x14ac:dyDescent="0.35">
      <c r="B24" s="2">
        <v>22</v>
      </c>
      <c r="C24" s="2">
        <v>2046</v>
      </c>
      <c r="D24" s="2">
        <f t="shared" si="2"/>
        <v>46</v>
      </c>
      <c r="E24" s="2">
        <f t="shared" si="3"/>
        <v>61</v>
      </c>
      <c r="F24" s="2" t="s">
        <v>0</v>
      </c>
    </row>
    <row r="25" spans="2:6" x14ac:dyDescent="0.35">
      <c r="B25" s="2">
        <v>23</v>
      </c>
      <c r="C25" s="2">
        <v>2047</v>
      </c>
      <c r="D25" s="2">
        <f t="shared" si="2"/>
        <v>47</v>
      </c>
      <c r="E25" s="2">
        <f t="shared" si="3"/>
        <v>62</v>
      </c>
      <c r="F25" s="2" t="s">
        <v>0</v>
      </c>
    </row>
    <row r="26" spans="2:6" x14ac:dyDescent="0.35">
      <c r="B26" s="2">
        <v>24</v>
      </c>
      <c r="C26" s="2">
        <v>2048</v>
      </c>
      <c r="D26" s="2">
        <f t="shared" si="2"/>
        <v>48</v>
      </c>
      <c r="E26" s="2">
        <f t="shared" si="3"/>
        <v>63</v>
      </c>
      <c r="F26" s="2" t="s">
        <v>0</v>
      </c>
    </row>
    <row r="27" spans="2:6" x14ac:dyDescent="0.35">
      <c r="B27" s="2">
        <v>25</v>
      </c>
      <c r="C27" s="2">
        <v>2049</v>
      </c>
      <c r="D27" s="2">
        <f t="shared" si="2"/>
        <v>49</v>
      </c>
      <c r="E27" s="2">
        <f t="shared" si="3"/>
        <v>64</v>
      </c>
      <c r="F27" s="2" t="s">
        <v>0</v>
      </c>
    </row>
    <row r="28" spans="2:6" x14ac:dyDescent="0.35">
      <c r="B28" s="2">
        <v>26</v>
      </c>
      <c r="C28" s="2">
        <v>2050</v>
      </c>
      <c r="D28" s="2">
        <f t="shared" si="2"/>
        <v>50</v>
      </c>
      <c r="E28" s="2">
        <f t="shared" si="3"/>
        <v>65</v>
      </c>
      <c r="F28" s="2" t="s">
        <v>0</v>
      </c>
    </row>
    <row r="29" spans="2:6" x14ac:dyDescent="0.35">
      <c r="B29" s="2">
        <v>27</v>
      </c>
      <c r="C29" s="2">
        <v>2051</v>
      </c>
      <c r="D29" s="2">
        <f t="shared" ref="D29:D32" si="4">D28+1</f>
        <v>51</v>
      </c>
      <c r="E29" s="2">
        <f t="shared" ref="E29:E32" si="5">E28+1</f>
        <v>66</v>
      </c>
      <c r="F29" s="2" t="s">
        <v>0</v>
      </c>
    </row>
    <row r="30" spans="2:6" x14ac:dyDescent="0.35">
      <c r="B30" s="2">
        <v>28</v>
      </c>
      <c r="C30" s="2">
        <v>2052</v>
      </c>
      <c r="D30" s="2">
        <f t="shared" si="4"/>
        <v>52</v>
      </c>
      <c r="E30" s="2">
        <f t="shared" si="5"/>
        <v>67</v>
      </c>
      <c r="F30" s="2" t="s">
        <v>0</v>
      </c>
    </row>
    <row r="31" spans="2:6" x14ac:dyDescent="0.35">
      <c r="B31" s="2">
        <v>29</v>
      </c>
      <c r="C31" s="2">
        <v>2053</v>
      </c>
      <c r="D31" s="2">
        <f t="shared" si="4"/>
        <v>53</v>
      </c>
      <c r="E31" s="2">
        <f t="shared" si="5"/>
        <v>68</v>
      </c>
      <c r="F31" s="2" t="s">
        <v>0</v>
      </c>
    </row>
    <row r="32" spans="2:6" x14ac:dyDescent="0.35">
      <c r="B32" s="2">
        <v>30</v>
      </c>
      <c r="C32" s="2">
        <v>2054</v>
      </c>
      <c r="D32" s="2">
        <f t="shared" si="4"/>
        <v>54</v>
      </c>
      <c r="E32" s="2">
        <f t="shared" si="5"/>
        <v>69</v>
      </c>
      <c r="F32" s="2" t="s">
        <v>0</v>
      </c>
    </row>
    <row r="33" spans="2:6" x14ac:dyDescent="0.35">
      <c r="B33" s="2">
        <v>31</v>
      </c>
      <c r="C33" s="2">
        <v>2055</v>
      </c>
      <c r="D33" s="2">
        <f t="shared" ref="D33:D43" si="6">D32+1</f>
        <v>55</v>
      </c>
      <c r="E33" s="2">
        <f t="shared" ref="E33:E43" si="7">E32+1</f>
        <v>70</v>
      </c>
      <c r="F33" s="2" t="s">
        <v>0</v>
      </c>
    </row>
    <row r="34" spans="2:6" x14ac:dyDescent="0.35">
      <c r="B34" s="2">
        <v>32</v>
      </c>
      <c r="C34" s="2">
        <v>2056</v>
      </c>
      <c r="D34" s="2">
        <f t="shared" si="6"/>
        <v>56</v>
      </c>
      <c r="E34" s="2">
        <f t="shared" si="7"/>
        <v>71</v>
      </c>
      <c r="F34" s="2" t="s">
        <v>0</v>
      </c>
    </row>
    <row r="35" spans="2:6" x14ac:dyDescent="0.35">
      <c r="B35" s="2">
        <v>33</v>
      </c>
      <c r="C35" s="2">
        <v>2057</v>
      </c>
      <c r="D35" s="2">
        <f t="shared" si="6"/>
        <v>57</v>
      </c>
      <c r="E35" s="2">
        <f t="shared" si="7"/>
        <v>72</v>
      </c>
      <c r="F35" s="2" t="s">
        <v>0</v>
      </c>
    </row>
    <row r="36" spans="2:6" x14ac:dyDescent="0.35">
      <c r="B36" s="2">
        <v>34</v>
      </c>
      <c r="C36" s="2">
        <v>2058</v>
      </c>
      <c r="D36" s="2">
        <f t="shared" si="6"/>
        <v>58</v>
      </c>
      <c r="E36" s="2">
        <f t="shared" si="7"/>
        <v>73</v>
      </c>
      <c r="F36" s="2" t="s">
        <v>0</v>
      </c>
    </row>
    <row r="37" spans="2:6" x14ac:dyDescent="0.35">
      <c r="B37" s="2">
        <v>35</v>
      </c>
      <c r="C37" s="2">
        <v>2059</v>
      </c>
      <c r="D37" s="2">
        <f t="shared" si="6"/>
        <v>59</v>
      </c>
      <c r="E37" s="2">
        <f t="shared" si="7"/>
        <v>74</v>
      </c>
      <c r="F37" s="2" t="s">
        <v>0</v>
      </c>
    </row>
    <row r="38" spans="2:6" x14ac:dyDescent="0.35">
      <c r="B38" s="2">
        <v>36</v>
      </c>
      <c r="C38" s="2">
        <v>2060</v>
      </c>
      <c r="D38" s="2">
        <f t="shared" si="6"/>
        <v>60</v>
      </c>
      <c r="E38" s="2">
        <f t="shared" si="7"/>
        <v>75</v>
      </c>
      <c r="F38" s="2" t="s">
        <v>0</v>
      </c>
    </row>
    <row r="39" spans="2:6" x14ac:dyDescent="0.35">
      <c r="B39" s="2">
        <v>37</v>
      </c>
      <c r="C39" s="2">
        <v>2061</v>
      </c>
      <c r="D39" s="2">
        <f t="shared" si="6"/>
        <v>61</v>
      </c>
      <c r="E39" s="2">
        <f t="shared" si="7"/>
        <v>76</v>
      </c>
      <c r="F39" s="2" t="s">
        <v>0</v>
      </c>
    </row>
    <row r="40" spans="2:6" x14ac:dyDescent="0.35">
      <c r="B40" s="2">
        <v>38</v>
      </c>
      <c r="C40" s="2">
        <v>2062</v>
      </c>
      <c r="D40" s="2">
        <f t="shared" si="6"/>
        <v>62</v>
      </c>
      <c r="E40" s="2">
        <f t="shared" si="7"/>
        <v>77</v>
      </c>
      <c r="F40" s="2" t="s">
        <v>0</v>
      </c>
    </row>
    <row r="41" spans="2:6" x14ac:dyDescent="0.35">
      <c r="B41" s="2">
        <v>39</v>
      </c>
      <c r="C41" s="2">
        <v>2063</v>
      </c>
      <c r="D41" s="2">
        <f t="shared" si="6"/>
        <v>63</v>
      </c>
      <c r="E41" s="2">
        <f t="shared" si="7"/>
        <v>78</v>
      </c>
      <c r="F41" s="2" t="s">
        <v>0</v>
      </c>
    </row>
    <row r="42" spans="2:6" x14ac:dyDescent="0.35">
      <c r="B42" s="2">
        <v>40</v>
      </c>
      <c r="C42" s="2">
        <v>2064</v>
      </c>
      <c r="D42" s="2">
        <f t="shared" si="6"/>
        <v>64</v>
      </c>
      <c r="E42" s="2">
        <f t="shared" si="7"/>
        <v>79</v>
      </c>
      <c r="F42" s="2" t="s">
        <v>0</v>
      </c>
    </row>
    <row r="43" spans="2:6" x14ac:dyDescent="0.35">
      <c r="B43" s="2">
        <v>41</v>
      </c>
      <c r="C43" s="2">
        <v>2065</v>
      </c>
      <c r="D43" s="2">
        <f t="shared" si="6"/>
        <v>65</v>
      </c>
      <c r="E43" s="2">
        <f t="shared" si="7"/>
        <v>80</v>
      </c>
      <c r="F43" s="2" t="s">
        <v>0</v>
      </c>
    </row>
    <row r="44" spans="2:6" x14ac:dyDescent="0.35">
      <c r="B44" s="2">
        <v>42</v>
      </c>
      <c r="C44" s="2">
        <v>2066</v>
      </c>
      <c r="D44" s="2">
        <f t="shared" ref="D44:D53" si="8">D43+1</f>
        <v>66</v>
      </c>
      <c r="E44" s="2">
        <f t="shared" ref="E44:E53" si="9">E43+1</f>
        <v>81</v>
      </c>
      <c r="F44" s="2" t="s">
        <v>0</v>
      </c>
    </row>
    <row r="45" spans="2:6" x14ac:dyDescent="0.35">
      <c r="B45" s="2">
        <v>43</v>
      </c>
      <c r="C45" s="2">
        <v>2067</v>
      </c>
      <c r="D45" s="2">
        <f t="shared" si="8"/>
        <v>67</v>
      </c>
      <c r="E45" s="2">
        <f t="shared" si="9"/>
        <v>82</v>
      </c>
      <c r="F45" s="2" t="s">
        <v>0</v>
      </c>
    </row>
    <row r="46" spans="2:6" x14ac:dyDescent="0.35">
      <c r="B46" s="2">
        <v>44</v>
      </c>
      <c r="C46" s="2">
        <v>2068</v>
      </c>
      <c r="D46" s="2">
        <f t="shared" si="8"/>
        <v>68</v>
      </c>
      <c r="E46" s="2">
        <f t="shared" si="9"/>
        <v>83</v>
      </c>
      <c r="F46" s="2" t="s">
        <v>0</v>
      </c>
    </row>
    <row r="47" spans="2:6" x14ac:dyDescent="0.35">
      <c r="B47" s="2">
        <v>45</v>
      </c>
      <c r="C47" s="2">
        <v>2069</v>
      </c>
      <c r="D47" s="2">
        <f t="shared" si="8"/>
        <v>69</v>
      </c>
      <c r="E47" s="2">
        <f t="shared" si="9"/>
        <v>84</v>
      </c>
      <c r="F47" s="2" t="s">
        <v>0</v>
      </c>
    </row>
    <row r="48" spans="2:6" x14ac:dyDescent="0.35">
      <c r="B48" s="2">
        <v>46</v>
      </c>
      <c r="C48" s="2">
        <v>2070</v>
      </c>
      <c r="D48" s="2">
        <f t="shared" si="8"/>
        <v>70</v>
      </c>
      <c r="E48" s="2">
        <f t="shared" si="9"/>
        <v>85</v>
      </c>
      <c r="F48" s="2" t="s">
        <v>0</v>
      </c>
    </row>
    <row r="49" spans="2:6" x14ac:dyDescent="0.35">
      <c r="B49" s="2">
        <v>47</v>
      </c>
      <c r="C49" s="2">
        <v>2071</v>
      </c>
      <c r="D49" s="2">
        <f t="shared" si="8"/>
        <v>71</v>
      </c>
      <c r="E49" s="2">
        <f t="shared" si="9"/>
        <v>86</v>
      </c>
      <c r="F49" s="2" t="s">
        <v>0</v>
      </c>
    </row>
    <row r="50" spans="2:6" x14ac:dyDescent="0.35">
      <c r="B50" s="2">
        <v>48</v>
      </c>
      <c r="C50" s="2">
        <v>2072</v>
      </c>
      <c r="D50" s="2">
        <f t="shared" si="8"/>
        <v>72</v>
      </c>
      <c r="E50" s="2">
        <f t="shared" si="9"/>
        <v>87</v>
      </c>
      <c r="F50" s="2" t="s">
        <v>0</v>
      </c>
    </row>
    <row r="51" spans="2:6" x14ac:dyDescent="0.35">
      <c r="B51" s="2">
        <v>49</v>
      </c>
      <c r="C51" s="2">
        <v>2073</v>
      </c>
      <c r="D51" s="2">
        <f t="shared" si="8"/>
        <v>73</v>
      </c>
      <c r="E51" s="2">
        <f t="shared" si="9"/>
        <v>88</v>
      </c>
      <c r="F51" s="2" t="s">
        <v>0</v>
      </c>
    </row>
    <row r="52" spans="2:6" x14ac:dyDescent="0.35">
      <c r="B52" s="2">
        <v>50</v>
      </c>
      <c r="C52" s="2">
        <v>2074</v>
      </c>
      <c r="D52" s="2">
        <f t="shared" si="8"/>
        <v>74</v>
      </c>
      <c r="E52" s="2">
        <f t="shared" si="9"/>
        <v>89</v>
      </c>
      <c r="F52" s="2" t="s">
        <v>0</v>
      </c>
    </row>
    <row r="53" spans="2:6" x14ac:dyDescent="0.35">
      <c r="B53" s="2">
        <v>51</v>
      </c>
      <c r="C53" s="2">
        <v>2075</v>
      </c>
      <c r="D53" s="2">
        <f t="shared" si="8"/>
        <v>75</v>
      </c>
      <c r="E53" s="2">
        <f t="shared" si="9"/>
        <v>90</v>
      </c>
      <c r="F53" s="2" t="s">
        <v>0</v>
      </c>
    </row>
  </sheetData>
  <pageMargins left="0.7" right="0.7" top="0.75" bottom="0.75" header="0.3" footer="0.3"/>
  <ignoredErrors>
    <ignoredError sqref="D3:E3" calculatedColumn="1"/>
  </ignoredError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4F678-28BA-42D9-BABA-53A1B78858A7}">
  <dimension ref="A3:Y55"/>
  <sheetViews>
    <sheetView zoomScale="75" workbookViewId="0">
      <selection activeCell="C8" sqref="C8"/>
    </sheetView>
  </sheetViews>
  <sheetFormatPr defaultRowHeight="14.5" x14ac:dyDescent="0.35"/>
  <cols>
    <col min="1" max="1" width="13.90625" bestFit="1" customWidth="1"/>
    <col min="2" max="2" width="13.26953125" bestFit="1" customWidth="1"/>
    <col min="3" max="4" width="13.08984375" bestFit="1" customWidth="1"/>
    <col min="5" max="5" width="15.36328125" bestFit="1" customWidth="1"/>
    <col min="7" max="7" width="23.453125" bestFit="1" customWidth="1"/>
    <col min="8" max="8" width="22.08984375" bestFit="1" customWidth="1"/>
    <col min="9" max="9" width="11.81640625" bestFit="1" customWidth="1"/>
    <col min="11" max="11" width="156.90625" bestFit="1" customWidth="1"/>
    <col min="14" max="14" width="15" bestFit="1" customWidth="1"/>
    <col min="15" max="15" width="17.08984375" bestFit="1" customWidth="1"/>
    <col min="16" max="17" width="13.08984375" bestFit="1" customWidth="1"/>
    <col min="22" max="22" width="12" bestFit="1" customWidth="1"/>
    <col min="23" max="23" width="13.08984375" bestFit="1" customWidth="1"/>
    <col min="24" max="24" width="12" bestFit="1" customWidth="1"/>
    <col min="25" max="25" width="13.54296875" bestFit="1" customWidth="1"/>
  </cols>
  <sheetData>
    <row r="3" spans="1:25" x14ac:dyDescent="0.35">
      <c r="A3" s="38" t="s">
        <v>181</v>
      </c>
      <c r="B3" t="s">
        <v>192</v>
      </c>
      <c r="C3" t="s">
        <v>189</v>
      </c>
      <c r="D3" t="s">
        <v>188</v>
      </c>
      <c r="E3" t="s">
        <v>185</v>
      </c>
      <c r="F3" t="s">
        <v>186</v>
      </c>
      <c r="G3" s="43" t="s">
        <v>190</v>
      </c>
      <c r="H3" s="43" t="s">
        <v>191</v>
      </c>
      <c r="I3" t="s">
        <v>187</v>
      </c>
      <c r="K3" t="str">
        <f>A3&amp;", "&amp;B3&amp;", "&amp;C3&amp;", "&amp;D3&amp;", "&amp;E3&amp;", "&amp;F3&amp;", "&amp;G3&amp;", "&amp;H3&amp;", "&amp;I3</f>
        <v>Row Labels, Sum of Weight, Invested Amt, End Values, FinalWealth, Salary, Invested Amt Calculated, Invested Amt DIFF, Diff End</v>
      </c>
      <c r="N3" s="38" t="s">
        <v>197</v>
      </c>
      <c r="O3" s="38" t="s">
        <v>198</v>
      </c>
    </row>
    <row r="4" spans="1:25" x14ac:dyDescent="0.35">
      <c r="A4" s="39">
        <v>2026</v>
      </c>
      <c r="B4">
        <v>1.0000000464964383</v>
      </c>
      <c r="C4">
        <v>52645.202447814336</v>
      </c>
      <c r="D4">
        <v>56284.388435597109</v>
      </c>
      <c r="E4" cm="1">
        <f t="array" ref="E4:E53">TRANSPOSE(FinalWealth!C2:AZ2)</f>
        <v>55399.768304896177</v>
      </c>
      <c r="F4" cm="1">
        <f t="array" ref="F4:F53">TRANSPOSE(Salary!C2:AZ2)</f>
        <v>52645.200000000004</v>
      </c>
      <c r="G4" s="43">
        <f>F4</f>
        <v>52645.200000000004</v>
      </c>
      <c r="H4" s="44">
        <f>G4-C4</f>
        <v>-2.4478143313899636E-3</v>
      </c>
      <c r="I4" s="33">
        <f>E4-D4</f>
        <v>-884.62013070093235</v>
      </c>
      <c r="K4" t="str">
        <f t="shared" ref="K4:K28" si="0">A4&amp;", "&amp;B4&amp;", "&amp;C4&amp;", "&amp;D4&amp;", "&amp;E4&amp;", "&amp;F4&amp;", "&amp;G4&amp;", "&amp;H4&amp;", "&amp;I4</f>
        <v>2026, 1.00000004649644, 52645.2024478143, 56284.3884355971, 55399.7683048962, 52645.2, 52645.2, -0.00244781433138996, -884.620130700932</v>
      </c>
      <c r="N4" s="38" t="s">
        <v>181</v>
      </c>
      <c r="O4" t="s">
        <v>179</v>
      </c>
      <c r="P4" t="s">
        <v>180</v>
      </c>
      <c r="Q4" t="s">
        <v>182</v>
      </c>
      <c r="U4" t="s">
        <v>208</v>
      </c>
      <c r="V4" s="21" cm="1">
        <f t="array" ref="V4:Y4">GoalsP1[[#This Row],[GOAL A]:[GOAL D]]</f>
        <v>7000000</v>
      </c>
      <c r="W4" s="21">
        <v>250000</v>
      </c>
      <c r="X4" s="21">
        <v>4000000</v>
      </c>
      <c r="Y4" s="21">
        <v>300000</v>
      </c>
    </row>
    <row r="5" spans="1:25" x14ac:dyDescent="0.35">
      <c r="A5" s="39">
        <v>2027</v>
      </c>
      <c r="B5">
        <v>0.99999997648474803</v>
      </c>
      <c r="C5">
        <v>109456.03786171081</v>
      </c>
      <c r="D5">
        <v>117012.47169971812</v>
      </c>
      <c r="E5">
        <v>114307.77182833827</v>
      </c>
      <c r="F5">
        <v>53171.652000000002</v>
      </c>
      <c r="G5" s="43">
        <f>F5+E4</f>
        <v>108571.42030489618</v>
      </c>
      <c r="H5" s="44">
        <f t="shared" ref="H5:H28" si="1">G5-C5</f>
        <v>-884.61755681462819</v>
      </c>
      <c r="I5" s="33">
        <f>E5-D5</f>
        <v>-2704.699871379853</v>
      </c>
      <c r="K5" t="str">
        <f t="shared" si="0"/>
        <v>2027, 0.999999976484748, 109456.037861711, 117012.471699718, 114307.771828338, 53171.652, 108571.420304896, -884.617556814628, -2704.69987137985</v>
      </c>
      <c r="N5" s="39">
        <v>2026</v>
      </c>
      <c r="O5">
        <v>36343.339999999997</v>
      </c>
      <c r="P5">
        <v>16301.854054661653</v>
      </c>
      <c r="Q5">
        <v>52645.194054661653</v>
      </c>
      <c r="U5" t="s">
        <v>209</v>
      </c>
      <c r="V5" cm="1">
        <f t="array" ref="V5:V6">_xlfn.UNIQUE(Sheet1!M3:M500)</f>
        <v>0</v>
      </c>
      <c r="W5" cm="1">
        <f t="array" ref="W5:W6">_xlfn.UNIQUE(Sheet1!O3:O500)</f>
        <v>0</v>
      </c>
      <c r="X5" cm="1">
        <f t="array" ref="X5:X6">_xlfn.UNIQUE(Sheet1!Q3:Q500)</f>
        <v>0</v>
      </c>
      <c r="Y5" cm="1">
        <f t="array" ref="Y5:Y6">_xlfn.UNIQUE(Sheet1!S3:S500)</f>
        <v>0</v>
      </c>
    </row>
    <row r="6" spans="1:25" x14ac:dyDescent="0.35">
      <c r="A6" s="39">
        <v>2028</v>
      </c>
      <c r="B6">
        <v>0.9999999652712831</v>
      </c>
      <c r="C6">
        <v>176032.99930631774</v>
      </c>
      <c r="D6">
        <v>187389.07377777065</v>
      </c>
      <c r="E6">
        <v>181896.04447797136</v>
      </c>
      <c r="F6">
        <v>59020.533719999999</v>
      </c>
      <c r="G6" s="43">
        <f>F6+E5</f>
        <v>173328.30554833828</v>
      </c>
      <c r="H6" s="44">
        <f t="shared" si="1"/>
        <v>-2704.6937579794612</v>
      </c>
      <c r="I6" s="33">
        <f>E6-D6</f>
        <v>-5493.0292997992947</v>
      </c>
      <c r="K6" t="str">
        <f t="shared" si="0"/>
        <v>2028, 0.999999965271283, 176032.999306318, 187389.073777771, 181896.044477971, 59020.53372, 173328.305548338, -2704.69375797946, -5493.02929979929</v>
      </c>
      <c r="N6" s="39">
        <v>2027</v>
      </c>
      <c r="O6">
        <v>33657.549999999996</v>
      </c>
      <c r="P6">
        <v>75179.849927642223</v>
      </c>
      <c r="Q6">
        <v>108837.39992764223</v>
      </c>
      <c r="V6" s="21">
        <v>400000</v>
      </c>
      <c r="W6" s="21">
        <v>400000</v>
      </c>
      <c r="X6" s="21">
        <v>300000</v>
      </c>
      <c r="Y6" s="21">
        <v>9500000</v>
      </c>
    </row>
    <row r="7" spans="1:25" x14ac:dyDescent="0.35">
      <c r="A7" s="39">
        <v>2029</v>
      </c>
      <c r="B7">
        <v>1.0000000222343552</v>
      </c>
      <c r="C7">
        <v>246999.81832685263</v>
      </c>
      <c r="D7">
        <v>262187.90756156069</v>
      </c>
      <c r="E7">
        <v>252938.81296131125</v>
      </c>
      <c r="F7">
        <v>59610.7390572</v>
      </c>
      <c r="G7" s="43">
        <f>F7+E6</f>
        <v>241506.78353517136</v>
      </c>
      <c r="H7" s="44">
        <f t="shared" si="1"/>
        <v>-5493.0347916812752</v>
      </c>
      <c r="I7" s="33">
        <f>E7-D7</f>
        <v>-9249.0946002494311</v>
      </c>
      <c r="K7" t="str">
        <f t="shared" si="0"/>
        <v>2029, 1.00000002223436, 246999.818326853, 262187.907561561, 252938.812961311, 59610.7390572, 241506.783535171, -5493.03479168128, -9249.09460024943</v>
      </c>
      <c r="N7" s="39">
        <v>2028</v>
      </c>
      <c r="O7">
        <v>95994.8</v>
      </c>
      <c r="P7">
        <v>75769.881738974029</v>
      </c>
      <c r="Q7">
        <v>171764.68173897403</v>
      </c>
    </row>
    <row r="8" spans="1:25" x14ac:dyDescent="0.35">
      <c r="A8" s="39">
        <v>2030</v>
      </c>
      <c r="B8">
        <v>1.000000039359018</v>
      </c>
      <c r="C8">
        <v>322394.76669847389</v>
      </c>
      <c r="D8">
        <v>342383.2039158679</v>
      </c>
      <c r="E8">
        <v>327924.55163454579</v>
      </c>
      <c r="F8">
        <v>60206.846447771997</v>
      </c>
      <c r="G8" s="43">
        <f>F8+E7</f>
        <v>313145.65940908325</v>
      </c>
      <c r="H8" s="44">
        <f t="shared" si="1"/>
        <v>-9249.1072893906385</v>
      </c>
      <c r="I8" s="33">
        <f>E8-D8</f>
        <v>-14458.652281322109</v>
      </c>
      <c r="K8" t="str">
        <f t="shared" si="0"/>
        <v>2030, 1.00000003935902, 322394.766698474, 342383.203915868, 327924.551634546, 60206.846447772, 313145.659409083, -9249.10728939064, -14458.6522813221</v>
      </c>
      <c r="N8" s="39">
        <v>2029</v>
      </c>
      <c r="O8">
        <v>101647.25</v>
      </c>
      <c r="P8">
        <v>137990.13140811367</v>
      </c>
      <c r="Q8">
        <v>239637.38140811367</v>
      </c>
      <c r="V8">
        <f>V4-V6</f>
        <v>6600000</v>
      </c>
      <c r="W8">
        <f>W4-W6</f>
        <v>-150000</v>
      </c>
      <c r="X8">
        <f>X4-X6</f>
        <v>3700000</v>
      </c>
      <c r="Y8">
        <f>Y4-Y6</f>
        <v>-9200000</v>
      </c>
    </row>
    <row r="9" spans="1:25" x14ac:dyDescent="0.35">
      <c r="A9" s="39">
        <v>2031</v>
      </c>
      <c r="B9">
        <v>0.99999999815931262</v>
      </c>
      <c r="C9">
        <v>403192.11808596703</v>
      </c>
      <c r="D9">
        <v>418531.50519623933</v>
      </c>
      <c r="E9">
        <v>407032.3083131485</v>
      </c>
      <c r="F9">
        <v>60808.914912249718</v>
      </c>
      <c r="G9" s="43">
        <f t="shared" ref="G9:G27" si="2">F9+E8</f>
        <v>388733.46654679551</v>
      </c>
      <c r="H9" s="44">
        <f t="shared" si="1"/>
        <v>-14458.651539171522</v>
      </c>
      <c r="I9" s="33">
        <f t="shared" ref="I9:I27" si="3">E9-D9</f>
        <v>-11499.19688309083</v>
      </c>
      <c r="K9" t="str">
        <f t="shared" si="0"/>
        <v>2031, 0.999999998159313, 403192.118085967, 418531.505196239, 407032.308313149, 60808.9149122497, 388733.466546796, -14458.6515391715, -11499.1968830908</v>
      </c>
      <c r="N9" s="39">
        <v>2030</v>
      </c>
      <c r="O9">
        <v>33856.839999999997</v>
      </c>
      <c r="P9">
        <v>278287.50295538607</v>
      </c>
      <c r="Q9">
        <v>312144.34295538603</v>
      </c>
    </row>
    <row r="10" spans="1:25" x14ac:dyDescent="0.35">
      <c r="A10" s="39">
        <v>2032</v>
      </c>
      <c r="B10">
        <v>0.9999999859608153</v>
      </c>
      <c r="C10">
        <v>486029.39392537961</v>
      </c>
      <c r="D10">
        <v>500011.45391180163</v>
      </c>
      <c r="E10">
        <v>484254.18706349412</v>
      </c>
      <c r="F10">
        <v>67497.895552597183</v>
      </c>
      <c r="G10" s="43">
        <f t="shared" si="2"/>
        <v>474530.20386574569</v>
      </c>
      <c r="H10" s="44">
        <f t="shared" si="1"/>
        <v>-11499.190059633926</v>
      </c>
      <c r="I10" s="33">
        <f t="shared" si="3"/>
        <v>-15757.26684830751</v>
      </c>
      <c r="K10" t="str">
        <f t="shared" si="0"/>
        <v>2032, 0.999999985960815, 486029.39392538, 500011.453911802, 484254.187063494, 67497.8955525972, 474530.203865746, -11499.1900596339, -15757.2668483075</v>
      </c>
      <c r="N10" s="39">
        <v>2031</v>
      </c>
      <c r="O10">
        <v>38139.72</v>
      </c>
      <c r="P10">
        <v>350934.68645605864</v>
      </c>
      <c r="Q10">
        <v>389074.40645605861</v>
      </c>
    </row>
    <row r="11" spans="1:25" x14ac:dyDescent="0.35">
      <c r="A11" s="39">
        <v>2033</v>
      </c>
      <c r="B11">
        <v>0.99999999621451485</v>
      </c>
      <c r="C11">
        <v>568184.32626907213</v>
      </c>
      <c r="D11">
        <v>586722.89931649226</v>
      </c>
      <c r="E11">
        <v>565868.62084257824</v>
      </c>
      <c r="F11">
        <v>68172.874508123146</v>
      </c>
      <c r="G11" s="43">
        <f t="shared" si="2"/>
        <v>552427.06157161726</v>
      </c>
      <c r="H11" s="44">
        <f t="shared" si="1"/>
        <v>-15757.26469745487</v>
      </c>
      <c r="I11" s="33">
        <f t="shared" si="3"/>
        <v>-20854.278473914019</v>
      </c>
      <c r="K11" t="str">
        <f t="shared" si="0"/>
        <v>2033, 0.999999996214515, 568184.326269072, 586722.899316492, 565868.620842578, 68172.8745081231, 552427.061571617, -15757.2646974549, -20854.278473914</v>
      </c>
      <c r="N11" s="39">
        <v>2032</v>
      </c>
      <c r="O11">
        <v>26031.9</v>
      </c>
      <c r="P11">
        <v>452829.34139460931</v>
      </c>
      <c r="Q11">
        <v>478861.24139460933</v>
      </c>
    </row>
    <row r="12" spans="1:25" x14ac:dyDescent="0.35">
      <c r="A12" s="39">
        <v>2034</v>
      </c>
      <c r="B12">
        <v>1.0000000126986368</v>
      </c>
      <c r="C12">
        <v>655577.5108946379</v>
      </c>
      <c r="D12">
        <v>679430.34994778503</v>
      </c>
      <c r="E12">
        <v>652103.30218039546</v>
      </c>
      <c r="F12">
        <v>68854.603253204376</v>
      </c>
      <c r="G12" s="43">
        <f t="shared" si="2"/>
        <v>634723.22409578261</v>
      </c>
      <c r="H12" s="44">
        <f t="shared" si="1"/>
        <v>-20854.28679885529</v>
      </c>
      <c r="I12" s="33">
        <f t="shared" si="3"/>
        <v>-27327.047767389566</v>
      </c>
      <c r="K12" t="str">
        <f t="shared" si="0"/>
        <v>2034, 1.00000001269864, 655577.510894638, 679430.349947785, 652103.302180395, 68854.6032532044, 634723.224095783, -20854.2867988553, -27327.0477673896</v>
      </c>
      <c r="N12" s="39">
        <v>2033</v>
      </c>
      <c r="O12">
        <v>65331.88</v>
      </c>
      <c r="P12">
        <v>493074.137128592</v>
      </c>
      <c r="Q12">
        <v>558406.01712859201</v>
      </c>
    </row>
    <row r="13" spans="1:25" x14ac:dyDescent="0.35">
      <c r="A13" s="39">
        <v>2035</v>
      </c>
      <c r="B13">
        <v>1.0000000239171603</v>
      </c>
      <c r="C13">
        <v>348973.50757997733</v>
      </c>
      <c r="D13">
        <v>365308.87353845232</v>
      </c>
      <c r="E13">
        <v>737996.09987693874</v>
      </c>
      <c r="F13">
        <v>69543.149285736421</v>
      </c>
      <c r="G13" s="43">
        <f t="shared" si="2"/>
        <v>721646.45146613184</v>
      </c>
      <c r="H13" s="44">
        <f t="shared" si="1"/>
        <v>372672.94388615451</v>
      </c>
      <c r="I13" s="33">
        <f t="shared" si="3"/>
        <v>372687.22633848642</v>
      </c>
      <c r="K13" t="str">
        <f t="shared" si="0"/>
        <v>2035, 1.00000002391716, 348973.507579977, 365308.873538452, 737996.099876939, 69543.1492857364, 721646.451466132, 372672.943886155, 372687.226338486</v>
      </c>
      <c r="N13" s="39">
        <v>2034</v>
      </c>
      <c r="O13">
        <v>54521.919999999998</v>
      </c>
      <c r="P13">
        <v>587548.24230755796</v>
      </c>
      <c r="Q13">
        <v>642070.162307558</v>
      </c>
    </row>
    <row r="14" spans="1:25" x14ac:dyDescent="0.35">
      <c r="A14" s="39">
        <v>2036</v>
      </c>
      <c r="B14">
        <v>0.99999999390063199</v>
      </c>
      <c r="C14">
        <v>442501.76654663833</v>
      </c>
      <c r="D14">
        <v>454489.05710031989</v>
      </c>
      <c r="E14">
        <v>834414.46125671349</v>
      </c>
      <c r="F14">
        <v>77192.895707167438</v>
      </c>
      <c r="G14" s="43">
        <f>F14+E13</f>
        <v>815188.99558410619</v>
      </c>
      <c r="H14" s="44">
        <f t="shared" si="1"/>
        <v>372687.22903746786</v>
      </c>
      <c r="I14" s="33">
        <f t="shared" si="3"/>
        <v>379925.4041563936</v>
      </c>
      <c r="K14" t="str">
        <f t="shared" si="0"/>
        <v>2036, 0.999999993900632, 442501.766546638, 454489.05710032, 834414.461256713, 77192.8957071674, 815188.995584106, 372687.229037468, 379925.404156394</v>
      </c>
      <c r="N14" s="39">
        <v>2035</v>
      </c>
      <c r="O14">
        <v>61418.94</v>
      </c>
      <c r="P14">
        <v>257289.4022225826</v>
      </c>
      <c r="Q14">
        <v>318708.34222258261</v>
      </c>
    </row>
    <row r="15" spans="1:25" x14ac:dyDescent="0.35">
      <c r="A15" s="39">
        <v>2037</v>
      </c>
      <c r="B15">
        <v>0.99999999236516612</v>
      </c>
      <c r="C15">
        <v>532453.87769936211</v>
      </c>
      <c r="D15">
        <v>549043.45517544611</v>
      </c>
      <c r="E15">
        <v>934912.94791451679</v>
      </c>
      <c r="F15">
        <v>77964.824664239117</v>
      </c>
      <c r="G15" s="43">
        <f t="shared" si="2"/>
        <v>912379.28592095256</v>
      </c>
      <c r="H15" s="44">
        <f t="shared" si="1"/>
        <v>379925.40822159045</v>
      </c>
      <c r="I15" s="33">
        <f t="shared" si="3"/>
        <v>385869.49273907067</v>
      </c>
      <c r="K15" t="str">
        <f t="shared" si="0"/>
        <v>2037, 0.999999992365166, 532453.877699362, 549043.455175446, 934912.947914517, 77964.8246642391, 912379.285920953, 379925.40822159, 385869.492739071</v>
      </c>
      <c r="N15" s="39">
        <v>2036</v>
      </c>
      <c r="O15">
        <v>13421.92</v>
      </c>
      <c r="P15">
        <v>395921.11036500696</v>
      </c>
      <c r="Q15">
        <v>409343.03036500694</v>
      </c>
    </row>
    <row r="16" spans="1:25" x14ac:dyDescent="0.35">
      <c r="A16" s="39">
        <v>2038</v>
      </c>
      <c r="B16">
        <v>0.9999999900174471</v>
      </c>
      <c r="C16">
        <v>627787.92181940225</v>
      </c>
      <c r="D16">
        <v>648728.2735577788</v>
      </c>
      <c r="E16">
        <v>1038914.3608981323</v>
      </c>
      <c r="F16">
        <v>78744.472910881508</v>
      </c>
      <c r="G16" s="43">
        <f t="shared" si="2"/>
        <v>1013657.4208253983</v>
      </c>
      <c r="H16" s="44">
        <f t="shared" si="1"/>
        <v>385869.49900599604</v>
      </c>
      <c r="I16" s="33">
        <f t="shared" si="3"/>
        <v>390186.08734035352</v>
      </c>
      <c r="K16" t="str">
        <f t="shared" si="0"/>
        <v>2038, 0.999999990017447, 627787.921819402, 648728.273557779, 1038914.36089813, 78744.4729108815, 1013657.4208254, 385869.499005996, 390186.087340354</v>
      </c>
      <c r="N16" s="39">
        <v>2037</v>
      </c>
      <c r="O16">
        <v>109639.49</v>
      </c>
      <c r="P16">
        <v>388283.66925769625</v>
      </c>
      <c r="Q16">
        <v>497923.15925769624</v>
      </c>
    </row>
    <row r="17" spans="1:17" x14ac:dyDescent="0.35">
      <c r="A17" s="39">
        <v>2039</v>
      </c>
      <c r="B17">
        <v>1.0000000034827483</v>
      </c>
      <c r="C17">
        <v>728260.19373411627</v>
      </c>
      <c r="D17">
        <v>746521.70642134512</v>
      </c>
      <c r="E17">
        <v>1147490.2792554777</v>
      </c>
      <c r="F17">
        <v>79531.917639990323</v>
      </c>
      <c r="G17" s="43">
        <f t="shared" si="2"/>
        <v>1118446.2785381225</v>
      </c>
      <c r="H17" s="44">
        <f t="shared" si="1"/>
        <v>390186.08480400627</v>
      </c>
      <c r="I17" s="33">
        <f t="shared" si="3"/>
        <v>400968.57283413259</v>
      </c>
      <c r="K17" t="str">
        <f t="shared" si="0"/>
        <v>2039, 1.00000000348275, 728260.193734116, 746521.706421345, 1147490.27925548, 79531.9176399903, 1118446.27853812, 390186.084804006, 400968.572834133</v>
      </c>
      <c r="N17" s="39">
        <v>2038</v>
      </c>
      <c r="O17">
        <v>111868.08</v>
      </c>
      <c r="P17">
        <v>480254.83533189422</v>
      </c>
      <c r="Q17">
        <v>592122.91533189418</v>
      </c>
    </row>
    <row r="18" spans="1:17" x14ac:dyDescent="0.35">
      <c r="A18" s="39">
        <v>2040</v>
      </c>
      <c r="B18">
        <v>1.0000000104168323</v>
      </c>
      <c r="C18">
        <v>434802.13953099551</v>
      </c>
      <c r="D18">
        <v>448624.67571196135</v>
      </c>
      <c r="E18">
        <v>1267553.7510345606</v>
      </c>
      <c r="F18">
        <v>88280.428580389256</v>
      </c>
      <c r="G18" s="43">
        <f t="shared" si="2"/>
        <v>1235770.7078358671</v>
      </c>
      <c r="H18" s="44">
        <f t="shared" si="1"/>
        <v>800968.56830487156</v>
      </c>
      <c r="I18" s="33">
        <f t="shared" si="3"/>
        <v>818929.07532259927</v>
      </c>
      <c r="K18" t="str">
        <f t="shared" si="0"/>
        <v>2040, 1.00000001041683, 434802.139530996, 448624.675711961, 1267553.75103456, 88280.4285803893, 1235770.70783587, 800968.568304872, 818929.075322599</v>
      </c>
      <c r="N18" s="39">
        <v>2039</v>
      </c>
      <c r="O18">
        <v>98907.01</v>
      </c>
      <c r="P18">
        <v>592620.69985055085</v>
      </c>
      <c r="Q18">
        <v>691527.70985055086</v>
      </c>
    </row>
    <row r="19" spans="1:17" x14ac:dyDescent="0.35">
      <c r="A19" s="39">
        <v>2041</v>
      </c>
      <c r="B19">
        <v>1.0000000073198736</v>
      </c>
      <c r="C19">
        <v>537787.91251469497</v>
      </c>
      <c r="D19">
        <v>557464.59389510099</v>
      </c>
      <c r="E19">
        <v>1392963.2263472516</v>
      </c>
      <c r="F19">
        <v>89163.232866193153</v>
      </c>
      <c r="G19" s="43">
        <f t="shared" si="2"/>
        <v>1356716.9839007538</v>
      </c>
      <c r="H19" s="44">
        <f t="shared" si="1"/>
        <v>818929.07138605881</v>
      </c>
      <c r="I19" s="33">
        <f t="shared" si="3"/>
        <v>835498.63245215057</v>
      </c>
      <c r="K19" t="str">
        <f t="shared" si="0"/>
        <v>2041, 1.00000000731987, 537787.912514695, 557464.593895101, 1392963.22634725, 89163.2328661932, 1356716.98390075, 818929.071386059, 835498.632452151</v>
      </c>
      <c r="N19" s="39">
        <v>2040</v>
      </c>
      <c r="O19">
        <v>111418.75</v>
      </c>
      <c r="P19">
        <v>606789.86283251259</v>
      </c>
      <c r="Q19">
        <v>718208.61283251259</v>
      </c>
    </row>
    <row r="20" spans="1:17" x14ac:dyDescent="0.35">
      <c r="A20" s="39">
        <v>2042</v>
      </c>
      <c r="B20">
        <v>1.000000006589558</v>
      </c>
      <c r="C20">
        <v>647519.46335682343</v>
      </c>
      <c r="D20">
        <v>671595.27220662369</v>
      </c>
      <c r="E20">
        <v>1522876.4652008261</v>
      </c>
      <c r="F20">
        <v>90054.865194855098</v>
      </c>
      <c r="G20" s="43">
        <f t="shared" si="2"/>
        <v>1483018.0915421066</v>
      </c>
      <c r="H20" s="44">
        <f t="shared" si="1"/>
        <v>835498.62818528316</v>
      </c>
      <c r="I20" s="33">
        <f t="shared" si="3"/>
        <v>851281.19299420237</v>
      </c>
      <c r="K20" t="str">
        <f t="shared" si="0"/>
        <v>2042, 1.00000000658956, 647519.463356823, 671595.272206624, 1522876.46520083, 90054.8651948551, 1483018.09154211, 835498.628185283, 851281.192994202</v>
      </c>
      <c r="N20" s="39">
        <v>2041</v>
      </c>
      <c r="O20">
        <v>125513.22</v>
      </c>
      <c r="P20">
        <v>709044.85936651682</v>
      </c>
      <c r="Q20">
        <v>834558.07936651679</v>
      </c>
    </row>
    <row r="21" spans="1:17" x14ac:dyDescent="0.35">
      <c r="A21" s="39">
        <v>2043</v>
      </c>
      <c r="B21">
        <v>0.99999998932661716</v>
      </c>
      <c r="C21">
        <v>762550.67791443435</v>
      </c>
      <c r="D21">
        <v>791971.36806881265</v>
      </c>
      <c r="E21">
        <v>1658412.6692597421</v>
      </c>
      <c r="F21">
        <v>90955.413846803654</v>
      </c>
      <c r="G21" s="43">
        <f t="shared" si="2"/>
        <v>1613831.8790476297</v>
      </c>
      <c r="H21" s="44">
        <f t="shared" si="1"/>
        <v>851281.20113319531</v>
      </c>
      <c r="I21" s="33">
        <f t="shared" si="3"/>
        <v>866441.30119092949</v>
      </c>
      <c r="K21" t="str">
        <f t="shared" si="0"/>
        <v>2043, 0.999999989326617, 762550.677914434, 791971.368068813, 1658412.66925974, 90955.4138468037, 1613831.87904763, 851281.201133195, 866441.301190929</v>
      </c>
      <c r="N21" s="39">
        <v>2042</v>
      </c>
      <c r="O21">
        <v>141390.64000000001</v>
      </c>
      <c r="P21">
        <v>815633.18712987169</v>
      </c>
      <c r="Q21">
        <v>957023.8271298717</v>
      </c>
    </row>
    <row r="22" spans="1:17" x14ac:dyDescent="0.35">
      <c r="A22" s="39">
        <v>2044</v>
      </c>
      <c r="B22">
        <v>1.000000007168002</v>
      </c>
      <c r="C22">
        <v>892931.88383930444</v>
      </c>
      <c r="D22">
        <v>928246.46877677552</v>
      </c>
      <c r="E22">
        <v>1807016.0186745105</v>
      </c>
      <c r="F22">
        <v>100960.50936995204</v>
      </c>
      <c r="G22" s="43">
        <f t="shared" si="2"/>
        <v>1759373.1786296943</v>
      </c>
      <c r="H22" s="44">
        <f t="shared" si="1"/>
        <v>866441.29479038983</v>
      </c>
      <c r="I22" s="33">
        <f t="shared" si="3"/>
        <v>878769.54989773501</v>
      </c>
      <c r="K22" t="str">
        <f t="shared" si="0"/>
        <v>2044, 1.000000007168, 892931.883839304, 928246.468776776, 1807016.01867451, 100960.509369952, 1759373.17862969, 866441.29479039, 878769.549897735</v>
      </c>
      <c r="N22" s="39">
        <v>2043</v>
      </c>
      <c r="O22">
        <v>159276.56</v>
      </c>
      <c r="P22">
        <v>926622.62219855096</v>
      </c>
      <c r="Q22">
        <v>1085899.182198551</v>
      </c>
    </row>
    <row r="23" spans="1:17" x14ac:dyDescent="0.35">
      <c r="A23" s="39">
        <v>2045</v>
      </c>
      <c r="B23">
        <v>1.0000000102782645</v>
      </c>
      <c r="C23">
        <v>730216.59074578912</v>
      </c>
      <c r="D23">
        <v>764787.78051994182</v>
      </c>
      <c r="E23">
        <v>1962506.4898724984</v>
      </c>
      <c r="F23">
        <v>101970.11446365155</v>
      </c>
      <c r="G23" s="43">
        <f t="shared" si="2"/>
        <v>1908986.1331381621</v>
      </c>
      <c r="H23" s="44">
        <f t="shared" si="1"/>
        <v>1178769.5423923731</v>
      </c>
      <c r="I23" s="33">
        <f t="shared" si="3"/>
        <v>1197718.7093525566</v>
      </c>
      <c r="K23" t="str">
        <f t="shared" si="0"/>
        <v>2045, 1.00000001027826, 730216.590745789, 764787.780519942, 1962506.4898725, 101970.114463652, 1908986.13313816, 1178769.54239237, 1197718.70935256</v>
      </c>
      <c r="N23" s="39">
        <v>2044</v>
      </c>
      <c r="O23">
        <v>179425.05000000002</v>
      </c>
      <c r="P23">
        <v>1051018.6987870554</v>
      </c>
      <c r="Q23">
        <v>1230443.7487870555</v>
      </c>
    </row>
    <row r="24" spans="1:17" x14ac:dyDescent="0.35">
      <c r="A24" s="39">
        <v>2046</v>
      </c>
      <c r="B24">
        <v>0.99999999817199381</v>
      </c>
      <c r="C24">
        <v>867777.59454192827</v>
      </c>
      <c r="D24">
        <v>908378.78247081267</v>
      </c>
      <c r="E24">
        <v>2123155.0544931153</v>
      </c>
      <c r="F24">
        <v>102989.81560828809</v>
      </c>
      <c r="G24" s="43">
        <f t="shared" si="2"/>
        <v>2065496.3054807866</v>
      </c>
      <c r="H24" s="44">
        <f t="shared" si="1"/>
        <v>1197718.7109388583</v>
      </c>
      <c r="I24" s="33">
        <f t="shared" si="3"/>
        <v>1214776.2720223027</v>
      </c>
      <c r="K24" t="str">
        <f t="shared" si="0"/>
        <v>2046, 0.999999998171994, 867777.594541928, 908378.782470813, 2123155.05449312, 102989.815608288, 2065496.30548079, 1197718.71093886, 1214776.2720223</v>
      </c>
      <c r="N24" s="39">
        <v>2045</v>
      </c>
      <c r="O24">
        <v>202122.32</v>
      </c>
      <c r="P24">
        <v>831503.51089308201</v>
      </c>
      <c r="Q24">
        <v>1033625.8308930821</v>
      </c>
    </row>
    <row r="25" spans="1:17" x14ac:dyDescent="0.35">
      <c r="A25" s="39">
        <v>2047</v>
      </c>
      <c r="B25">
        <v>0.99999999982417409</v>
      </c>
      <c r="C25">
        <v>1012398.4960571794</v>
      </c>
      <c r="D25">
        <v>1060120.9749821154</v>
      </c>
      <c r="E25">
        <v>2289236.3669333747</v>
      </c>
      <c r="F25">
        <v>104019.71376437096</v>
      </c>
      <c r="G25" s="43">
        <f t="shared" si="2"/>
        <v>2227174.7682574862</v>
      </c>
      <c r="H25" s="44">
        <f t="shared" si="1"/>
        <v>1214776.2722003069</v>
      </c>
      <c r="I25" s="33">
        <f t="shared" si="3"/>
        <v>1229115.3919512592</v>
      </c>
      <c r="K25" t="str">
        <f t="shared" si="0"/>
        <v>2047, 0.999999999824174, 1012398.49605718, 1060120.97498212, 2289236.36693337, 104019.713764371, 2227174.76825749, 1214776.27220031, 1229115.39195126</v>
      </c>
      <c r="N25" s="39">
        <v>2046</v>
      </c>
      <c r="O25">
        <v>227690.78999999998</v>
      </c>
      <c r="P25">
        <v>955533.22582097398</v>
      </c>
      <c r="Q25">
        <v>1183224.015820974</v>
      </c>
    </row>
    <row r="26" spans="1:17" x14ac:dyDescent="0.35">
      <c r="A26" s="39">
        <v>2048</v>
      </c>
      <c r="B26">
        <v>1.0000000030079716</v>
      </c>
      <c r="C26">
        <v>1175582.8607966877</v>
      </c>
      <c r="D26">
        <v>1230895.385601986</v>
      </c>
      <c r="E26">
        <v>2472646.2561587961</v>
      </c>
      <c r="F26">
        <v>115461.88227845177</v>
      </c>
      <c r="G26" s="43">
        <f t="shared" si="2"/>
        <v>2404698.2492118264</v>
      </c>
      <c r="H26" s="44">
        <f t="shared" si="1"/>
        <v>1229115.3884151387</v>
      </c>
      <c r="I26" s="33">
        <f t="shared" si="3"/>
        <v>1241750.8705568102</v>
      </c>
      <c r="K26" t="str">
        <f t="shared" si="0"/>
        <v>2048, 1.00000000300797, 1175582.86079669, 1230895.38560199, 2472646.2561588, 115461.882278452, 2404698.24921183, 1229115.38841514, 1241750.87055681</v>
      </c>
      <c r="N26" s="39">
        <v>2047</v>
      </c>
      <c r="O26">
        <v>256493.68</v>
      </c>
      <c r="P26">
        <v>1085434.7911458798</v>
      </c>
      <c r="Q26">
        <v>1341928.4711458797</v>
      </c>
    </row>
    <row r="27" spans="1:17" x14ac:dyDescent="0.35">
      <c r="A27" s="39">
        <v>2049</v>
      </c>
      <c r="B27">
        <v>1.0000000098908999</v>
      </c>
      <c r="C27">
        <v>1347511.9000313289</v>
      </c>
      <c r="D27">
        <v>1410217.2689329719</v>
      </c>
      <c r="E27">
        <v>2359306.3771783374</v>
      </c>
      <c r="F27">
        <v>116616.50110123628</v>
      </c>
      <c r="G27" s="43">
        <f t="shared" si="2"/>
        <v>2589262.7572600325</v>
      </c>
      <c r="H27" s="44">
        <f t="shared" si="1"/>
        <v>1241750.8572287036</v>
      </c>
      <c r="I27" s="33">
        <f t="shared" si="3"/>
        <v>949089.10824536555</v>
      </c>
      <c r="K27" t="str">
        <f t="shared" si="0"/>
        <v>2049, 1.0000000098909, 1347511.90003133, 1410217.26893297, 2359306.37717834, 116616.501101236, 2589262.75726003, 1241750.8572287, 949089.108245366</v>
      </c>
      <c r="N27" s="39">
        <v>2048</v>
      </c>
      <c r="O27">
        <v>288940.12</v>
      </c>
      <c r="P27">
        <v>1231297.0572747937</v>
      </c>
      <c r="Q27">
        <v>1520237.1772747939</v>
      </c>
    </row>
    <row r="28" spans="1:17" x14ac:dyDescent="0.35">
      <c r="A28" s="39">
        <v>2050</v>
      </c>
      <c r="B28">
        <v>0.99999999980695609</v>
      </c>
      <c r="C28">
        <v>1527999.9347502526</v>
      </c>
      <c r="D28">
        <v>1598501.8486579061</v>
      </c>
      <c r="E28">
        <v>2548429.8035304192</v>
      </c>
      <c r="F28">
        <v>117782.66611224865</v>
      </c>
      <c r="G28" s="43">
        <f>F28+E27</f>
        <v>2477089.0432905862</v>
      </c>
      <c r="H28" s="44">
        <f t="shared" si="1"/>
        <v>949089.10854033357</v>
      </c>
      <c r="I28" s="33">
        <f>E28-D28</f>
        <v>949927.95487251319</v>
      </c>
      <c r="K28" t="str">
        <f t="shared" si="0"/>
        <v>2050, 0.999999999806956, 1527999.93475025, 1598501.84865791, 2548429.80353042, 117782.666112249, 2477089.04329059, 949089.108540334, 949927.954872513</v>
      </c>
      <c r="N28" s="39">
        <v>2049</v>
      </c>
      <c r="O28">
        <v>325491.05000000005</v>
      </c>
      <c r="P28">
        <v>1380806.0935342114</v>
      </c>
      <c r="Q28">
        <v>1706297.1435342114</v>
      </c>
    </row>
    <row r="29" spans="1:17" x14ac:dyDescent="0.35">
      <c r="A29" s="39">
        <v>2051</v>
      </c>
      <c r="B29">
        <v>1.0000000032703762</v>
      </c>
      <c r="C29">
        <v>1717462.3470480354</v>
      </c>
      <c r="D29">
        <v>1796380.4267973446</v>
      </c>
      <c r="E29">
        <v>2746751.6745523522</v>
      </c>
      <c r="F29">
        <v>118960.49277337115</v>
      </c>
      <c r="G29" s="43">
        <f t="shared" ref="G29:G53" si="4">F29+E28</f>
        <v>2667390.2963037905</v>
      </c>
      <c r="H29" s="44">
        <f t="shared" ref="H29:H53" si="5">G29-C29</f>
        <v>949927.94925575517</v>
      </c>
      <c r="I29" s="33">
        <f t="shared" ref="I29:I53" si="6">E29-D29</f>
        <v>950371.24775500759</v>
      </c>
      <c r="N29" s="39">
        <v>2050</v>
      </c>
      <c r="O29">
        <v>366665.67000000004</v>
      </c>
      <c r="P29">
        <v>1533778.3959818189</v>
      </c>
      <c r="Q29">
        <v>1900444.0659818188</v>
      </c>
    </row>
    <row r="30" spans="1:17" x14ac:dyDescent="0.35">
      <c r="A30" s="39">
        <v>2052</v>
      </c>
      <c r="B30">
        <v>0.99999999996610645</v>
      </c>
      <c r="C30">
        <v>1916530.5244334983</v>
      </c>
      <c r="D30">
        <v>2001205.3200683543</v>
      </c>
      <c r="E30">
        <v>2952348.6855961424</v>
      </c>
      <c r="F30">
        <v>120150.09770110488</v>
      </c>
      <c r="G30" s="43">
        <f t="shared" si="4"/>
        <v>2866901.772253457</v>
      </c>
      <c r="H30" s="44">
        <f t="shared" si="5"/>
        <v>950371.24781995872</v>
      </c>
      <c r="I30" s="33">
        <f t="shared" si="6"/>
        <v>951143.36552778818</v>
      </c>
      <c r="N30" s="39">
        <v>2051</v>
      </c>
      <c r="O30">
        <v>413048.87</v>
      </c>
      <c r="P30">
        <v>1691078.0717289275</v>
      </c>
      <c r="Q30">
        <v>2104126.9417289277</v>
      </c>
    </row>
    <row r="31" spans="1:17" x14ac:dyDescent="0.35">
      <c r="A31" s="39">
        <v>2053</v>
      </c>
      <c r="B31">
        <v>1.0000000034978194</v>
      </c>
      <c r="C31">
        <v>2122556.9261707976</v>
      </c>
      <c r="D31">
        <v>2216817.9170238106</v>
      </c>
      <c r="E31">
        <v>3162887.1696822746</v>
      </c>
      <c r="F31">
        <v>121351.5986781159</v>
      </c>
      <c r="G31" s="43">
        <f t="shared" si="4"/>
        <v>3073700.2842742582</v>
      </c>
      <c r="H31" s="44">
        <f t="shared" si="5"/>
        <v>951143.35810346063</v>
      </c>
      <c r="I31" s="33">
        <f t="shared" si="6"/>
        <v>946069.25265846401</v>
      </c>
      <c r="N31" s="39">
        <v>2052</v>
      </c>
      <c r="O31">
        <v>465299.57</v>
      </c>
      <c r="P31">
        <v>1850450.3878522413</v>
      </c>
      <c r="Q31">
        <v>2315749.9578522411</v>
      </c>
    </row>
    <row r="32" spans="1:17" x14ac:dyDescent="0.35">
      <c r="A32" s="39">
        <v>2054</v>
      </c>
      <c r="B32">
        <v>1.0000000019944562</v>
      </c>
      <c r="C32">
        <v>2339383.0363545162</v>
      </c>
      <c r="D32">
        <v>2442345.7311205436</v>
      </c>
      <c r="E32">
        <v>3382311.1649215231</v>
      </c>
      <c r="F32">
        <v>122565.11466489708</v>
      </c>
      <c r="G32" s="43">
        <f t="shared" si="4"/>
        <v>3285452.2843471714</v>
      </c>
      <c r="H32" s="44">
        <f t="shared" si="5"/>
        <v>946069.24799265526</v>
      </c>
      <c r="I32" s="33">
        <f t="shared" si="6"/>
        <v>939965.43380097952</v>
      </c>
      <c r="N32" s="39">
        <v>2053</v>
      </c>
      <c r="O32">
        <v>524159.94999999995</v>
      </c>
      <c r="P32">
        <v>2014044.6457388066</v>
      </c>
      <c r="Q32">
        <v>2538204.5957388068</v>
      </c>
    </row>
    <row r="33" spans="1:17" x14ac:dyDescent="0.35">
      <c r="A33" s="39">
        <v>2055</v>
      </c>
      <c r="B33">
        <v>0.99999999808419704</v>
      </c>
      <c r="C33">
        <v>2566136.4920158908</v>
      </c>
      <c r="D33">
        <v>2677745.075554206</v>
      </c>
      <c r="E33">
        <v>3607257.8526262757</v>
      </c>
      <c r="F33">
        <v>123790.76581154604</v>
      </c>
      <c r="G33" s="43">
        <f t="shared" si="4"/>
        <v>3506101.9307330693</v>
      </c>
      <c r="H33" s="44">
        <f t="shared" si="5"/>
        <v>939965.43871717853</v>
      </c>
      <c r="I33" s="33">
        <f t="shared" si="6"/>
        <v>929512.7770720697</v>
      </c>
      <c r="N33" s="39">
        <v>2054</v>
      </c>
      <c r="O33">
        <v>590466.18999999994</v>
      </c>
      <c r="P33">
        <v>2178894.9847224737</v>
      </c>
      <c r="Q33">
        <v>2769361.1747224736</v>
      </c>
    </row>
    <row r="34" spans="1:17" x14ac:dyDescent="0.35">
      <c r="A34" s="39">
        <v>2056</v>
      </c>
      <c r="B34">
        <v>0.99999999681886986</v>
      </c>
      <c r="C34">
        <v>2802773.740107893</v>
      </c>
      <c r="D34">
        <v>2925484.0618790966</v>
      </c>
      <c r="E34">
        <v>3840559.4817236364</v>
      </c>
      <c r="F34">
        <v>125028.6734696615</v>
      </c>
      <c r="G34" s="43">
        <f t="shared" si="4"/>
        <v>3732286.526095937</v>
      </c>
      <c r="H34" s="44">
        <f t="shared" si="5"/>
        <v>929512.78598804399</v>
      </c>
      <c r="I34" s="33">
        <f t="shared" si="6"/>
        <v>915075.41984453984</v>
      </c>
      <c r="N34" s="39">
        <v>2055</v>
      </c>
      <c r="O34">
        <v>665160.16</v>
      </c>
      <c r="P34">
        <v>2346868.8221274945</v>
      </c>
      <c r="Q34">
        <v>3012028.9821274946</v>
      </c>
    </row>
    <row r="35" spans="1:17" x14ac:dyDescent="0.35">
      <c r="A35" s="39">
        <v>2057</v>
      </c>
      <c r="B35">
        <v>1.0000000025164995</v>
      </c>
      <c r="C35">
        <v>3051763.0297632222</v>
      </c>
      <c r="D35">
        <v>3182872.6642748481</v>
      </c>
      <c r="E35">
        <v>4079675.1288765064</v>
      </c>
      <c r="F35">
        <v>126278.96020435813</v>
      </c>
      <c r="G35" s="43">
        <f t="shared" si="4"/>
        <v>3966838.4419279946</v>
      </c>
      <c r="H35" s="44">
        <f t="shared" si="5"/>
        <v>915075.4121647724</v>
      </c>
      <c r="I35" s="33">
        <f t="shared" si="6"/>
        <v>896802.46460165828</v>
      </c>
      <c r="N35" s="39">
        <v>2056</v>
      </c>
      <c r="O35">
        <v>749302.92</v>
      </c>
      <c r="P35">
        <v>2514444.3639795491</v>
      </c>
      <c r="Q35">
        <v>3263747.2839795491</v>
      </c>
    </row>
    <row r="36" spans="1:17" x14ac:dyDescent="0.35">
      <c r="A36" s="39">
        <v>2058</v>
      </c>
      <c r="B36">
        <v>1.0000000029134861</v>
      </c>
      <c r="C36">
        <v>3310414.4237261061</v>
      </c>
      <c r="D36">
        <v>3452687.0381476507</v>
      </c>
      <c r="E36">
        <v>4328342.5810625656</v>
      </c>
      <c r="F36">
        <v>127541.7498064017</v>
      </c>
      <c r="G36" s="43">
        <f t="shared" si="4"/>
        <v>4207216.8786829077</v>
      </c>
      <c r="H36" s="44">
        <f t="shared" si="5"/>
        <v>896802.45495680161</v>
      </c>
      <c r="I36" s="33">
        <f t="shared" si="6"/>
        <v>875655.5429149149</v>
      </c>
      <c r="N36" s="39">
        <v>2057</v>
      </c>
      <c r="O36">
        <v>844089.74</v>
      </c>
      <c r="P36">
        <v>2684263.9061451624</v>
      </c>
      <c r="Q36">
        <v>3528353.6461451622</v>
      </c>
    </row>
    <row r="37" spans="1:17" x14ac:dyDescent="0.35">
      <c r="A37" s="39">
        <v>2059</v>
      </c>
      <c r="B37">
        <v>0.99999999936573869</v>
      </c>
      <c r="C37">
        <v>3581504.2031805119</v>
      </c>
      <c r="D37">
        <v>3735828.8382649035</v>
      </c>
      <c r="E37">
        <v>4585050.7117906064</v>
      </c>
      <c r="F37">
        <v>128817.16730446572</v>
      </c>
      <c r="G37" s="43">
        <f t="shared" si="4"/>
        <v>4457159.7483670311</v>
      </c>
      <c r="H37" s="44">
        <f t="shared" si="5"/>
        <v>875655.54518651916</v>
      </c>
      <c r="I37" s="33">
        <f t="shared" si="6"/>
        <v>849221.87352570286</v>
      </c>
      <c r="N37" s="39">
        <v>2058</v>
      </c>
      <c r="O37">
        <v>950867.09</v>
      </c>
      <c r="P37">
        <v>2854167.4290550742</v>
      </c>
      <c r="Q37">
        <v>3805034.5190550741</v>
      </c>
    </row>
    <row r="38" spans="1:17" x14ac:dyDescent="0.35">
      <c r="A38" s="39">
        <v>2060</v>
      </c>
      <c r="B38">
        <v>1.0000000002392955</v>
      </c>
      <c r="C38">
        <v>3865934.1781675206</v>
      </c>
      <c r="D38">
        <v>4032397.9807465696</v>
      </c>
      <c r="E38">
        <v>4850647.5889690677</v>
      </c>
      <c r="F38">
        <v>130105.33897751037</v>
      </c>
      <c r="G38" s="43">
        <f t="shared" si="4"/>
        <v>4715156.0507681165</v>
      </c>
      <c r="H38" s="44">
        <f t="shared" si="5"/>
        <v>849221.87260059593</v>
      </c>
      <c r="I38" s="33">
        <f t="shared" si="6"/>
        <v>818249.60822249809</v>
      </c>
      <c r="N38" s="39">
        <v>2059</v>
      </c>
      <c r="O38">
        <v>1071151.79</v>
      </c>
      <c r="P38">
        <v>3021078.9742169855</v>
      </c>
      <c r="Q38">
        <v>4092230.7642169856</v>
      </c>
    </row>
    <row r="39" spans="1:17" x14ac:dyDescent="0.35">
      <c r="A39" s="39">
        <v>2061</v>
      </c>
      <c r="B39">
        <v>0.99999999776961368</v>
      </c>
      <c r="C39">
        <v>4176814.8976957169</v>
      </c>
      <c r="D39">
        <v>4359806.8530008933</v>
      </c>
      <c r="E39">
        <v>5140695.9907967262</v>
      </c>
      <c r="F39">
        <v>144416.92626503651</v>
      </c>
      <c r="G39" s="43">
        <f t="shared" si="4"/>
        <v>4995064.5152341044</v>
      </c>
      <c r="H39" s="44">
        <f t="shared" si="5"/>
        <v>818249.61753838742</v>
      </c>
      <c r="I39" s="33">
        <f t="shared" si="6"/>
        <v>780889.13779583294</v>
      </c>
      <c r="N39" s="39">
        <v>2060</v>
      </c>
      <c r="O39">
        <v>1206652.48</v>
      </c>
      <c r="P39">
        <v>3191108.9321955475</v>
      </c>
      <c r="Q39">
        <v>4397761.4121955475</v>
      </c>
    </row>
    <row r="40" spans="1:17" x14ac:dyDescent="0.35">
      <c r="A40" s="39">
        <v>2062</v>
      </c>
      <c r="B40">
        <v>0.99999999757251712</v>
      </c>
      <c r="C40">
        <v>4505667.937591156</v>
      </c>
      <c r="D40">
        <v>4701348.0352451894</v>
      </c>
      <c r="E40">
        <v>5439570.9362695683</v>
      </c>
      <c r="F40">
        <v>145861.09552768685</v>
      </c>
      <c r="G40" s="43">
        <f t="shared" si="4"/>
        <v>5286557.0863244133</v>
      </c>
      <c r="H40" s="44">
        <f t="shared" si="5"/>
        <v>780889.14873325732</v>
      </c>
      <c r="I40" s="33">
        <f t="shared" si="6"/>
        <v>738222.90102437884</v>
      </c>
      <c r="N40" s="39">
        <v>2061</v>
      </c>
      <c r="O40">
        <v>1359294.02</v>
      </c>
      <c r="P40">
        <v>3367911.4507866562</v>
      </c>
      <c r="Q40">
        <v>4727205.4707866563</v>
      </c>
    </row>
    <row r="41" spans="1:17" x14ac:dyDescent="0.35">
      <c r="A41" s="39">
        <v>2063</v>
      </c>
      <c r="B41">
        <v>0.99999999929547334</v>
      </c>
      <c r="C41">
        <v>4848667.7383121466</v>
      </c>
      <c r="D41">
        <v>5054672.5983349932</v>
      </c>
      <c r="E41">
        <v>5752563.5027775494</v>
      </c>
      <c r="F41">
        <v>147319.70648296372</v>
      </c>
      <c r="G41" s="43">
        <f t="shared" si="4"/>
        <v>5586890.6427525319</v>
      </c>
      <c r="H41" s="44">
        <f t="shared" si="5"/>
        <v>738222.90444038529</v>
      </c>
      <c r="I41" s="33">
        <f t="shared" si="6"/>
        <v>697890.9044425562</v>
      </c>
      <c r="N41" s="39">
        <v>2062</v>
      </c>
      <c r="O41">
        <v>1531244.71</v>
      </c>
      <c r="P41">
        <v>3543147.070232308</v>
      </c>
      <c r="Q41">
        <v>5074391.7802323084</v>
      </c>
    </row>
    <row r="42" spans="1:17" x14ac:dyDescent="0.35">
      <c r="A42" s="39">
        <v>2064</v>
      </c>
      <c r="B42">
        <v>0.99999999844302256</v>
      </c>
      <c r="C42">
        <v>5203465.4937811252</v>
      </c>
      <c r="D42">
        <v>5425814.3348847022</v>
      </c>
      <c r="E42">
        <v>6071053.1447092947</v>
      </c>
      <c r="F42">
        <v>148792.90354779336</v>
      </c>
      <c r="G42" s="43">
        <f t="shared" si="4"/>
        <v>5901356.4063253431</v>
      </c>
      <c r="H42" s="44">
        <f t="shared" si="5"/>
        <v>697890.91254421789</v>
      </c>
      <c r="I42" s="33">
        <f t="shared" si="6"/>
        <v>645238.80982459243</v>
      </c>
      <c r="N42" s="39">
        <v>2063</v>
      </c>
      <c r="O42">
        <v>1724947.17</v>
      </c>
      <c r="P42">
        <v>3712383.3265957199</v>
      </c>
      <c r="Q42">
        <v>5437330.4965957198</v>
      </c>
    </row>
    <row r="43" spans="1:17" x14ac:dyDescent="0.35">
      <c r="A43" s="39">
        <v>2065</v>
      </c>
      <c r="B43">
        <v>1.0000000022816973</v>
      </c>
      <c r="C43">
        <v>5576095.1801909544</v>
      </c>
      <c r="D43">
        <v>5822007.0493149273</v>
      </c>
      <c r="E43">
        <v>6404744.9500594325</v>
      </c>
      <c r="F43">
        <v>150280.83258327132</v>
      </c>
      <c r="G43" s="43">
        <f t="shared" si="4"/>
        <v>6221333.9772925656</v>
      </c>
      <c r="H43" s="44">
        <f t="shared" si="5"/>
        <v>645238.79710161127</v>
      </c>
      <c r="I43" s="33">
        <f t="shared" si="6"/>
        <v>582737.90074450523</v>
      </c>
      <c r="N43" s="39">
        <v>2064</v>
      </c>
      <c r="O43">
        <v>1943152.9900000002</v>
      </c>
      <c r="P43">
        <v>3873865.2302508098</v>
      </c>
      <c r="Q43">
        <v>5817018.2202508096</v>
      </c>
    </row>
    <row r="44" spans="1:17" x14ac:dyDescent="0.35">
      <c r="A44" s="39">
        <v>2066</v>
      </c>
      <c r="B44">
        <v>0.99999999908650883</v>
      </c>
      <c r="C44">
        <v>5973790.6847670451</v>
      </c>
      <c r="D44">
        <v>6233208.9735486973</v>
      </c>
      <c r="E44">
        <v>6745628.0150179677</v>
      </c>
      <c r="F44">
        <v>151783.64090910403</v>
      </c>
      <c r="G44" s="43">
        <f t="shared" si="4"/>
        <v>6556528.5909685362</v>
      </c>
      <c r="H44" s="44">
        <f t="shared" si="5"/>
        <v>582737.90620149113</v>
      </c>
      <c r="I44" s="33">
        <f t="shared" si="6"/>
        <v>512419.04146927036</v>
      </c>
      <c r="N44" s="39">
        <v>2065</v>
      </c>
      <c r="O44">
        <v>2188961.85</v>
      </c>
      <c r="P44">
        <v>4021095.683214881</v>
      </c>
      <c r="Q44">
        <v>6210057.5332148811</v>
      </c>
    </row>
    <row r="45" spans="1:17" x14ac:dyDescent="0.35">
      <c r="A45" s="39">
        <v>2067</v>
      </c>
      <c r="B45">
        <v>0.99999999994782807</v>
      </c>
      <c r="C45">
        <v>6386510.4505337095</v>
      </c>
      <c r="D45">
        <v>6670092.4602350825</v>
      </c>
      <c r="E45">
        <v>7060443.8198132068</v>
      </c>
      <c r="F45">
        <v>153301.47731819507</v>
      </c>
      <c r="G45" s="43">
        <f t="shared" si="4"/>
        <v>6898929.4923361624</v>
      </c>
      <c r="H45" s="44">
        <f t="shared" si="5"/>
        <v>512419.04180245288</v>
      </c>
      <c r="I45" s="33">
        <f t="shared" si="6"/>
        <v>390351.35957812425</v>
      </c>
      <c r="N45" s="39">
        <v>2066</v>
      </c>
      <c r="O45">
        <v>2465865.5099999998</v>
      </c>
      <c r="P45">
        <v>4114616.1305097779</v>
      </c>
      <c r="Q45">
        <v>6580481.6405097777</v>
      </c>
    </row>
    <row r="46" spans="1:17" x14ac:dyDescent="0.35">
      <c r="A46" s="39">
        <v>2068</v>
      </c>
      <c r="B46">
        <v>1.0000000006231575</v>
      </c>
      <c r="C46">
        <v>6824926.9565794794</v>
      </c>
      <c r="D46">
        <v>7124926.727404261</v>
      </c>
      <c r="E46">
        <v>7359525.8154189307</v>
      </c>
      <c r="F46">
        <v>154834.49209137703</v>
      </c>
      <c r="G46" s="43">
        <f t="shared" si="4"/>
        <v>7215278.3119045841</v>
      </c>
      <c r="H46" s="44">
        <f t="shared" si="5"/>
        <v>390351.35532510467</v>
      </c>
      <c r="I46" s="33">
        <f t="shared" si="6"/>
        <v>234599.08801466972</v>
      </c>
      <c r="N46" s="39">
        <v>2067</v>
      </c>
      <c r="O46">
        <v>2338996.66</v>
      </c>
      <c r="P46">
        <v>4615994.1512247883</v>
      </c>
      <c r="Q46">
        <v>6954990.8112247884</v>
      </c>
    </row>
    <row r="47" spans="1:17" x14ac:dyDescent="0.35">
      <c r="A47" s="39">
        <v>2069</v>
      </c>
      <c r="B47">
        <v>0.99999999890627111</v>
      </c>
      <c r="C47">
        <v>7281309.5564527931</v>
      </c>
      <c r="D47">
        <v>7600351.7997258697</v>
      </c>
      <c r="E47">
        <v>7589562.0680079097</v>
      </c>
      <c r="F47">
        <v>156382.83701229081</v>
      </c>
      <c r="G47" s="43">
        <f t="shared" si="4"/>
        <v>7515908.6524312217</v>
      </c>
      <c r="H47" s="44">
        <f t="shared" si="5"/>
        <v>234599.09597842861</v>
      </c>
      <c r="I47" s="33">
        <f t="shared" si="6"/>
        <v>-10789.731717959978</v>
      </c>
      <c r="N47" s="39">
        <v>2068</v>
      </c>
      <c r="O47">
        <v>2386119.12</v>
      </c>
      <c r="P47">
        <v>4947967.9108187901</v>
      </c>
      <c r="Q47">
        <v>7334087.0308187902</v>
      </c>
    </row>
    <row r="48" spans="1:17" x14ac:dyDescent="0.35">
      <c r="A48" s="39">
        <v>2070</v>
      </c>
      <c r="B48">
        <v>1.0000000007084899</v>
      </c>
      <c r="C48">
        <v>7758298.4706049971</v>
      </c>
      <c r="D48">
        <v>8103167.0363139892</v>
      </c>
      <c r="E48">
        <v>7821891.5708250627</v>
      </c>
      <c r="F48">
        <v>157946.66538241372</v>
      </c>
      <c r="G48" s="43">
        <f t="shared" si="4"/>
        <v>7747508.7333903238</v>
      </c>
      <c r="H48" s="44">
        <f t="shared" si="5"/>
        <v>-10789.737214673311</v>
      </c>
      <c r="I48" s="33">
        <f t="shared" si="6"/>
        <v>-281275.46548892651</v>
      </c>
      <c r="N48" s="39">
        <v>2069</v>
      </c>
      <c r="O48">
        <v>1566316.7200000002</v>
      </c>
      <c r="P48">
        <v>6157483.1905647814</v>
      </c>
      <c r="Q48">
        <v>7723799.9105647821</v>
      </c>
    </row>
    <row r="49" spans="1:17" x14ac:dyDescent="0.35">
      <c r="A49" s="39">
        <v>2071</v>
      </c>
      <c r="B49">
        <v>1.0000000000265392</v>
      </c>
      <c r="C49">
        <v>8103167.0365290586</v>
      </c>
      <c r="D49">
        <v>8476322.1162396446</v>
      </c>
      <c r="E49">
        <v>7897163.3188742027</v>
      </c>
      <c r="F49">
        <v>0</v>
      </c>
      <c r="G49" s="43">
        <f t="shared" si="4"/>
        <v>7821891.5708250627</v>
      </c>
      <c r="H49" s="44">
        <f t="shared" si="5"/>
        <v>-281275.4657039959</v>
      </c>
      <c r="I49" s="33">
        <f t="shared" si="6"/>
        <v>-579158.79736544192</v>
      </c>
      <c r="N49" s="39">
        <v>2070</v>
      </c>
      <c r="P49">
        <v>8096271.2478290899</v>
      </c>
      <c r="Q49">
        <v>8096271.2478290899</v>
      </c>
    </row>
    <row r="50" spans="1:17" x14ac:dyDescent="0.35">
      <c r="A50" s="39">
        <v>2072</v>
      </c>
      <c r="B50">
        <v>1.0000000003989389</v>
      </c>
      <c r="C50">
        <v>8476322.119621193</v>
      </c>
      <c r="D50">
        <v>8862899.4986017905</v>
      </c>
      <c r="E50">
        <v>7973348.75078802</v>
      </c>
      <c r="F50">
        <v>0</v>
      </c>
      <c r="G50" s="43">
        <f t="shared" si="4"/>
        <v>7897163.3188742027</v>
      </c>
      <c r="H50" s="44">
        <f t="shared" si="5"/>
        <v>-579158.80074699037</v>
      </c>
      <c r="I50" s="33">
        <f t="shared" si="6"/>
        <v>-889550.74781377055</v>
      </c>
      <c r="N50" s="39">
        <v>2071</v>
      </c>
      <c r="O50">
        <v>1602295.23</v>
      </c>
      <c r="P50">
        <v>6665168.236235599</v>
      </c>
      <c r="Q50">
        <v>8267463.4662355985</v>
      </c>
    </row>
    <row r="51" spans="1:17" x14ac:dyDescent="0.35">
      <c r="A51" s="39">
        <v>2073</v>
      </c>
      <c r="B51">
        <v>1.0000000000420028</v>
      </c>
      <c r="C51">
        <v>8862899.4989740755</v>
      </c>
      <c r="D51">
        <v>9274987.7371702027</v>
      </c>
      <c r="E51">
        <v>8050165.7375944182</v>
      </c>
      <c r="F51">
        <v>0</v>
      </c>
      <c r="G51" s="43">
        <f t="shared" si="4"/>
        <v>7973348.75078802</v>
      </c>
      <c r="H51" s="44">
        <f t="shared" si="5"/>
        <v>-889550.74818605557</v>
      </c>
      <c r="I51" s="33">
        <f t="shared" si="6"/>
        <v>-1224821.9995757844</v>
      </c>
      <c r="N51" s="39">
        <v>2072</v>
      </c>
      <c r="P51">
        <v>8493969.3407039698</v>
      </c>
      <c r="Q51">
        <v>8493969.3407039698</v>
      </c>
    </row>
    <row r="52" spans="1:17" x14ac:dyDescent="0.35">
      <c r="A52" s="39">
        <v>2074</v>
      </c>
      <c r="B52">
        <v>1.0000000004608576</v>
      </c>
      <c r="C52">
        <v>9274987.7414446641</v>
      </c>
      <c r="D52">
        <v>9718233.3433715813</v>
      </c>
      <c r="E52">
        <v>1127058.8122220263</v>
      </c>
      <c r="F52">
        <v>0</v>
      </c>
      <c r="G52" s="43">
        <f t="shared" si="4"/>
        <v>8050165.7375944182</v>
      </c>
      <c r="H52" s="44">
        <f t="shared" si="5"/>
        <v>-1224822.0038502458</v>
      </c>
      <c r="I52" s="33">
        <f t="shared" si="6"/>
        <v>-8591174.531149555</v>
      </c>
      <c r="N52" s="39">
        <v>2073</v>
      </c>
      <c r="P52">
        <v>8673073.3667679299</v>
      </c>
      <c r="Q52">
        <v>8673073.3667679299</v>
      </c>
    </row>
    <row r="53" spans="1:17" x14ac:dyDescent="0.35">
      <c r="A53" s="39" t="s">
        <v>184</v>
      </c>
      <c r="E53">
        <v>1141211.5840800861</v>
      </c>
      <c r="F53">
        <v>0</v>
      </c>
      <c r="G53" s="43">
        <f t="shared" si="4"/>
        <v>1127058.8122220263</v>
      </c>
      <c r="H53" s="44">
        <f t="shared" si="5"/>
        <v>1127058.8122220263</v>
      </c>
      <c r="I53" s="33">
        <f t="shared" si="6"/>
        <v>1141211.5840800861</v>
      </c>
      <c r="N53" s="39">
        <v>2074</v>
      </c>
      <c r="P53">
        <v>8855740.4883264191</v>
      </c>
      <c r="Q53">
        <v>8855740.4883264191</v>
      </c>
    </row>
    <row r="54" spans="1:17" x14ac:dyDescent="0.35">
      <c r="A54" s="39">
        <v>2075</v>
      </c>
      <c r="B54">
        <v>0.99999996940303082</v>
      </c>
      <c r="C54">
        <v>218233.3366943046</v>
      </c>
      <c r="D54">
        <v>225058.13533738331</v>
      </c>
      <c r="N54" s="39" t="s">
        <v>182</v>
      </c>
      <c r="O54">
        <v>29852601.23</v>
      </c>
      <c r="P54">
        <v>119194834.99118838</v>
      </c>
      <c r="Q54">
        <v>149047436.2211884</v>
      </c>
    </row>
    <row r="55" spans="1:17" x14ac:dyDescent="0.35">
      <c r="A55" s="39" t="s">
        <v>182</v>
      </c>
      <c r="B55">
        <v>50.000000061996211</v>
      </c>
      <c r="C55">
        <v>136383184.89601555</v>
      </c>
      <c r="D55">
        <v>142401510.79198775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AF7DD-DBAF-4B63-9674-EF0EDE39543B}">
  <dimension ref="A1:S370"/>
  <sheetViews>
    <sheetView workbookViewId="0">
      <pane ySplit="1" topLeftCell="A2" activePane="bottomLeft" state="frozen"/>
      <selection pane="bottomLeft" activeCell="D10" sqref="D10"/>
    </sheetView>
  </sheetViews>
  <sheetFormatPr defaultRowHeight="14.5" x14ac:dyDescent="0.35"/>
  <cols>
    <col min="3" max="3" width="31.453125" bestFit="1" customWidth="1"/>
    <col min="4" max="5" width="11.81640625" bestFit="1" customWidth="1"/>
    <col min="6" max="6" width="6.81640625" bestFit="1" customWidth="1"/>
    <col min="7" max="10" width="11.81640625" bestFit="1" customWidth="1"/>
  </cols>
  <sheetData>
    <row r="1" spans="1:19" x14ac:dyDescent="0.35">
      <c r="A1" t="s">
        <v>1</v>
      </c>
      <c r="B1" t="s">
        <v>173</v>
      </c>
      <c r="C1" t="s">
        <v>168</v>
      </c>
      <c r="D1" t="s">
        <v>174</v>
      </c>
      <c r="E1" t="s">
        <v>183</v>
      </c>
      <c r="F1" t="s">
        <v>98</v>
      </c>
      <c r="G1" t="s">
        <v>175</v>
      </c>
      <c r="H1" t="s">
        <v>176</v>
      </c>
      <c r="I1" t="s">
        <v>177</v>
      </c>
      <c r="J1" t="s">
        <v>178</v>
      </c>
      <c r="K1" t="s">
        <v>199</v>
      </c>
      <c r="L1" t="s">
        <v>200</v>
      </c>
      <c r="M1" t="s">
        <v>201</v>
      </c>
      <c r="N1" t="s">
        <v>202</v>
      </c>
      <c r="O1" t="s">
        <v>203</v>
      </c>
      <c r="P1" t="s">
        <v>204</v>
      </c>
      <c r="Q1" t="s">
        <v>205</v>
      </c>
      <c r="R1" t="s">
        <v>206</v>
      </c>
      <c r="S1" t="s">
        <v>207</v>
      </c>
    </row>
    <row r="2" spans="1:19" x14ac:dyDescent="0.35">
      <c r="A2">
        <v>2026</v>
      </c>
      <c r="B2" t="s">
        <v>179</v>
      </c>
      <c r="C2" t="s">
        <v>106</v>
      </c>
      <c r="D2">
        <v>51664.91</v>
      </c>
      <c r="E2">
        <v>0.98137930903482096</v>
      </c>
      <c r="F2">
        <v>8.3999999999999894E-2</v>
      </c>
      <c r="G2">
        <v>4339.8524399999997</v>
      </c>
      <c r="H2">
        <v>737.77491480000003</v>
      </c>
      <c r="I2">
        <v>3602.0775251999999</v>
      </c>
      <c r="J2">
        <v>55266.987525199998</v>
      </c>
      <c r="K2">
        <v>187224.3</v>
      </c>
    </row>
    <row r="3" spans="1:19" x14ac:dyDescent="0.35">
      <c r="A3">
        <v>2026</v>
      </c>
      <c r="B3" t="s">
        <v>179</v>
      </c>
      <c r="C3" t="s">
        <v>107</v>
      </c>
      <c r="D3">
        <v>247.48</v>
      </c>
      <c r="E3">
        <v>4.70090340619847E-3</v>
      </c>
      <c r="F3">
        <v>6.8000000000000005E-2</v>
      </c>
      <c r="G3">
        <v>16.82864</v>
      </c>
      <c r="H3">
        <v>2.8608688</v>
      </c>
      <c r="I3">
        <v>13.9677712</v>
      </c>
      <c r="J3">
        <v>261.44777119999998</v>
      </c>
      <c r="K3">
        <v>187224.3</v>
      </c>
    </row>
    <row r="4" spans="1:19" x14ac:dyDescent="0.35">
      <c r="A4">
        <v>2026</v>
      </c>
      <c r="B4" t="s">
        <v>180</v>
      </c>
      <c r="C4" t="s">
        <v>161</v>
      </c>
      <c r="D4">
        <v>55.623945371069297</v>
      </c>
      <c r="E4">
        <v>1.05658151875326E-3</v>
      </c>
      <c r="F4">
        <v>4.8300000000000003E-2</v>
      </c>
      <c r="G4">
        <v>2.6866365614226502</v>
      </c>
      <c r="H4">
        <v>0.725391871584116</v>
      </c>
      <c r="I4">
        <v>1.9612446898385301</v>
      </c>
      <c r="J4">
        <v>57.585190060907799</v>
      </c>
      <c r="K4">
        <v>187224.3</v>
      </c>
    </row>
    <row r="5" spans="1:19" x14ac:dyDescent="0.35">
      <c r="A5">
        <v>2026</v>
      </c>
      <c r="B5" t="s">
        <v>180</v>
      </c>
      <c r="C5" t="s">
        <v>160</v>
      </c>
      <c r="D5">
        <v>433.80103880438702</v>
      </c>
      <c r="E5">
        <v>8.2400872027152908E-3</v>
      </c>
      <c r="F5">
        <v>4.9299999999999997E-2</v>
      </c>
      <c r="G5">
        <v>21.3863912130562</v>
      </c>
      <c r="H5">
        <v>5.7743256275251804</v>
      </c>
      <c r="I5">
        <v>15.612065585531001</v>
      </c>
      <c r="J5">
        <v>449.41310438991798</v>
      </c>
      <c r="K5">
        <v>187224.3</v>
      </c>
    </row>
    <row r="6" spans="1:19" x14ac:dyDescent="0.35">
      <c r="A6">
        <v>2026</v>
      </c>
      <c r="B6" t="s">
        <v>180</v>
      </c>
      <c r="C6" t="s">
        <v>159</v>
      </c>
      <c r="D6">
        <v>92.335530152093298</v>
      </c>
      <c r="E6">
        <v>1.7539211580940501E-3</v>
      </c>
      <c r="F6">
        <v>3.6299999999999999E-2</v>
      </c>
      <c r="G6">
        <v>3.35177974452098</v>
      </c>
      <c r="H6">
        <v>0.904980531020665</v>
      </c>
      <c r="I6">
        <v>2.4467992135003098</v>
      </c>
      <c r="J6">
        <v>94.782329365593597</v>
      </c>
      <c r="K6">
        <v>187224.3</v>
      </c>
    </row>
    <row r="7" spans="1:19" x14ac:dyDescent="0.35">
      <c r="A7">
        <v>2026</v>
      </c>
      <c r="B7" t="s">
        <v>180</v>
      </c>
      <c r="C7" t="s">
        <v>158</v>
      </c>
      <c r="D7">
        <v>151.05193348678901</v>
      </c>
      <c r="E7">
        <v>2.86924417585629E-3</v>
      </c>
      <c r="F7">
        <v>2.8299999999999999E-2</v>
      </c>
      <c r="G7">
        <v>4.2747697176761497</v>
      </c>
      <c r="H7">
        <v>1.15418782377256</v>
      </c>
      <c r="I7">
        <v>3.1205818939035899</v>
      </c>
      <c r="J7">
        <v>154.172515380693</v>
      </c>
      <c r="K7">
        <v>187224.3</v>
      </c>
    </row>
    <row r="8" spans="1:19" x14ac:dyDescent="0.35">
      <c r="A8">
        <v>2027</v>
      </c>
      <c r="B8" t="s">
        <v>179</v>
      </c>
      <c r="C8" t="s">
        <v>106</v>
      </c>
      <c r="D8">
        <v>106933.18</v>
      </c>
      <c r="E8">
        <v>0.97695092545320406</v>
      </c>
      <c r="F8">
        <v>8.3999999999999894E-2</v>
      </c>
      <c r="G8">
        <v>8982.3871200000103</v>
      </c>
      <c r="H8">
        <v>1527.0058104</v>
      </c>
      <c r="I8">
        <v>7455.3813096000104</v>
      </c>
      <c r="J8">
        <v>114388.5613096</v>
      </c>
      <c r="K8">
        <v>210908.17395</v>
      </c>
    </row>
    <row r="9" spans="1:19" x14ac:dyDescent="0.35">
      <c r="A9">
        <v>2027</v>
      </c>
      <c r="B9" t="s">
        <v>179</v>
      </c>
      <c r="C9" t="s">
        <v>107</v>
      </c>
      <c r="D9">
        <v>940.84</v>
      </c>
      <c r="E9">
        <v>8.5955968830571799E-3</v>
      </c>
      <c r="F9">
        <v>6.8000000000000005E-2</v>
      </c>
      <c r="G9">
        <v>63.977119999999999</v>
      </c>
      <c r="H9">
        <v>10.8761104</v>
      </c>
      <c r="I9">
        <v>53.101009599999998</v>
      </c>
      <c r="J9">
        <v>993.94100960000003</v>
      </c>
      <c r="K9">
        <v>210908.17395</v>
      </c>
    </row>
    <row r="10" spans="1:19" x14ac:dyDescent="0.35">
      <c r="A10">
        <v>2027</v>
      </c>
      <c r="B10" t="s">
        <v>180</v>
      </c>
      <c r="C10" t="s">
        <v>161</v>
      </c>
      <c r="D10">
        <v>455.77997966509702</v>
      </c>
      <c r="E10">
        <v>4.16404592977464E-3</v>
      </c>
      <c r="F10">
        <v>4.8300000000000003E-2</v>
      </c>
      <c r="G10">
        <v>22.014173017824099</v>
      </c>
      <c r="H10">
        <v>5.9438267148125297</v>
      </c>
      <c r="I10">
        <v>16.0703463030116</v>
      </c>
      <c r="J10">
        <v>471.850325968108</v>
      </c>
      <c r="K10">
        <v>210908.17395</v>
      </c>
    </row>
    <row r="11" spans="1:19" x14ac:dyDescent="0.35">
      <c r="A11">
        <v>2027</v>
      </c>
      <c r="B11" t="s">
        <v>180</v>
      </c>
      <c r="C11" t="s">
        <v>160</v>
      </c>
      <c r="D11">
        <v>540.63606239590194</v>
      </c>
      <c r="E11">
        <v>4.9392985553319601E-3</v>
      </c>
      <c r="F11">
        <v>4.9299999999999997E-2</v>
      </c>
      <c r="G11">
        <v>26.653357876117798</v>
      </c>
      <c r="H11">
        <v>7.1964066265518198</v>
      </c>
      <c r="I11">
        <v>19.456951249566</v>
      </c>
      <c r="J11">
        <v>560.09301364546798</v>
      </c>
      <c r="K11">
        <v>210908.17395</v>
      </c>
    </row>
    <row r="12" spans="1:19" x14ac:dyDescent="0.35">
      <c r="A12">
        <v>2027</v>
      </c>
      <c r="B12" t="s">
        <v>180</v>
      </c>
      <c r="C12" t="s">
        <v>159</v>
      </c>
      <c r="D12">
        <v>55.868709347354901</v>
      </c>
      <c r="E12">
        <v>5.1042143608536199E-4</v>
      </c>
      <c r="F12">
        <v>3.6299999999999999E-2</v>
      </c>
      <c r="G12">
        <v>2.0280341493089802</v>
      </c>
      <c r="H12">
        <v>0.54756922031342603</v>
      </c>
      <c r="I12">
        <v>1.48046492899556</v>
      </c>
      <c r="J12">
        <v>57.349174276350503</v>
      </c>
      <c r="K12">
        <v>210908.17395</v>
      </c>
    </row>
    <row r="13" spans="1:19" x14ac:dyDescent="0.35">
      <c r="A13">
        <v>2027</v>
      </c>
      <c r="B13" t="s">
        <v>180</v>
      </c>
      <c r="C13" t="s">
        <v>158</v>
      </c>
      <c r="D13">
        <v>529.73311030246703</v>
      </c>
      <c r="E13">
        <v>4.8396882272948296E-3</v>
      </c>
      <c r="F13">
        <v>2.8299999999999999E-2</v>
      </c>
      <c r="G13">
        <v>14.991447021559701</v>
      </c>
      <c r="H13">
        <v>4.0476906958211396</v>
      </c>
      <c r="I13">
        <v>10.943756325738599</v>
      </c>
      <c r="J13">
        <v>540.67686662820495</v>
      </c>
      <c r="K13">
        <v>210908.17395</v>
      </c>
    </row>
    <row r="14" spans="1:19" x14ac:dyDescent="0.35">
      <c r="A14">
        <v>2028</v>
      </c>
      <c r="B14" t="s">
        <v>179</v>
      </c>
      <c r="C14" t="s">
        <v>106</v>
      </c>
      <c r="D14">
        <v>77471.53</v>
      </c>
      <c r="E14">
        <v>0.44009661605949102</v>
      </c>
      <c r="F14">
        <v>8.3999999999999894E-2</v>
      </c>
      <c r="G14">
        <v>6507.6085199999998</v>
      </c>
      <c r="H14">
        <v>1106.2934484</v>
      </c>
      <c r="I14">
        <v>5401.3150716</v>
      </c>
      <c r="J14">
        <v>82872.845071599993</v>
      </c>
      <c r="K14">
        <v>237588.05795467499</v>
      </c>
    </row>
    <row r="15" spans="1:19" x14ac:dyDescent="0.35">
      <c r="A15">
        <v>2028</v>
      </c>
      <c r="B15" t="s">
        <v>180</v>
      </c>
      <c r="C15" t="s">
        <v>106</v>
      </c>
      <c r="D15">
        <v>95212.3</v>
      </c>
      <c r="E15">
        <v>0.54087754607713401</v>
      </c>
      <c r="F15">
        <v>8.3999999999999894E-2</v>
      </c>
      <c r="G15">
        <v>7997.8332</v>
      </c>
      <c r="H15">
        <v>2159.4149640000001</v>
      </c>
      <c r="I15">
        <v>5838.4182360000004</v>
      </c>
      <c r="J15">
        <v>101050.718236</v>
      </c>
      <c r="K15">
        <v>237588.05795467499</v>
      </c>
    </row>
    <row r="16" spans="1:19" x14ac:dyDescent="0.35">
      <c r="A16">
        <v>2028</v>
      </c>
      <c r="B16" t="s">
        <v>179</v>
      </c>
      <c r="C16" t="s">
        <v>107</v>
      </c>
      <c r="D16">
        <v>330.11</v>
      </c>
      <c r="E16">
        <v>1.87527332850401E-3</v>
      </c>
      <c r="F16">
        <v>6.8000000000000005E-2</v>
      </c>
      <c r="G16">
        <v>22.447479999999999</v>
      </c>
      <c r="H16">
        <v>3.8160715999999999</v>
      </c>
      <c r="I16">
        <v>18.631408400000002</v>
      </c>
      <c r="J16">
        <v>348.74140840000001</v>
      </c>
      <c r="K16">
        <v>237588.05795467499</v>
      </c>
    </row>
    <row r="17" spans="1:11" x14ac:dyDescent="0.35">
      <c r="A17">
        <v>2028</v>
      </c>
      <c r="B17" t="s">
        <v>180</v>
      </c>
      <c r="C17" t="s">
        <v>107</v>
      </c>
      <c r="D17">
        <v>405.71</v>
      </c>
      <c r="E17">
        <v>2.30473824515271E-3</v>
      </c>
      <c r="F17">
        <v>6.8000000000000005E-2</v>
      </c>
      <c r="G17">
        <v>27.588279999999902</v>
      </c>
      <c r="H17">
        <v>7.4488355999999998</v>
      </c>
      <c r="I17">
        <v>20.139444399999899</v>
      </c>
      <c r="J17">
        <v>425.84944439999998</v>
      </c>
      <c r="K17">
        <v>237588.05795467499</v>
      </c>
    </row>
    <row r="18" spans="1:11" x14ac:dyDescent="0.35">
      <c r="A18">
        <v>2028</v>
      </c>
      <c r="B18" t="s">
        <v>180</v>
      </c>
      <c r="C18" t="s">
        <v>161</v>
      </c>
      <c r="D18">
        <v>263.264663004402</v>
      </c>
      <c r="E18">
        <v>1.49554148880601E-3</v>
      </c>
      <c r="F18">
        <v>4.8300000000000003E-2</v>
      </c>
      <c r="G18">
        <v>12.715683223112601</v>
      </c>
      <c r="H18">
        <v>3.4332344702404098</v>
      </c>
      <c r="I18">
        <v>9.2824487528722308</v>
      </c>
      <c r="J18">
        <v>272.54711175727402</v>
      </c>
      <c r="K18">
        <v>237588.05795467499</v>
      </c>
    </row>
    <row r="19" spans="1:11" x14ac:dyDescent="0.35">
      <c r="A19">
        <v>2028</v>
      </c>
      <c r="B19" t="s">
        <v>180</v>
      </c>
      <c r="C19" t="s">
        <v>160</v>
      </c>
      <c r="D19">
        <v>1068.53274810382</v>
      </c>
      <c r="E19">
        <v>6.0700704709102798E-3</v>
      </c>
      <c r="F19">
        <v>4.9299999999999997E-2</v>
      </c>
      <c r="G19">
        <v>52.678664481518297</v>
      </c>
      <c r="H19">
        <v>14.223239410009899</v>
      </c>
      <c r="I19">
        <v>38.455425071508301</v>
      </c>
      <c r="J19">
        <v>1106.9881731753201</v>
      </c>
      <c r="K19">
        <v>237588.05795467499</v>
      </c>
    </row>
    <row r="20" spans="1:11" x14ac:dyDescent="0.35">
      <c r="A20">
        <v>2028</v>
      </c>
      <c r="B20" t="s">
        <v>180</v>
      </c>
      <c r="C20" t="s">
        <v>159</v>
      </c>
      <c r="D20">
        <v>574.80421667842404</v>
      </c>
      <c r="E20">
        <v>3.2653207011259602E-3</v>
      </c>
      <c r="F20">
        <v>3.6299999999999999E-2</v>
      </c>
      <c r="G20">
        <v>20.865393065426801</v>
      </c>
      <c r="H20">
        <v>5.6336561276652404</v>
      </c>
      <c r="I20">
        <v>15.2317369377615</v>
      </c>
      <c r="J20">
        <v>590.035953616185</v>
      </c>
      <c r="K20">
        <v>237588.05795467499</v>
      </c>
    </row>
    <row r="21" spans="1:11" x14ac:dyDescent="0.35">
      <c r="A21">
        <v>2028</v>
      </c>
      <c r="B21" t="s">
        <v>180</v>
      </c>
      <c r="C21" t="s">
        <v>158</v>
      </c>
      <c r="D21">
        <v>706.74767853111496</v>
      </c>
      <c r="E21">
        <v>4.0148589001591196E-3</v>
      </c>
      <c r="F21">
        <v>2.8299999999999999E-2</v>
      </c>
      <c r="G21">
        <v>20.000959302430601</v>
      </c>
      <c r="H21">
        <v>5.4002590116562601</v>
      </c>
      <c r="I21">
        <v>14.6007002907743</v>
      </c>
      <c r="J21">
        <v>721.34837882188901</v>
      </c>
      <c r="K21">
        <v>237588.05795467499</v>
      </c>
    </row>
    <row r="22" spans="1:11" x14ac:dyDescent="0.35">
      <c r="A22">
        <v>2029</v>
      </c>
      <c r="B22" t="s">
        <v>179</v>
      </c>
      <c r="C22" t="s">
        <v>106</v>
      </c>
      <c r="D22">
        <v>29983.82</v>
      </c>
      <c r="E22">
        <v>0.121392075790896</v>
      </c>
      <c r="F22">
        <v>8.3999999999999894E-2</v>
      </c>
      <c r="G22">
        <v>2518.6408799999999</v>
      </c>
      <c r="H22">
        <v>428.16894960000002</v>
      </c>
      <c r="I22">
        <v>2090.4719304</v>
      </c>
      <c r="J22">
        <v>32074.291930399999</v>
      </c>
      <c r="K22">
        <v>267642.94728594099</v>
      </c>
    </row>
    <row r="23" spans="1:11" x14ac:dyDescent="0.35">
      <c r="A23">
        <v>2029</v>
      </c>
      <c r="B23" t="s">
        <v>180</v>
      </c>
      <c r="C23" t="s">
        <v>106</v>
      </c>
      <c r="D23">
        <v>209834.21</v>
      </c>
      <c r="E23">
        <v>0.84953185831034395</v>
      </c>
      <c r="F23">
        <v>8.3999999999999894E-2</v>
      </c>
      <c r="G23">
        <v>17626.073639999999</v>
      </c>
      <c r="H23">
        <v>4759.0398827999998</v>
      </c>
      <c r="I23">
        <v>12867.033757200001</v>
      </c>
      <c r="J23">
        <v>222701.24375719999</v>
      </c>
      <c r="K23">
        <v>267642.94728594099</v>
      </c>
    </row>
    <row r="24" spans="1:11" x14ac:dyDescent="0.35">
      <c r="A24">
        <v>2029</v>
      </c>
      <c r="B24" t="s">
        <v>179</v>
      </c>
      <c r="C24" t="s">
        <v>107</v>
      </c>
      <c r="D24">
        <v>71.069999999999993</v>
      </c>
      <c r="E24">
        <v>2.87733011552864E-4</v>
      </c>
      <c r="F24">
        <v>6.8000000000000005E-2</v>
      </c>
      <c r="G24">
        <v>4.8327600000000004</v>
      </c>
      <c r="H24">
        <v>0.821569200000001</v>
      </c>
      <c r="I24">
        <v>4.0111907999999996</v>
      </c>
      <c r="J24">
        <v>75.081190800000002</v>
      </c>
      <c r="K24">
        <v>267642.94728594099</v>
      </c>
    </row>
    <row r="25" spans="1:11" x14ac:dyDescent="0.35">
      <c r="A25">
        <v>2029</v>
      </c>
      <c r="B25" t="s">
        <v>180</v>
      </c>
      <c r="C25" t="s">
        <v>107</v>
      </c>
      <c r="D25">
        <v>497.38</v>
      </c>
      <c r="E25">
        <v>2.01368573640303E-3</v>
      </c>
      <c r="F25">
        <v>6.8000000000000005E-2</v>
      </c>
      <c r="G25">
        <v>33.821840000000002</v>
      </c>
      <c r="H25">
        <v>9.1318968000000105</v>
      </c>
      <c r="I25">
        <v>24.689943199999998</v>
      </c>
      <c r="J25">
        <v>522.06994320000001</v>
      </c>
      <c r="K25">
        <v>267642.94728594099</v>
      </c>
    </row>
    <row r="26" spans="1:11" x14ac:dyDescent="0.35">
      <c r="A26">
        <v>2029</v>
      </c>
      <c r="B26" t="s">
        <v>180</v>
      </c>
      <c r="C26" t="s">
        <v>161</v>
      </c>
      <c r="D26">
        <v>2363.17908995978</v>
      </c>
      <c r="E26">
        <v>9.5675339298281394E-3</v>
      </c>
      <c r="F26">
        <v>4.8300000000000003E-2</v>
      </c>
      <c r="G26">
        <v>114.141550045057</v>
      </c>
      <c r="H26">
        <v>30.818218512165501</v>
      </c>
      <c r="I26">
        <v>83.323331532891999</v>
      </c>
      <c r="J26">
        <v>2446.5024214926698</v>
      </c>
      <c r="K26">
        <v>267642.94728594099</v>
      </c>
    </row>
    <row r="27" spans="1:11" x14ac:dyDescent="0.35">
      <c r="A27">
        <v>2029</v>
      </c>
      <c r="B27" t="s">
        <v>180</v>
      </c>
      <c r="C27" t="s">
        <v>160</v>
      </c>
      <c r="D27">
        <v>1197.1808599030401</v>
      </c>
      <c r="E27">
        <v>4.8468897452279497E-3</v>
      </c>
      <c r="F27">
        <v>4.9299999999999997E-2</v>
      </c>
      <c r="G27">
        <v>59.021016393219902</v>
      </c>
      <c r="H27">
        <v>15.9356744261693</v>
      </c>
      <c r="I27">
        <v>43.085341967050503</v>
      </c>
      <c r="J27">
        <v>1240.2662018700901</v>
      </c>
      <c r="K27">
        <v>267642.94728594099</v>
      </c>
    </row>
    <row r="28" spans="1:11" x14ac:dyDescent="0.35">
      <c r="A28">
        <v>2029</v>
      </c>
      <c r="B28" t="s">
        <v>180</v>
      </c>
      <c r="C28" t="s">
        <v>159</v>
      </c>
      <c r="D28">
        <v>2123.67454072908</v>
      </c>
      <c r="E28">
        <v>8.5978791496007703E-3</v>
      </c>
      <c r="F28">
        <v>3.6299999999999999E-2</v>
      </c>
      <c r="G28">
        <v>77.089385828465694</v>
      </c>
      <c r="H28">
        <v>20.814134173685702</v>
      </c>
      <c r="I28">
        <v>56.27525165478</v>
      </c>
      <c r="J28">
        <v>2179.9497923838599</v>
      </c>
      <c r="K28">
        <v>267642.94728594099</v>
      </c>
    </row>
    <row r="29" spans="1:11" x14ac:dyDescent="0.35">
      <c r="A29">
        <v>2029</v>
      </c>
      <c r="B29" t="s">
        <v>180</v>
      </c>
      <c r="C29" t="s">
        <v>158</v>
      </c>
      <c r="D29">
        <v>929.30383626072899</v>
      </c>
      <c r="E29">
        <v>3.7623665605027298E-3</v>
      </c>
      <c r="F29">
        <v>2.8299999999999999E-2</v>
      </c>
      <c r="G29">
        <v>26.299298566178599</v>
      </c>
      <c r="H29">
        <v>7.1008106128682398</v>
      </c>
      <c r="I29">
        <v>19.198487953310401</v>
      </c>
      <c r="J29">
        <v>948.50232421403905</v>
      </c>
      <c r="K29">
        <v>267642.94728594099</v>
      </c>
    </row>
    <row r="30" spans="1:11" x14ac:dyDescent="0.35">
      <c r="A30">
        <v>2030</v>
      </c>
      <c r="B30" t="s">
        <v>179</v>
      </c>
      <c r="C30" t="s">
        <v>106</v>
      </c>
      <c r="D30">
        <v>33776.65</v>
      </c>
      <c r="E30">
        <v>0.104767988870632</v>
      </c>
      <c r="F30">
        <v>8.3999999999999894E-2</v>
      </c>
      <c r="G30">
        <v>2837.2386000000001</v>
      </c>
      <c r="H30">
        <v>482.33056199999999</v>
      </c>
      <c r="I30">
        <v>2354.908038</v>
      </c>
      <c r="J30">
        <v>36131.558038000003</v>
      </c>
      <c r="K30">
        <v>301499.78011761297</v>
      </c>
    </row>
    <row r="31" spans="1:11" x14ac:dyDescent="0.35">
      <c r="A31">
        <v>2030</v>
      </c>
      <c r="B31" t="s">
        <v>180</v>
      </c>
      <c r="C31" t="s">
        <v>106</v>
      </c>
      <c r="D31">
        <v>286058.73</v>
      </c>
      <c r="E31">
        <v>0.88729337696270005</v>
      </c>
      <c r="F31">
        <v>8.3999999999999894E-2</v>
      </c>
      <c r="G31">
        <v>24028.93332</v>
      </c>
      <c r="H31">
        <v>6487.8119963999998</v>
      </c>
      <c r="I31">
        <v>17541.1213236</v>
      </c>
      <c r="J31">
        <v>303599.85132359999</v>
      </c>
      <c r="K31">
        <v>301499.78011761297</v>
      </c>
    </row>
    <row r="32" spans="1:11" x14ac:dyDescent="0.35">
      <c r="A32">
        <v>2030</v>
      </c>
      <c r="B32" t="s">
        <v>179</v>
      </c>
      <c r="C32" t="s">
        <v>107</v>
      </c>
      <c r="D32">
        <v>80.19</v>
      </c>
      <c r="E32">
        <v>2.4873233513495201E-4</v>
      </c>
      <c r="F32">
        <v>6.8000000000000005E-2</v>
      </c>
      <c r="G32">
        <v>5.4529199999999998</v>
      </c>
      <c r="H32">
        <v>0.92699640000000105</v>
      </c>
      <c r="I32">
        <v>4.5259235999999996</v>
      </c>
      <c r="J32">
        <v>84.715923599999996</v>
      </c>
      <c r="K32">
        <v>301499.78011761297</v>
      </c>
    </row>
    <row r="33" spans="1:11" x14ac:dyDescent="0.35">
      <c r="A33">
        <v>2030</v>
      </c>
      <c r="B33" t="s">
        <v>180</v>
      </c>
      <c r="C33" t="s">
        <v>107</v>
      </c>
      <c r="D33">
        <v>679.1</v>
      </c>
      <c r="E33">
        <v>2.1064238532254201E-3</v>
      </c>
      <c r="F33">
        <v>6.8000000000000005E-2</v>
      </c>
      <c r="G33">
        <v>46.178800000000003</v>
      </c>
      <c r="H33">
        <v>12.468275999999999</v>
      </c>
      <c r="I33">
        <v>33.710523999999999</v>
      </c>
      <c r="J33">
        <v>712.81052399999999</v>
      </c>
      <c r="K33">
        <v>301499.78011761297</v>
      </c>
    </row>
    <row r="34" spans="1:11" x14ac:dyDescent="0.35">
      <c r="A34">
        <v>2030</v>
      </c>
      <c r="B34" t="s">
        <v>180</v>
      </c>
      <c r="C34" t="s">
        <v>161</v>
      </c>
      <c r="D34">
        <v>468.14180621770703</v>
      </c>
      <c r="E34">
        <v>1.45207637654102E-3</v>
      </c>
      <c r="F34">
        <v>4.8300000000000003E-2</v>
      </c>
      <c r="G34">
        <v>22.611249240315299</v>
      </c>
      <c r="H34">
        <v>6.1050372948851299</v>
      </c>
      <c r="I34">
        <v>16.506211945430099</v>
      </c>
      <c r="J34">
        <v>484.64801816313798</v>
      </c>
      <c r="K34">
        <v>301499.78011761297</v>
      </c>
    </row>
    <row r="35" spans="1:11" x14ac:dyDescent="0.35">
      <c r="A35">
        <v>2030</v>
      </c>
      <c r="B35" t="s">
        <v>180</v>
      </c>
      <c r="C35" t="s">
        <v>160</v>
      </c>
      <c r="D35">
        <v>657.68218816729996</v>
      </c>
      <c r="E35">
        <v>2.03999035340463E-3</v>
      </c>
      <c r="F35">
        <v>4.9299999999999997E-2</v>
      </c>
      <c r="G35">
        <v>32.4237318766478</v>
      </c>
      <c r="H35">
        <v>8.7544076066949099</v>
      </c>
      <c r="I35">
        <v>23.669324269952899</v>
      </c>
      <c r="J35">
        <v>681.35151243725295</v>
      </c>
      <c r="K35">
        <v>301499.78011761297</v>
      </c>
    </row>
    <row r="36" spans="1:11" x14ac:dyDescent="0.35">
      <c r="A36">
        <v>2030</v>
      </c>
      <c r="B36" t="s">
        <v>180</v>
      </c>
      <c r="C36" t="s">
        <v>159</v>
      </c>
      <c r="D36">
        <v>11.3137302709768</v>
      </c>
      <c r="E36" s="42">
        <v>3.5092786499402303E-5</v>
      </c>
      <c r="F36">
        <v>3.6299999999999999E-2</v>
      </c>
      <c r="G36">
        <v>0.41068840883646002</v>
      </c>
      <c r="H36">
        <v>0.11088587038584399</v>
      </c>
      <c r="I36">
        <v>0.299802538450615</v>
      </c>
      <c r="J36">
        <v>11.613532809427401</v>
      </c>
      <c r="K36">
        <v>301499.78011761297</v>
      </c>
    </row>
    <row r="37" spans="1:11" x14ac:dyDescent="0.35">
      <c r="A37">
        <v>2030</v>
      </c>
      <c r="B37" t="s">
        <v>180</v>
      </c>
      <c r="C37" t="s">
        <v>158</v>
      </c>
      <c r="D37">
        <v>662.95897381796101</v>
      </c>
      <c r="E37">
        <v>2.0563578208805701E-3</v>
      </c>
      <c r="F37">
        <v>2.8299999999999999E-2</v>
      </c>
      <c r="G37">
        <v>18.761738959048301</v>
      </c>
      <c r="H37">
        <v>5.0656695189430403</v>
      </c>
      <c r="I37">
        <v>13.6960694401052</v>
      </c>
      <c r="J37">
        <v>676.65504325806603</v>
      </c>
      <c r="K37">
        <v>301499.78011761297</v>
      </c>
    </row>
    <row r="38" spans="1:11" x14ac:dyDescent="0.35">
      <c r="A38">
        <v>2031</v>
      </c>
      <c r="B38" t="s">
        <v>179</v>
      </c>
      <c r="C38" t="s">
        <v>106</v>
      </c>
      <c r="D38">
        <v>35227.43</v>
      </c>
      <c r="E38">
        <v>8.7371325864178395E-2</v>
      </c>
      <c r="F38">
        <v>8.3999999999999894E-2</v>
      </c>
      <c r="G38">
        <v>2959.10412</v>
      </c>
      <c r="H38">
        <v>503.0477004</v>
      </c>
      <c r="I38">
        <v>2456.0564196</v>
      </c>
      <c r="J38">
        <v>37683.486419599998</v>
      </c>
      <c r="K38">
        <v>339639.50230249099</v>
      </c>
    </row>
    <row r="39" spans="1:11" x14ac:dyDescent="0.35">
      <c r="A39">
        <v>2031</v>
      </c>
      <c r="B39" t="s">
        <v>180</v>
      </c>
      <c r="C39" t="s">
        <v>106</v>
      </c>
      <c r="D39">
        <v>86233.74</v>
      </c>
      <c r="E39">
        <v>0.21387754366488901</v>
      </c>
      <c r="F39">
        <v>8.3999999999999894E-2</v>
      </c>
      <c r="G39">
        <v>7243.6341599999996</v>
      </c>
      <c r="H39">
        <v>1955.7812232000001</v>
      </c>
      <c r="I39">
        <v>5287.8529368</v>
      </c>
      <c r="J39">
        <v>91521.592936800007</v>
      </c>
      <c r="K39">
        <v>339639.50230249099</v>
      </c>
    </row>
    <row r="40" spans="1:11" x14ac:dyDescent="0.35">
      <c r="A40">
        <v>2031</v>
      </c>
      <c r="B40" t="s">
        <v>179</v>
      </c>
      <c r="C40" t="s">
        <v>107</v>
      </c>
      <c r="D40">
        <v>2912.29</v>
      </c>
      <c r="E40">
        <v>7.22308265465258E-3</v>
      </c>
      <c r="F40">
        <v>6.8000000000000005E-2</v>
      </c>
      <c r="G40">
        <v>198.03572</v>
      </c>
      <c r="H40">
        <v>33.666072399999997</v>
      </c>
      <c r="I40">
        <v>164.36964760000001</v>
      </c>
      <c r="J40">
        <v>3076.6596476</v>
      </c>
      <c r="K40">
        <v>339639.50230249099</v>
      </c>
    </row>
    <row r="41" spans="1:11" x14ac:dyDescent="0.35">
      <c r="A41">
        <v>2031</v>
      </c>
      <c r="B41" t="s">
        <v>180</v>
      </c>
      <c r="C41" t="s">
        <v>107</v>
      </c>
      <c r="D41">
        <v>7129.05</v>
      </c>
      <c r="E41">
        <v>1.7681521208104602E-2</v>
      </c>
      <c r="F41">
        <v>6.8000000000000005E-2</v>
      </c>
      <c r="G41">
        <v>484.77539999999999</v>
      </c>
      <c r="H41">
        <v>130.88935799999999</v>
      </c>
      <c r="I41">
        <v>353.88604199999997</v>
      </c>
      <c r="J41">
        <v>7482.9360420000003</v>
      </c>
      <c r="K41">
        <v>339639.50230249099</v>
      </c>
    </row>
    <row r="42" spans="1:11" x14ac:dyDescent="0.35">
      <c r="A42">
        <v>2031</v>
      </c>
      <c r="B42" t="s">
        <v>180</v>
      </c>
      <c r="C42" t="s">
        <v>161</v>
      </c>
      <c r="D42">
        <v>43008.580555439199</v>
      </c>
      <c r="E42">
        <v>0.10667019157131299</v>
      </c>
      <c r="F42">
        <v>4.8300000000000003E-2</v>
      </c>
      <c r="G42">
        <v>2077.3144408277099</v>
      </c>
      <c r="H42">
        <v>560.87489902348295</v>
      </c>
      <c r="I42">
        <v>1516.43954180423</v>
      </c>
      <c r="J42">
        <v>44525.020097243403</v>
      </c>
      <c r="K42">
        <v>339639.50230249099</v>
      </c>
    </row>
    <row r="43" spans="1:11" x14ac:dyDescent="0.35">
      <c r="A43">
        <v>2031</v>
      </c>
      <c r="B43" t="s">
        <v>180</v>
      </c>
      <c r="C43" t="s">
        <v>160</v>
      </c>
      <c r="D43">
        <v>23.551544195687399</v>
      </c>
      <c r="E43" s="42">
        <v>5.8412709713027702E-5</v>
      </c>
      <c r="F43">
        <v>4.9299999999999997E-2</v>
      </c>
      <c r="G43">
        <v>1.16109112884738</v>
      </c>
      <c r="H43">
        <v>0.31349460478879498</v>
      </c>
      <c r="I43">
        <v>0.84759652405859298</v>
      </c>
      <c r="J43">
        <v>24.399140719746001</v>
      </c>
      <c r="K43">
        <v>339639.50230249099</v>
      </c>
    </row>
    <row r="44" spans="1:11" x14ac:dyDescent="0.35">
      <c r="A44">
        <v>2031</v>
      </c>
      <c r="B44" t="s">
        <v>180</v>
      </c>
      <c r="C44" t="s">
        <v>159</v>
      </c>
      <c r="D44">
        <v>143167.83040101401</v>
      </c>
      <c r="E44">
        <v>0.355085885153543</v>
      </c>
      <c r="F44">
        <v>3.6299999999999999E-2</v>
      </c>
      <c r="G44">
        <v>5196.9922435568296</v>
      </c>
      <c r="H44">
        <v>1403.1879057603401</v>
      </c>
      <c r="I44">
        <v>3793.80433779648</v>
      </c>
      <c r="J44">
        <v>146961.634738811</v>
      </c>
      <c r="K44">
        <v>339639.50230249099</v>
      </c>
    </row>
    <row r="45" spans="1:11" x14ac:dyDescent="0.35">
      <c r="A45">
        <v>2031</v>
      </c>
      <c r="B45" t="s">
        <v>180</v>
      </c>
      <c r="C45" t="s">
        <v>158</v>
      </c>
      <c r="D45">
        <v>85489.645585318096</v>
      </c>
      <c r="E45">
        <v>0.21203203533291901</v>
      </c>
      <c r="F45">
        <v>2.8299999999999999E-2</v>
      </c>
      <c r="G45">
        <v>2419.3569700644998</v>
      </c>
      <c r="H45">
        <v>653.22638191741498</v>
      </c>
      <c r="I45">
        <v>1766.1305881470801</v>
      </c>
      <c r="J45">
        <v>87255.776173465201</v>
      </c>
      <c r="K45">
        <v>339639.50230249099</v>
      </c>
    </row>
    <row r="46" spans="1:11" x14ac:dyDescent="0.35">
      <c r="A46">
        <v>2032</v>
      </c>
      <c r="B46" t="s">
        <v>179</v>
      </c>
      <c r="C46" t="s">
        <v>106</v>
      </c>
      <c r="D46">
        <v>42311.76</v>
      </c>
      <c r="E46">
        <v>8.7055968085077304E-2</v>
      </c>
      <c r="F46">
        <v>8.3999999999999894E-2</v>
      </c>
      <c r="G46">
        <v>3554.1878400000001</v>
      </c>
      <c r="H46">
        <v>604.21193280000102</v>
      </c>
      <c r="I46">
        <v>2949.9759072000002</v>
      </c>
      <c r="J46">
        <v>45261.735907200004</v>
      </c>
      <c r="K46">
        <v>382603.89934375603</v>
      </c>
    </row>
    <row r="47" spans="1:11" x14ac:dyDescent="0.35">
      <c r="A47">
        <v>2032</v>
      </c>
      <c r="B47" t="s">
        <v>180</v>
      </c>
      <c r="C47" t="s">
        <v>106</v>
      </c>
      <c r="D47">
        <v>44296.89</v>
      </c>
      <c r="E47">
        <v>9.1140350628481998E-2</v>
      </c>
      <c r="F47">
        <v>8.3999999999999894E-2</v>
      </c>
      <c r="G47">
        <v>3720.93876</v>
      </c>
      <c r="H47">
        <v>1004.6534652</v>
      </c>
      <c r="I47">
        <v>2716.2852948</v>
      </c>
      <c r="J47">
        <v>47013.175294799999</v>
      </c>
      <c r="K47">
        <v>382603.89934375603</v>
      </c>
    </row>
    <row r="48" spans="1:11" x14ac:dyDescent="0.35">
      <c r="A48">
        <v>2032</v>
      </c>
      <c r="B48" t="s">
        <v>179</v>
      </c>
      <c r="C48" t="s">
        <v>107</v>
      </c>
      <c r="D48">
        <v>652.63</v>
      </c>
      <c r="E48">
        <v>1.3427788504038599E-3</v>
      </c>
      <c r="F48">
        <v>6.8000000000000005E-2</v>
      </c>
      <c r="G48">
        <v>44.378839999999997</v>
      </c>
      <c r="H48">
        <v>7.5444028000000101</v>
      </c>
      <c r="I48">
        <v>36.834437200000004</v>
      </c>
      <c r="J48">
        <v>689.46443720000002</v>
      </c>
      <c r="K48">
        <v>382603.89934375603</v>
      </c>
    </row>
    <row r="49" spans="1:13" x14ac:dyDescent="0.35">
      <c r="A49">
        <v>2032</v>
      </c>
      <c r="B49" t="s">
        <v>180</v>
      </c>
      <c r="C49" t="s">
        <v>107</v>
      </c>
      <c r="D49">
        <v>683.25</v>
      </c>
      <c r="E49">
        <v>1.4057791544036199E-3</v>
      </c>
      <c r="F49">
        <v>6.8000000000000005E-2</v>
      </c>
      <c r="G49">
        <v>46.460999999999999</v>
      </c>
      <c r="H49">
        <v>12.54447</v>
      </c>
      <c r="I49">
        <v>33.916530000000002</v>
      </c>
      <c r="J49">
        <v>717.16652999999997</v>
      </c>
      <c r="K49">
        <v>382603.89934375603</v>
      </c>
    </row>
    <row r="50" spans="1:13" x14ac:dyDescent="0.35">
      <c r="A50">
        <v>2032</v>
      </c>
      <c r="B50" t="s">
        <v>180</v>
      </c>
      <c r="C50" t="s">
        <v>161</v>
      </c>
      <c r="D50">
        <v>238.82500681257599</v>
      </c>
      <c r="E50">
        <v>4.9137975283925904E-4</v>
      </c>
      <c r="F50">
        <v>4.8300000000000003E-2</v>
      </c>
      <c r="G50">
        <v>11.5352478290474</v>
      </c>
      <c r="H50">
        <v>3.1145169138428099</v>
      </c>
      <c r="I50">
        <v>8.4207309152046292</v>
      </c>
      <c r="J50">
        <v>247.24573772778101</v>
      </c>
      <c r="K50">
        <v>382603.89934375603</v>
      </c>
    </row>
    <row r="51" spans="1:13" x14ac:dyDescent="0.35">
      <c r="A51">
        <v>2032</v>
      </c>
      <c r="B51" t="s">
        <v>180</v>
      </c>
      <c r="C51" t="s">
        <v>160</v>
      </c>
      <c r="D51">
        <v>728.92107718572595</v>
      </c>
      <c r="E51">
        <v>1.49974687963868E-3</v>
      </c>
      <c r="F51">
        <v>4.9299999999999997E-2</v>
      </c>
      <c r="G51">
        <v>35.935809105256197</v>
      </c>
      <c r="H51">
        <v>9.7026684584191791</v>
      </c>
      <c r="I51">
        <v>26.233140646837001</v>
      </c>
      <c r="J51">
        <v>755.15421783256295</v>
      </c>
      <c r="K51">
        <v>382603.89934375603</v>
      </c>
    </row>
    <row r="52" spans="1:13" x14ac:dyDescent="0.35">
      <c r="A52">
        <v>2032</v>
      </c>
      <c r="B52" t="s">
        <v>180</v>
      </c>
      <c r="C52" t="s">
        <v>159</v>
      </c>
      <c r="D52">
        <v>1087.56989293931</v>
      </c>
      <c r="E52">
        <v>2.2376627653875902E-3</v>
      </c>
      <c r="F52">
        <v>3.6299999999999999E-2</v>
      </c>
      <c r="G52">
        <v>39.478787113697301</v>
      </c>
      <c r="H52">
        <v>10.659272520698201</v>
      </c>
      <c r="I52">
        <v>28.819514592998999</v>
      </c>
      <c r="J52">
        <v>1116.3894075323101</v>
      </c>
      <c r="K52">
        <v>382603.89934375603</v>
      </c>
    </row>
    <row r="53" spans="1:13" x14ac:dyDescent="0.35">
      <c r="A53">
        <v>2032</v>
      </c>
      <c r="B53" t="s">
        <v>180</v>
      </c>
      <c r="C53" t="s">
        <v>158</v>
      </c>
      <c r="D53">
        <v>396029.54794844199</v>
      </c>
      <c r="E53">
        <v>0.81482631984458298</v>
      </c>
      <c r="F53">
        <v>2.8299999999999999E-2</v>
      </c>
      <c r="G53">
        <v>11207.636206940901</v>
      </c>
      <c r="H53">
        <v>3026.06177587404</v>
      </c>
      <c r="I53">
        <v>8181.5744310668697</v>
      </c>
      <c r="J53">
        <v>404211.12237950898</v>
      </c>
      <c r="K53">
        <v>382603.89934375603</v>
      </c>
    </row>
    <row r="54" spans="1:13" x14ac:dyDescent="0.35">
      <c r="A54">
        <v>2033</v>
      </c>
      <c r="B54" t="s">
        <v>179</v>
      </c>
      <c r="C54" t="s">
        <v>106</v>
      </c>
      <c r="D54">
        <v>47438.720000000001</v>
      </c>
      <c r="E54">
        <v>8.3491778331731201E-2</v>
      </c>
      <c r="F54">
        <v>8.3999999999999894E-2</v>
      </c>
      <c r="G54">
        <v>3984.85248</v>
      </c>
      <c r="H54">
        <v>677.42492159999995</v>
      </c>
      <c r="I54">
        <v>3307.4275584000002</v>
      </c>
      <c r="J54">
        <v>50746.1475584</v>
      </c>
      <c r="K54">
        <v>431003.29261074099</v>
      </c>
    </row>
    <row r="55" spans="1:13" x14ac:dyDescent="0.35">
      <c r="A55">
        <v>2033</v>
      </c>
      <c r="B55" t="s">
        <v>180</v>
      </c>
      <c r="C55" t="s">
        <v>106</v>
      </c>
      <c r="D55">
        <v>105983.92</v>
      </c>
      <c r="E55">
        <v>0.18653087510303601</v>
      </c>
      <c r="F55">
        <v>8.3999999999999894E-2</v>
      </c>
      <c r="G55">
        <v>8902.6492800000105</v>
      </c>
      <c r="H55">
        <v>2403.7153056000002</v>
      </c>
      <c r="I55">
        <v>6498.9339743999999</v>
      </c>
      <c r="J55">
        <v>112482.8539744</v>
      </c>
      <c r="K55">
        <v>431003.29261074099</v>
      </c>
    </row>
    <row r="56" spans="1:13" x14ac:dyDescent="0.35">
      <c r="A56">
        <v>2033</v>
      </c>
      <c r="B56" t="s">
        <v>179</v>
      </c>
      <c r="C56" t="s">
        <v>107</v>
      </c>
      <c r="D56">
        <v>960.67</v>
      </c>
      <c r="E56">
        <v>1.69077173013825E-3</v>
      </c>
      <c r="F56">
        <v>6.8000000000000005E-2</v>
      </c>
      <c r="G56">
        <v>65.325560000000095</v>
      </c>
      <c r="H56">
        <v>11.1053452</v>
      </c>
      <c r="I56">
        <v>54.220214800000001</v>
      </c>
      <c r="J56">
        <v>1014.8902148</v>
      </c>
      <c r="K56">
        <v>431003.29261074099</v>
      </c>
    </row>
    <row r="57" spans="1:13" x14ac:dyDescent="0.35">
      <c r="A57">
        <v>2033</v>
      </c>
      <c r="B57" t="s">
        <v>180</v>
      </c>
      <c r="C57" t="s">
        <v>107</v>
      </c>
      <c r="D57">
        <v>2146.2600000000002</v>
      </c>
      <c r="E57">
        <v>3.7774009113707399E-3</v>
      </c>
      <c r="F57">
        <v>6.8000000000000005E-2</v>
      </c>
      <c r="G57">
        <v>145.94568000000001</v>
      </c>
      <c r="H57">
        <v>39.405333599999999</v>
      </c>
      <c r="I57">
        <v>106.5403464</v>
      </c>
      <c r="J57">
        <v>2252.8003463999999</v>
      </c>
      <c r="K57">
        <v>431003.29261074099</v>
      </c>
    </row>
    <row r="58" spans="1:13" x14ac:dyDescent="0.35">
      <c r="A58">
        <v>2033</v>
      </c>
      <c r="B58" t="s">
        <v>180</v>
      </c>
      <c r="C58" t="s">
        <v>161</v>
      </c>
      <c r="D58">
        <v>1619.3986530484401</v>
      </c>
      <c r="E58">
        <v>2.8501290374408298E-3</v>
      </c>
      <c r="F58">
        <v>4.8300000000000003E-2</v>
      </c>
      <c r="G58">
        <v>78.216954942240093</v>
      </c>
      <c r="H58">
        <v>21.1185778344048</v>
      </c>
      <c r="I58">
        <v>57.098377107835297</v>
      </c>
      <c r="J58">
        <v>1676.4970301562801</v>
      </c>
      <c r="K58">
        <v>431003.29261074099</v>
      </c>
    </row>
    <row r="59" spans="1:13" x14ac:dyDescent="0.35">
      <c r="A59">
        <v>2033</v>
      </c>
      <c r="B59" t="s">
        <v>180</v>
      </c>
      <c r="C59" t="s">
        <v>160</v>
      </c>
      <c r="D59">
        <v>2008.7246771740699</v>
      </c>
      <c r="E59">
        <v>3.5353398126276598E-3</v>
      </c>
      <c r="F59">
        <v>4.9299999999999997E-2</v>
      </c>
      <c r="G59">
        <v>99.030126584681696</v>
      </c>
      <c r="H59">
        <v>26.738134177864001</v>
      </c>
      <c r="I59">
        <v>72.291992406817599</v>
      </c>
      <c r="J59">
        <v>2081.0166695808898</v>
      </c>
      <c r="K59">
        <v>431003.29261074099</v>
      </c>
    </row>
    <row r="60" spans="1:13" x14ac:dyDescent="0.35">
      <c r="A60">
        <v>2033</v>
      </c>
      <c r="B60" t="s">
        <v>180</v>
      </c>
      <c r="C60" t="s">
        <v>159</v>
      </c>
      <c r="D60">
        <v>2164.1051407445898</v>
      </c>
      <c r="E60">
        <v>3.8088082203231299E-3</v>
      </c>
      <c r="F60">
        <v>3.6299999999999999E-2</v>
      </c>
      <c r="G60">
        <v>78.557016609028693</v>
      </c>
      <c r="H60">
        <v>21.2103944844377</v>
      </c>
      <c r="I60">
        <v>57.346622124591001</v>
      </c>
      <c r="J60">
        <v>2221.4517628691801</v>
      </c>
      <c r="K60">
        <v>431003.29261074099</v>
      </c>
    </row>
    <row r="61" spans="1:13" x14ac:dyDescent="0.35">
      <c r="A61">
        <v>2033</v>
      </c>
      <c r="B61" t="s">
        <v>180</v>
      </c>
      <c r="C61" t="s">
        <v>158</v>
      </c>
      <c r="D61">
        <v>405862.52779810497</v>
      </c>
      <c r="E61">
        <v>0.71431489306784701</v>
      </c>
      <c r="F61">
        <v>2.8299999999999999E-2</v>
      </c>
      <c r="G61">
        <v>11485.9095366863</v>
      </c>
      <c r="H61">
        <v>3101.19557490532</v>
      </c>
      <c r="I61">
        <v>8384.7139617810499</v>
      </c>
      <c r="J61">
        <v>414247.24175988598</v>
      </c>
      <c r="K61">
        <v>431003.29261074099</v>
      </c>
    </row>
    <row r="62" spans="1:13" x14ac:dyDescent="0.35">
      <c r="A62">
        <v>2034</v>
      </c>
      <c r="B62" t="s">
        <v>179</v>
      </c>
      <c r="C62" t="s">
        <v>106</v>
      </c>
      <c r="D62">
        <v>53007.7</v>
      </c>
      <c r="E62">
        <v>8.0856496435925906E-2</v>
      </c>
      <c r="F62">
        <v>8.3999999999999894E-2</v>
      </c>
      <c r="G62">
        <v>4452.6468000000004</v>
      </c>
      <c r="H62">
        <v>756.94995600000004</v>
      </c>
      <c r="I62">
        <v>3695.6968440000001</v>
      </c>
      <c r="J62">
        <v>56703.396844000003</v>
      </c>
      <c r="K62">
        <v>485525.209126</v>
      </c>
      <c r="L62">
        <v>62</v>
      </c>
      <c r="M62">
        <v>400000</v>
      </c>
    </row>
    <row r="63" spans="1:13" x14ac:dyDescent="0.35">
      <c r="A63">
        <v>2034</v>
      </c>
      <c r="B63" t="s">
        <v>180</v>
      </c>
      <c r="C63" t="s">
        <v>106</v>
      </c>
      <c r="D63">
        <v>183171.23</v>
      </c>
      <c r="E63">
        <v>0.27940438663928402</v>
      </c>
      <c r="F63">
        <v>8.3999999999999894E-2</v>
      </c>
      <c r="G63">
        <v>15386.383320000001</v>
      </c>
      <c r="H63">
        <v>4154.3234964000003</v>
      </c>
      <c r="I63">
        <v>11232.059823600001</v>
      </c>
      <c r="J63">
        <v>194403.2898236</v>
      </c>
      <c r="K63">
        <v>485525.209126</v>
      </c>
      <c r="L63">
        <v>62</v>
      </c>
      <c r="M63">
        <v>400000</v>
      </c>
    </row>
    <row r="64" spans="1:13" x14ac:dyDescent="0.35">
      <c r="A64">
        <v>2034</v>
      </c>
      <c r="B64" t="s">
        <v>179</v>
      </c>
      <c r="C64" t="s">
        <v>107</v>
      </c>
      <c r="D64">
        <v>1514.22</v>
      </c>
      <c r="E64">
        <v>2.30974979169456E-3</v>
      </c>
      <c r="F64">
        <v>6.8000000000000005E-2</v>
      </c>
      <c r="G64">
        <v>102.96696</v>
      </c>
      <c r="H64">
        <v>17.504383199999999</v>
      </c>
      <c r="I64">
        <v>85.462576800000093</v>
      </c>
      <c r="J64">
        <v>1599.6825768000001</v>
      </c>
      <c r="K64">
        <v>485525.209126</v>
      </c>
      <c r="L64">
        <v>62</v>
      </c>
      <c r="M64">
        <v>400000</v>
      </c>
    </row>
    <row r="65" spans="1:13" x14ac:dyDescent="0.35">
      <c r="A65">
        <v>2034</v>
      </c>
      <c r="B65" t="s">
        <v>180</v>
      </c>
      <c r="C65" t="s">
        <v>107</v>
      </c>
      <c r="D65">
        <v>5232.46</v>
      </c>
      <c r="E65">
        <v>7.9814514370765994E-3</v>
      </c>
      <c r="F65">
        <v>6.8000000000000005E-2</v>
      </c>
      <c r="G65">
        <v>355.80727999999999</v>
      </c>
      <c r="H65">
        <v>96.067965599999994</v>
      </c>
      <c r="I65">
        <v>259.73931440000001</v>
      </c>
      <c r="J65">
        <v>5492.1993143999998</v>
      </c>
      <c r="K65">
        <v>485525.209126</v>
      </c>
      <c r="L65">
        <v>62</v>
      </c>
      <c r="M65">
        <v>400000</v>
      </c>
    </row>
    <row r="66" spans="1:13" x14ac:dyDescent="0.35">
      <c r="A66">
        <v>2034</v>
      </c>
      <c r="B66" t="s">
        <v>180</v>
      </c>
      <c r="C66" t="s">
        <v>161</v>
      </c>
      <c r="D66">
        <v>2647.4888864753798</v>
      </c>
      <c r="E66">
        <v>4.03840716940087E-3</v>
      </c>
      <c r="F66">
        <v>4.8300000000000003E-2</v>
      </c>
      <c r="G66">
        <v>127.873713216761</v>
      </c>
      <c r="H66">
        <v>34.525902568525503</v>
      </c>
      <c r="I66">
        <v>93.347810648235594</v>
      </c>
      <c r="J66">
        <v>2740.8366971236201</v>
      </c>
      <c r="K66">
        <v>485525.209126</v>
      </c>
      <c r="L66">
        <v>62</v>
      </c>
      <c r="M66">
        <v>400000</v>
      </c>
    </row>
    <row r="67" spans="1:13" x14ac:dyDescent="0.35">
      <c r="A67">
        <v>2034</v>
      </c>
      <c r="B67" t="s">
        <v>180</v>
      </c>
      <c r="C67" t="s">
        <v>160</v>
      </c>
      <c r="D67">
        <v>639.13144431376998</v>
      </c>
      <c r="E67">
        <v>9.7491363234482103E-4</v>
      </c>
      <c r="F67">
        <v>4.9299999999999997E-2</v>
      </c>
      <c r="G67">
        <v>31.509180204668802</v>
      </c>
      <c r="H67">
        <v>8.5074786552605808</v>
      </c>
      <c r="I67">
        <v>23.0017015494082</v>
      </c>
      <c r="J67">
        <v>662.13314586317802</v>
      </c>
      <c r="K67">
        <v>485525.209126</v>
      </c>
      <c r="L67">
        <v>62</v>
      </c>
      <c r="M67">
        <v>400000</v>
      </c>
    </row>
    <row r="68" spans="1:13" x14ac:dyDescent="0.35">
      <c r="A68">
        <v>2034</v>
      </c>
      <c r="B68" t="s">
        <v>180</v>
      </c>
      <c r="C68" t="s">
        <v>159</v>
      </c>
      <c r="D68">
        <v>1105.0772227398099</v>
      </c>
      <c r="E68">
        <v>1.68565458455818E-3</v>
      </c>
      <c r="F68">
        <v>3.6299999999999999E-2</v>
      </c>
      <c r="G68">
        <v>40.1143031854551</v>
      </c>
      <c r="H68">
        <v>10.830861860072799</v>
      </c>
      <c r="I68">
        <v>29.283441325382199</v>
      </c>
      <c r="J68">
        <v>1134.3606640651899</v>
      </c>
      <c r="K68">
        <v>485525.209126</v>
      </c>
      <c r="L68">
        <v>62</v>
      </c>
      <c r="M68">
        <v>400000</v>
      </c>
    </row>
    <row r="69" spans="1:13" x14ac:dyDescent="0.35">
      <c r="A69">
        <v>2034</v>
      </c>
      <c r="B69" t="s">
        <v>180</v>
      </c>
      <c r="C69" t="s">
        <v>158</v>
      </c>
      <c r="D69">
        <v>408260.20334110898</v>
      </c>
      <c r="E69">
        <v>0.62274895300835198</v>
      </c>
      <c r="F69">
        <v>2.8299999999999999E-2</v>
      </c>
      <c r="G69">
        <v>11553.7637545533</v>
      </c>
      <c r="H69">
        <v>3119.5162137294101</v>
      </c>
      <c r="I69">
        <v>8434.2475408239698</v>
      </c>
      <c r="J69">
        <v>416694.45088193298</v>
      </c>
      <c r="K69">
        <v>485525.209126</v>
      </c>
      <c r="L69">
        <v>62</v>
      </c>
      <c r="M69">
        <v>400000</v>
      </c>
    </row>
    <row r="70" spans="1:13" x14ac:dyDescent="0.35">
      <c r="A70">
        <v>2035</v>
      </c>
      <c r="B70" t="s">
        <v>179</v>
      </c>
      <c r="C70" t="s">
        <v>106</v>
      </c>
      <c r="D70">
        <v>17031.61</v>
      </c>
      <c r="E70">
        <v>4.8804880707010299E-2</v>
      </c>
      <c r="F70">
        <v>6.3E-2</v>
      </c>
      <c r="G70">
        <v>1072.99142999999</v>
      </c>
      <c r="H70">
        <v>182.40854309999901</v>
      </c>
      <c r="I70">
        <v>890.58288689999802</v>
      </c>
      <c r="J70">
        <v>17922.1928869</v>
      </c>
      <c r="K70">
        <v>546944.14808043896</v>
      </c>
    </row>
    <row r="71" spans="1:13" x14ac:dyDescent="0.35">
      <c r="A71">
        <v>2035</v>
      </c>
      <c r="B71" t="s">
        <v>180</v>
      </c>
      <c r="C71" t="s">
        <v>106</v>
      </c>
      <c r="D71">
        <v>78404.490000000005</v>
      </c>
      <c r="E71">
        <v>0.22467175923732299</v>
      </c>
      <c r="F71">
        <v>6.3E-2</v>
      </c>
      <c r="G71">
        <v>4939.4828699999898</v>
      </c>
      <c r="H71">
        <v>1333.6603748999901</v>
      </c>
      <c r="I71">
        <v>3605.8224950999902</v>
      </c>
      <c r="J71">
        <v>82010.312495100006</v>
      </c>
      <c r="K71">
        <v>546944.14808043896</v>
      </c>
    </row>
    <row r="72" spans="1:13" x14ac:dyDescent="0.35">
      <c r="A72">
        <v>2035</v>
      </c>
      <c r="B72" t="s">
        <v>179</v>
      </c>
      <c r="C72" t="s">
        <v>107</v>
      </c>
      <c r="D72">
        <v>44387.33</v>
      </c>
      <c r="E72">
        <v>0.12719398492289899</v>
      </c>
      <c r="F72">
        <v>6.3E-2</v>
      </c>
      <c r="G72">
        <v>2796.4017899999899</v>
      </c>
      <c r="H72">
        <v>475.38830429999899</v>
      </c>
      <c r="I72">
        <v>2321.0134856999898</v>
      </c>
      <c r="J72">
        <v>46708.343485699901</v>
      </c>
      <c r="K72">
        <v>546944.14808043896</v>
      </c>
    </row>
    <row r="73" spans="1:13" x14ac:dyDescent="0.35">
      <c r="A73">
        <v>2035</v>
      </c>
      <c r="B73" t="s">
        <v>180</v>
      </c>
      <c r="C73" t="s">
        <v>107</v>
      </c>
      <c r="D73">
        <v>204335.75</v>
      </c>
      <c r="E73">
        <v>0.58553371659681497</v>
      </c>
      <c r="F73">
        <v>6.3E-2</v>
      </c>
      <c r="G73">
        <v>12873.152249999899</v>
      </c>
      <c r="H73">
        <v>3475.7511074999902</v>
      </c>
      <c r="I73">
        <v>9397.4011424999808</v>
      </c>
      <c r="J73">
        <v>213733.15114249999</v>
      </c>
      <c r="K73">
        <v>546944.14808043896</v>
      </c>
    </row>
    <row r="74" spans="1:13" x14ac:dyDescent="0.35">
      <c r="A74">
        <v>2035</v>
      </c>
      <c r="B74" t="s">
        <v>180</v>
      </c>
      <c r="C74" t="s">
        <v>161</v>
      </c>
      <c r="D74">
        <v>1170.1567640114199</v>
      </c>
      <c r="E74">
        <v>3.35313932599906E-3</v>
      </c>
      <c r="F74">
        <v>3.4299999999999997E-2</v>
      </c>
      <c r="G74">
        <v>40.136377005592003</v>
      </c>
      <c r="H74">
        <v>10.8368217915098</v>
      </c>
      <c r="I74">
        <v>29.299555214082201</v>
      </c>
      <c r="J74">
        <v>1199.4563192255</v>
      </c>
      <c r="K74">
        <v>546944.14808043896</v>
      </c>
    </row>
    <row r="75" spans="1:13" x14ac:dyDescent="0.35">
      <c r="A75">
        <v>2035</v>
      </c>
      <c r="B75" t="s">
        <v>180</v>
      </c>
      <c r="C75" t="s">
        <v>160</v>
      </c>
      <c r="D75">
        <v>631.64323639451595</v>
      </c>
      <c r="E75">
        <v>1.8100034466280201E-3</v>
      </c>
      <c r="F75">
        <v>3.4299999999999997E-2</v>
      </c>
      <c r="G75">
        <v>21.665363008331902</v>
      </c>
      <c r="H75">
        <v>5.8496480122496202</v>
      </c>
      <c r="I75">
        <v>15.815714996082299</v>
      </c>
      <c r="J75">
        <v>647.45895139059803</v>
      </c>
      <c r="K75">
        <v>546944.14808043896</v>
      </c>
    </row>
    <row r="76" spans="1:13" x14ac:dyDescent="0.35">
      <c r="A76">
        <v>2035</v>
      </c>
      <c r="B76" t="s">
        <v>180</v>
      </c>
      <c r="C76" t="s">
        <v>159</v>
      </c>
      <c r="D76">
        <v>1576.48356609549</v>
      </c>
      <c r="E76">
        <v>4.5174879168706199E-3</v>
      </c>
      <c r="F76">
        <v>3.4299999999999997E-2</v>
      </c>
      <c r="G76">
        <v>54.073386317075503</v>
      </c>
      <c r="H76">
        <v>14.5998143056104</v>
      </c>
      <c r="I76">
        <v>39.473572011465102</v>
      </c>
      <c r="J76">
        <v>1615.95713810696</v>
      </c>
      <c r="K76">
        <v>546944.14808043896</v>
      </c>
    </row>
    <row r="77" spans="1:13" x14ac:dyDescent="0.35">
      <c r="A77">
        <v>2035</v>
      </c>
      <c r="B77" t="s">
        <v>180</v>
      </c>
      <c r="C77" t="s">
        <v>158</v>
      </c>
      <c r="D77">
        <v>1436.0440134759299</v>
      </c>
      <c r="E77">
        <v>4.1150517636153903E-3</v>
      </c>
      <c r="F77">
        <v>3.4299999999999997E-2</v>
      </c>
      <c r="G77">
        <v>49.256309662224503</v>
      </c>
      <c r="H77">
        <v>13.2992036088006</v>
      </c>
      <c r="I77">
        <v>35.9571060534239</v>
      </c>
      <c r="J77">
        <v>1472.00111952936</v>
      </c>
      <c r="K77">
        <v>546944.14808043896</v>
      </c>
    </row>
    <row r="78" spans="1:13" x14ac:dyDescent="0.35">
      <c r="A78">
        <v>2036</v>
      </c>
      <c r="B78" t="s">
        <v>179</v>
      </c>
      <c r="C78" t="s">
        <v>106</v>
      </c>
      <c r="D78">
        <v>32485.7</v>
      </c>
      <c r="E78">
        <v>7.3413717769720596E-2</v>
      </c>
      <c r="F78">
        <v>6.3E-2</v>
      </c>
      <c r="G78">
        <v>2046.5990999999899</v>
      </c>
      <c r="H78">
        <v>347.92184699999899</v>
      </c>
      <c r="I78">
        <v>1698.6772529999901</v>
      </c>
      <c r="J78">
        <v>34184.377252999999</v>
      </c>
      <c r="K78">
        <v>616132.58281261497</v>
      </c>
    </row>
    <row r="79" spans="1:13" x14ac:dyDescent="0.35">
      <c r="A79">
        <v>2036</v>
      </c>
      <c r="B79" t="s">
        <v>179</v>
      </c>
      <c r="C79" t="s">
        <v>107</v>
      </c>
      <c r="D79">
        <v>815.42</v>
      </c>
      <c r="E79">
        <v>1.8427496942896599E-3</v>
      </c>
      <c r="F79">
        <v>6.3E-2</v>
      </c>
      <c r="G79">
        <v>51.3714599999999</v>
      </c>
      <c r="H79">
        <v>8.7331481999999898</v>
      </c>
      <c r="I79">
        <v>42.638311799999897</v>
      </c>
      <c r="J79">
        <v>858.05831179999996</v>
      </c>
      <c r="K79">
        <v>616132.58281261497</v>
      </c>
    </row>
    <row r="80" spans="1:13" x14ac:dyDescent="0.35">
      <c r="A80">
        <v>2036</v>
      </c>
      <c r="B80" t="s">
        <v>180</v>
      </c>
      <c r="C80" t="s">
        <v>161</v>
      </c>
      <c r="D80">
        <v>3022.3765956852899</v>
      </c>
      <c r="E80">
        <v>6.8302022856040999E-3</v>
      </c>
      <c r="F80">
        <v>3.4299999999999997E-2</v>
      </c>
      <c r="G80">
        <v>103.667517232005</v>
      </c>
      <c r="H80">
        <v>27.990229652641499</v>
      </c>
      <c r="I80">
        <v>75.677287579364005</v>
      </c>
      <c r="J80">
        <v>3098.0538832646498</v>
      </c>
      <c r="K80">
        <v>616132.58281261497</v>
      </c>
    </row>
    <row r="81" spans="1:11" x14ac:dyDescent="0.35">
      <c r="A81">
        <v>2036</v>
      </c>
      <c r="B81" t="s">
        <v>180</v>
      </c>
      <c r="C81" t="s">
        <v>160</v>
      </c>
      <c r="D81">
        <v>316.23750100548898</v>
      </c>
      <c r="E81">
        <v>7.1465816180715596E-4</v>
      </c>
      <c r="F81">
        <v>3.4299999999999997E-2</v>
      </c>
      <c r="G81">
        <v>10.846946284488199</v>
      </c>
      <c r="H81">
        <v>2.9286754968118398</v>
      </c>
      <c r="I81">
        <v>7.91827078767645</v>
      </c>
      <c r="J81">
        <v>324.155771793165</v>
      </c>
      <c r="K81">
        <v>616132.58281261497</v>
      </c>
    </row>
    <row r="82" spans="1:11" x14ac:dyDescent="0.35">
      <c r="A82">
        <v>2036</v>
      </c>
      <c r="B82" t="s">
        <v>180</v>
      </c>
      <c r="C82" t="s">
        <v>159</v>
      </c>
      <c r="D82">
        <v>1897.36629823356</v>
      </c>
      <c r="E82">
        <v>4.2878162983804799E-3</v>
      </c>
      <c r="F82">
        <v>3.4299999999999997E-2</v>
      </c>
      <c r="G82">
        <v>65.079664029411305</v>
      </c>
      <c r="H82">
        <v>17.571509287941002</v>
      </c>
      <c r="I82">
        <v>47.5081547414702</v>
      </c>
      <c r="J82">
        <v>1944.87445297503</v>
      </c>
      <c r="K82">
        <v>616132.58281261497</v>
      </c>
    </row>
    <row r="83" spans="1:11" x14ac:dyDescent="0.35">
      <c r="A83">
        <v>2036</v>
      </c>
      <c r="B83" t="s">
        <v>180</v>
      </c>
      <c r="C83" t="s">
        <v>158</v>
      </c>
      <c r="D83">
        <v>403964.66615171399</v>
      </c>
      <c r="E83">
        <v>0.91291084969083003</v>
      </c>
      <c r="F83">
        <v>3.4299999999999997E-2</v>
      </c>
      <c r="G83">
        <v>13855.988049003799</v>
      </c>
      <c r="H83">
        <v>3741.11677323103</v>
      </c>
      <c r="I83">
        <v>10114.871275772701</v>
      </c>
      <c r="J83">
        <v>414079.53742748703</v>
      </c>
      <c r="K83">
        <v>616132.58281261497</v>
      </c>
    </row>
    <row r="84" spans="1:11" x14ac:dyDescent="0.35">
      <c r="A84">
        <v>2037</v>
      </c>
      <c r="B84" t="s">
        <v>179</v>
      </c>
      <c r="C84" t="s">
        <v>106</v>
      </c>
      <c r="D84">
        <v>113828.08</v>
      </c>
      <c r="E84">
        <v>0.213780167444309</v>
      </c>
      <c r="F84">
        <v>6.3E-2</v>
      </c>
      <c r="G84">
        <v>7171.1690399999898</v>
      </c>
      <c r="H84">
        <v>1219.0987367999901</v>
      </c>
      <c r="I84">
        <v>5952.0703031999901</v>
      </c>
      <c r="J84">
        <v>119780.150303199</v>
      </c>
      <c r="K84">
        <v>694073.35453840997</v>
      </c>
    </row>
    <row r="85" spans="1:11" x14ac:dyDescent="0.35">
      <c r="A85">
        <v>2037</v>
      </c>
      <c r="B85" t="s">
        <v>180</v>
      </c>
      <c r="C85" t="s">
        <v>106</v>
      </c>
      <c r="D85">
        <v>7423.79</v>
      </c>
      <c r="E85">
        <v>1.39425971980849E-2</v>
      </c>
      <c r="F85">
        <v>6.3E-2</v>
      </c>
      <c r="G85">
        <v>467.698769999999</v>
      </c>
      <c r="H85">
        <v>126.2786679</v>
      </c>
      <c r="I85">
        <v>341.42010209999899</v>
      </c>
      <c r="J85">
        <v>7765.2101020999999</v>
      </c>
      <c r="K85">
        <v>694073.35453840997</v>
      </c>
    </row>
    <row r="86" spans="1:11" x14ac:dyDescent="0.35">
      <c r="A86">
        <v>2037</v>
      </c>
      <c r="B86" t="s">
        <v>180</v>
      </c>
      <c r="C86" t="s">
        <v>161</v>
      </c>
      <c r="D86" s="42">
        <v>1.6967074694433999E-10</v>
      </c>
      <c r="E86" s="42">
        <v>3.1865810872117002E-16</v>
      </c>
      <c r="F86">
        <v>3.4299999999999997E-2</v>
      </c>
      <c r="G86" s="42">
        <v>5.8197066201908698E-12</v>
      </c>
      <c r="H86" s="42">
        <v>1.57132078745153E-12</v>
      </c>
      <c r="I86" s="42">
        <v>4.2483858327393299E-12</v>
      </c>
      <c r="J86" s="42">
        <v>1.73919132777079E-10</v>
      </c>
      <c r="K86">
        <v>694073.35453840997</v>
      </c>
    </row>
    <row r="87" spans="1:11" x14ac:dyDescent="0.35">
      <c r="A87">
        <v>2037</v>
      </c>
      <c r="B87" t="s">
        <v>180</v>
      </c>
      <c r="C87" t="s">
        <v>159</v>
      </c>
      <c r="D87" s="42">
        <v>1.1529962308741399E-13</v>
      </c>
      <c r="E87" s="42">
        <v>2.16543867997186E-19</v>
      </c>
      <c r="F87">
        <v>3.4299999999999997E-2</v>
      </c>
      <c r="G87" s="42">
        <v>3.9547770718983098E-15</v>
      </c>
      <c r="H87" s="42">
        <v>1.06778980941254E-15</v>
      </c>
      <c r="I87" s="42">
        <v>2.88698726248576E-15</v>
      </c>
      <c r="J87" s="42">
        <v>1.1818661034989999E-13</v>
      </c>
      <c r="K87">
        <v>694073.35453840997</v>
      </c>
    </row>
    <row r="88" spans="1:11" x14ac:dyDescent="0.35">
      <c r="A88">
        <v>2037</v>
      </c>
      <c r="B88" t="s">
        <v>180</v>
      </c>
      <c r="C88" t="s">
        <v>158</v>
      </c>
      <c r="D88">
        <v>411202.007699362</v>
      </c>
      <c r="E88">
        <v>0.77227722772277196</v>
      </c>
      <c r="F88">
        <v>3.4299999999999997E-2</v>
      </c>
      <c r="G88">
        <v>14104.2288640881</v>
      </c>
      <c r="H88">
        <v>3808.1417933037901</v>
      </c>
      <c r="I88">
        <v>10296.087070784301</v>
      </c>
      <c r="J88">
        <v>421498.094770147</v>
      </c>
      <c r="K88">
        <v>694073.35453840997</v>
      </c>
    </row>
    <row r="89" spans="1:11" x14ac:dyDescent="0.35">
      <c r="A89">
        <v>2038</v>
      </c>
      <c r="B89" t="s">
        <v>179</v>
      </c>
      <c r="C89" t="s">
        <v>106</v>
      </c>
      <c r="D89">
        <v>87212.38</v>
      </c>
      <c r="E89">
        <v>0.13892012907264301</v>
      </c>
      <c r="F89">
        <v>6.3E-2</v>
      </c>
      <c r="G89">
        <v>5494.3799399999898</v>
      </c>
      <c r="H89">
        <v>934.04458979999902</v>
      </c>
      <c r="I89">
        <v>4560.33535019999</v>
      </c>
      <c r="J89">
        <v>91772.7153502</v>
      </c>
      <c r="K89">
        <v>781873.63388751901</v>
      </c>
    </row>
    <row r="90" spans="1:11" x14ac:dyDescent="0.35">
      <c r="A90">
        <v>2038</v>
      </c>
      <c r="B90" t="s">
        <v>180</v>
      </c>
      <c r="C90" t="s">
        <v>106</v>
      </c>
      <c r="D90">
        <v>134102.67000000001</v>
      </c>
      <c r="E90">
        <v>0.21361141876171699</v>
      </c>
      <c r="F90">
        <v>6.3E-2</v>
      </c>
      <c r="G90">
        <v>8448.46820999999</v>
      </c>
      <c r="H90">
        <v>2281.08641669999</v>
      </c>
      <c r="I90">
        <v>6167.38179329999</v>
      </c>
      <c r="J90">
        <v>140270.05179329999</v>
      </c>
      <c r="K90">
        <v>781873.63388751901</v>
      </c>
    </row>
    <row r="91" spans="1:11" x14ac:dyDescent="0.35">
      <c r="A91">
        <v>2038</v>
      </c>
      <c r="B91" t="s">
        <v>179</v>
      </c>
      <c r="C91" t="s">
        <v>107</v>
      </c>
      <c r="D91">
        <v>587.9</v>
      </c>
      <c r="E91">
        <v>9.3646273478383295E-4</v>
      </c>
      <c r="F91">
        <v>6.3E-2</v>
      </c>
      <c r="G91">
        <v>37.037699999999901</v>
      </c>
      <c r="H91">
        <v>6.2964089999999899</v>
      </c>
      <c r="I91">
        <v>30.741290999999901</v>
      </c>
      <c r="J91">
        <v>618.641290999999</v>
      </c>
      <c r="K91">
        <v>781873.63388751901</v>
      </c>
    </row>
    <row r="92" spans="1:11" x14ac:dyDescent="0.35">
      <c r="A92">
        <v>2038</v>
      </c>
      <c r="B92" t="s">
        <v>180</v>
      </c>
      <c r="C92" t="s">
        <v>107</v>
      </c>
      <c r="D92">
        <v>903.99</v>
      </c>
      <c r="E92">
        <v>1.4399607885988001E-3</v>
      </c>
      <c r="F92">
        <v>6.3E-2</v>
      </c>
      <c r="G92">
        <v>56.951369999999997</v>
      </c>
      <c r="H92">
        <v>15.3768698999999</v>
      </c>
      <c r="I92">
        <v>41.574500099999902</v>
      </c>
      <c r="J92">
        <v>945.56450010000003</v>
      </c>
      <c r="K92">
        <v>781873.63388751901</v>
      </c>
    </row>
    <row r="93" spans="1:11" x14ac:dyDescent="0.35">
      <c r="A93">
        <v>2038</v>
      </c>
      <c r="B93" t="s">
        <v>180</v>
      </c>
      <c r="C93" t="s">
        <v>161</v>
      </c>
      <c r="D93">
        <v>112.062032774307</v>
      </c>
      <c r="E93">
        <v>1.78503006765203E-4</v>
      </c>
      <c r="F93">
        <v>3.4299999999999997E-2</v>
      </c>
      <c r="G93">
        <v>3.8437277241587302</v>
      </c>
      <c r="H93">
        <v>1.0378064855228499</v>
      </c>
      <c r="I93">
        <v>2.8059212386358698</v>
      </c>
      <c r="J93">
        <v>114.867954012943</v>
      </c>
      <c r="K93">
        <v>781873.63388751901</v>
      </c>
    </row>
    <row r="94" spans="1:11" x14ac:dyDescent="0.35">
      <c r="A94">
        <v>2038</v>
      </c>
      <c r="B94" t="s">
        <v>180</v>
      </c>
      <c r="C94" t="s">
        <v>160</v>
      </c>
      <c r="D94">
        <v>1447.2081032487999</v>
      </c>
      <c r="E94">
        <v>2.3052499713721599E-3</v>
      </c>
      <c r="F94">
        <v>3.4299999999999997E-2</v>
      </c>
      <c r="G94">
        <v>49.639237941433898</v>
      </c>
      <c r="H94">
        <v>13.4025942441871</v>
      </c>
      <c r="I94">
        <v>36.236643697246798</v>
      </c>
      <c r="J94">
        <v>1483.4447469460399</v>
      </c>
      <c r="K94">
        <v>781873.63388751901</v>
      </c>
    </row>
    <row r="95" spans="1:11" x14ac:dyDescent="0.35">
      <c r="A95">
        <v>2038</v>
      </c>
      <c r="B95" t="s">
        <v>180</v>
      </c>
      <c r="C95" t="s">
        <v>159</v>
      </c>
      <c r="D95">
        <v>1126.1504875441899</v>
      </c>
      <c r="E95">
        <v>1.7938390293311399E-3</v>
      </c>
      <c r="F95">
        <v>3.4299999999999997E-2</v>
      </c>
      <c r="G95">
        <v>38.626961722765799</v>
      </c>
      <c r="H95">
        <v>10.4292796651467</v>
      </c>
      <c r="I95">
        <v>28.197682057619001</v>
      </c>
      <c r="J95">
        <v>1154.34816960181</v>
      </c>
      <c r="K95">
        <v>781873.63388751901</v>
      </c>
    </row>
    <row r="96" spans="1:11" x14ac:dyDescent="0.35">
      <c r="A96">
        <v>2038</v>
      </c>
      <c r="B96" t="s">
        <v>180</v>
      </c>
      <c r="C96" t="s">
        <v>158</v>
      </c>
      <c r="D96">
        <v>402295.56119583501</v>
      </c>
      <c r="E96">
        <v>0.64081442665223598</v>
      </c>
      <c r="F96">
        <v>3.4299999999999997E-2</v>
      </c>
      <c r="G96">
        <v>13798.7377490171</v>
      </c>
      <c r="H96">
        <v>3725.6591922346402</v>
      </c>
      <c r="I96">
        <v>10073.078556782501</v>
      </c>
      <c r="J96">
        <v>412368.63975261798</v>
      </c>
      <c r="K96">
        <v>781873.63388751901</v>
      </c>
    </row>
    <row r="97" spans="1:15" x14ac:dyDescent="0.35">
      <c r="A97">
        <v>2039</v>
      </c>
      <c r="B97" t="s">
        <v>179</v>
      </c>
      <c r="C97" t="s">
        <v>106</v>
      </c>
      <c r="D97">
        <v>12.74</v>
      </c>
      <c r="E97" s="42">
        <v>1.7493747638528001E-5</v>
      </c>
      <c r="F97">
        <v>6.3E-2</v>
      </c>
      <c r="G97">
        <v>0.802619999999999</v>
      </c>
      <c r="H97">
        <v>0.136445399999999</v>
      </c>
      <c r="I97">
        <v>0.66617459999999895</v>
      </c>
      <c r="J97">
        <v>13.4061746</v>
      </c>
      <c r="K97">
        <v>880780.64857429103</v>
      </c>
      <c r="N97">
        <v>56</v>
      </c>
      <c r="O97">
        <v>400000</v>
      </c>
    </row>
    <row r="98" spans="1:15" x14ac:dyDescent="0.35">
      <c r="A98">
        <v>2039</v>
      </c>
      <c r="B98" t="s">
        <v>179</v>
      </c>
      <c r="C98" t="s">
        <v>107</v>
      </c>
      <c r="D98">
        <v>963.58</v>
      </c>
      <c r="E98">
        <v>1.32312600859755E-3</v>
      </c>
      <c r="F98">
        <v>6.3E-2</v>
      </c>
      <c r="G98">
        <v>60.705539999999999</v>
      </c>
      <c r="H98">
        <v>10.3199418</v>
      </c>
      <c r="I98">
        <v>50.385598199999997</v>
      </c>
      <c r="J98">
        <v>1013.9655982</v>
      </c>
      <c r="K98">
        <v>880780.64857429103</v>
      </c>
      <c r="N98">
        <v>56</v>
      </c>
      <c r="O98">
        <v>400000</v>
      </c>
    </row>
    <row r="99" spans="1:15" x14ac:dyDescent="0.35">
      <c r="A99">
        <v>2039</v>
      </c>
      <c r="B99" t="s">
        <v>180</v>
      </c>
      <c r="C99" t="s">
        <v>161</v>
      </c>
      <c r="D99">
        <v>119.716901372097</v>
      </c>
      <c r="E99">
        <v>1.64387540083989E-4</v>
      </c>
      <c r="F99">
        <v>3.4299999999999997E-2</v>
      </c>
      <c r="G99">
        <v>4.1062897170629196</v>
      </c>
      <c r="H99">
        <v>1.10869822360698</v>
      </c>
      <c r="I99">
        <v>2.9975914934559298</v>
      </c>
      <c r="J99">
        <v>122.714492865552</v>
      </c>
      <c r="K99">
        <v>880780.64857429103</v>
      </c>
      <c r="N99">
        <v>56</v>
      </c>
      <c r="O99">
        <v>400000</v>
      </c>
    </row>
    <row r="100" spans="1:15" x14ac:dyDescent="0.35">
      <c r="A100">
        <v>2039</v>
      </c>
      <c r="B100" t="s">
        <v>180</v>
      </c>
      <c r="C100" t="s">
        <v>160</v>
      </c>
      <c r="D100">
        <v>5058.5389487681596</v>
      </c>
      <c r="E100">
        <v>6.9460599520734202E-3</v>
      </c>
      <c r="F100">
        <v>3.4299999999999997E-2</v>
      </c>
      <c r="G100">
        <v>173.50788594274701</v>
      </c>
      <c r="H100">
        <v>46.847129204541801</v>
      </c>
      <c r="I100">
        <v>126.660756738205</v>
      </c>
      <c r="J100">
        <v>5185.1997055063603</v>
      </c>
      <c r="K100">
        <v>880780.64857429103</v>
      </c>
      <c r="N100">
        <v>56</v>
      </c>
      <c r="O100">
        <v>400000</v>
      </c>
    </row>
    <row r="101" spans="1:15" x14ac:dyDescent="0.35">
      <c r="A101">
        <v>2039</v>
      </c>
      <c r="B101" t="s">
        <v>180</v>
      </c>
      <c r="C101" t="s">
        <v>159</v>
      </c>
      <c r="D101">
        <v>3982.0655874129902</v>
      </c>
      <c r="E101">
        <v>5.4679160491577696E-3</v>
      </c>
      <c r="F101">
        <v>3.4299999999999997E-2</v>
      </c>
      <c r="G101">
        <v>136.58484964826499</v>
      </c>
      <c r="H101">
        <v>36.877909405031602</v>
      </c>
      <c r="I101">
        <v>99.706940243233703</v>
      </c>
      <c r="J101">
        <v>4081.7725276562201</v>
      </c>
      <c r="K101">
        <v>880780.64857429103</v>
      </c>
      <c r="N101">
        <v>56</v>
      </c>
      <c r="O101">
        <v>400000</v>
      </c>
    </row>
    <row r="102" spans="1:15" x14ac:dyDescent="0.35">
      <c r="A102">
        <v>2039</v>
      </c>
      <c r="B102" t="s">
        <v>180</v>
      </c>
      <c r="C102" t="s">
        <v>158</v>
      </c>
      <c r="D102">
        <v>718123.55229656305</v>
      </c>
      <c r="E102">
        <v>0.98608102018519705</v>
      </c>
      <c r="F102">
        <v>3.4299999999999997E-2</v>
      </c>
      <c r="G102">
        <v>24631.637843772001</v>
      </c>
      <c r="H102">
        <v>6650.5422178184599</v>
      </c>
      <c r="I102">
        <v>17981.0956259536</v>
      </c>
      <c r="J102">
        <v>736104.64792251703</v>
      </c>
      <c r="K102">
        <v>880780.64857429103</v>
      </c>
      <c r="N102">
        <v>56</v>
      </c>
      <c r="O102">
        <v>400000</v>
      </c>
    </row>
    <row r="103" spans="1:15" x14ac:dyDescent="0.35">
      <c r="A103">
        <v>2040</v>
      </c>
      <c r="B103" t="s">
        <v>179</v>
      </c>
      <c r="C103" t="s">
        <v>106</v>
      </c>
      <c r="D103">
        <v>106772.36</v>
      </c>
      <c r="E103">
        <v>0.245565399534144</v>
      </c>
      <c r="F103">
        <v>6.3E-2</v>
      </c>
      <c r="G103">
        <v>6726.6586799999905</v>
      </c>
      <c r="H103">
        <v>1143.5319755999899</v>
      </c>
      <c r="I103">
        <v>5583.1267043999896</v>
      </c>
      <c r="J103">
        <v>112355.4867044</v>
      </c>
      <c r="K103">
        <v>992199.40061893803</v>
      </c>
    </row>
    <row r="104" spans="1:15" x14ac:dyDescent="0.35">
      <c r="A104">
        <v>2040</v>
      </c>
      <c r="B104" t="s">
        <v>179</v>
      </c>
      <c r="C104" t="s">
        <v>107</v>
      </c>
      <c r="D104">
        <v>949.39</v>
      </c>
      <c r="E104">
        <v>2.1834989379622299E-3</v>
      </c>
      <c r="F104">
        <v>6.3E-2</v>
      </c>
      <c r="G104">
        <v>59.811569999999897</v>
      </c>
      <c r="H104">
        <v>10.1679668999999</v>
      </c>
      <c r="I104">
        <v>49.643603099999901</v>
      </c>
      <c r="J104">
        <v>999.03360309999903</v>
      </c>
      <c r="K104">
        <v>992199.40061893803</v>
      </c>
    </row>
    <row r="105" spans="1:15" x14ac:dyDescent="0.35">
      <c r="A105">
        <v>2040</v>
      </c>
      <c r="B105" t="s">
        <v>180</v>
      </c>
      <c r="C105" t="s">
        <v>161</v>
      </c>
      <c r="D105">
        <v>5204.5188880507603</v>
      </c>
      <c r="E105">
        <v>1.1969855870256899E-2</v>
      </c>
      <c r="F105">
        <v>3.4299999999999997E-2</v>
      </c>
      <c r="G105">
        <v>178.51499786014099</v>
      </c>
      <c r="H105">
        <v>48.199049422238097</v>
      </c>
      <c r="I105">
        <v>130.31594843790299</v>
      </c>
      <c r="J105">
        <v>5334.8348364886697</v>
      </c>
      <c r="K105">
        <v>992199.40061893803</v>
      </c>
    </row>
    <row r="106" spans="1:15" x14ac:dyDescent="0.35">
      <c r="A106">
        <v>2040</v>
      </c>
      <c r="B106" t="s">
        <v>180</v>
      </c>
      <c r="C106" t="s">
        <v>160</v>
      </c>
      <c r="D106">
        <v>13261.3043990679</v>
      </c>
      <c r="E106">
        <v>3.0499630364085199E-2</v>
      </c>
      <c r="F106">
        <v>3.4299999999999997E-2</v>
      </c>
      <c r="G106">
        <v>454.862740888031</v>
      </c>
      <c r="H106">
        <v>122.81294003976799</v>
      </c>
      <c r="I106">
        <v>332.04980084826201</v>
      </c>
      <c r="J106">
        <v>13593.354199916201</v>
      </c>
      <c r="K106">
        <v>992199.40061893803</v>
      </c>
    </row>
    <row r="107" spans="1:15" x14ac:dyDescent="0.35">
      <c r="A107">
        <v>2040</v>
      </c>
      <c r="B107" t="s">
        <v>180</v>
      </c>
      <c r="C107" t="s">
        <v>159</v>
      </c>
      <c r="D107">
        <v>3778.69086275686</v>
      </c>
      <c r="E107">
        <v>8.6905986851738698E-3</v>
      </c>
      <c r="F107">
        <v>3.4299999999999997E-2</v>
      </c>
      <c r="G107">
        <v>129.60909659256001</v>
      </c>
      <c r="H107">
        <v>34.994456079991302</v>
      </c>
      <c r="I107">
        <v>94.614640512569096</v>
      </c>
      <c r="J107">
        <v>3873.3055032694301</v>
      </c>
      <c r="K107">
        <v>992199.40061893803</v>
      </c>
    </row>
    <row r="108" spans="1:15" x14ac:dyDescent="0.35">
      <c r="A108">
        <v>2040</v>
      </c>
      <c r="B108" t="s">
        <v>180</v>
      </c>
      <c r="C108" t="s">
        <v>158</v>
      </c>
      <c r="D108">
        <v>304835.87538112001</v>
      </c>
      <c r="E108">
        <v>0.70109102702520998</v>
      </c>
      <c r="F108">
        <v>3.4299999999999997E-2</v>
      </c>
      <c r="G108">
        <v>10455.8705255723</v>
      </c>
      <c r="H108">
        <v>2823.08504190454</v>
      </c>
      <c r="I108">
        <v>7632.7854836678398</v>
      </c>
      <c r="J108">
        <v>312468.660864787</v>
      </c>
      <c r="K108">
        <v>992199.40061893803</v>
      </c>
    </row>
    <row r="109" spans="1:15" x14ac:dyDescent="0.35">
      <c r="A109">
        <v>2041</v>
      </c>
      <c r="B109" t="s">
        <v>179</v>
      </c>
      <c r="C109" t="s">
        <v>106</v>
      </c>
      <c r="D109">
        <v>227140.93</v>
      </c>
      <c r="E109">
        <v>0.42236154137517201</v>
      </c>
      <c r="F109">
        <v>6.3E-2</v>
      </c>
      <c r="G109">
        <v>14309.8785899999</v>
      </c>
      <c r="H109">
        <v>2432.6793602999901</v>
      </c>
      <c r="I109">
        <v>11877.1992296999</v>
      </c>
      <c r="J109">
        <v>239018.12922969999</v>
      </c>
      <c r="K109">
        <v>1117712.6247972299</v>
      </c>
    </row>
    <row r="110" spans="1:15" x14ac:dyDescent="0.35">
      <c r="A110">
        <v>2041</v>
      </c>
      <c r="B110" t="s">
        <v>180</v>
      </c>
      <c r="C110" t="s">
        <v>106</v>
      </c>
      <c r="D110">
        <v>1011.52</v>
      </c>
      <c r="E110">
        <v>1.8808901871266101E-3</v>
      </c>
      <c r="F110">
        <v>6.3E-2</v>
      </c>
      <c r="G110">
        <v>63.725760000000001</v>
      </c>
      <c r="H110">
        <v>17.205955199999998</v>
      </c>
      <c r="I110">
        <v>46.519804800000003</v>
      </c>
      <c r="J110">
        <v>1058.0398048</v>
      </c>
      <c r="K110">
        <v>1117712.6247972299</v>
      </c>
    </row>
    <row r="111" spans="1:15" x14ac:dyDescent="0.35">
      <c r="A111">
        <v>2041</v>
      </c>
      <c r="B111" t="s">
        <v>180</v>
      </c>
      <c r="C111" t="s">
        <v>159</v>
      </c>
      <c r="D111" s="42">
        <v>2.37468842572689E-12</v>
      </c>
      <c r="E111" s="42">
        <v>4.4156597570318702E-18</v>
      </c>
      <c r="F111">
        <v>3.4299999999999997E-2</v>
      </c>
      <c r="G111" s="42">
        <v>8.14518130024327E-14</v>
      </c>
      <c r="H111" s="42">
        <v>2.1991989510656799E-14</v>
      </c>
      <c r="I111" s="42">
        <v>5.9459823491775794E-14</v>
      </c>
      <c r="J111" s="42">
        <v>2.43414824921867E-12</v>
      </c>
      <c r="K111">
        <v>1117712.6247972299</v>
      </c>
    </row>
    <row r="112" spans="1:15" x14ac:dyDescent="0.35">
      <c r="A112">
        <v>2041</v>
      </c>
      <c r="B112" t="s">
        <v>180</v>
      </c>
      <c r="C112" t="s">
        <v>158</v>
      </c>
      <c r="D112">
        <v>309635.46251469501</v>
      </c>
      <c r="E112">
        <v>0.57575757575757502</v>
      </c>
      <c r="F112">
        <v>3.4299999999999997E-2</v>
      </c>
      <c r="G112">
        <v>10620.496364254001</v>
      </c>
      <c r="H112">
        <v>2867.5340183485901</v>
      </c>
      <c r="I112">
        <v>7752.9623459054401</v>
      </c>
      <c r="J112">
        <v>317388.42486060102</v>
      </c>
      <c r="K112">
        <v>1117712.6247972299</v>
      </c>
    </row>
    <row r="113" spans="1:11" x14ac:dyDescent="0.35">
      <c r="A113">
        <v>2042</v>
      </c>
      <c r="B113" t="s">
        <v>179</v>
      </c>
      <c r="C113" t="s">
        <v>106</v>
      </c>
      <c r="D113">
        <v>141199.5</v>
      </c>
      <c r="E113">
        <v>0.21806217252288601</v>
      </c>
      <c r="F113">
        <v>6.3E-2</v>
      </c>
      <c r="G113">
        <v>8895.5684999999903</v>
      </c>
      <c r="H113">
        <v>1512.2466449999899</v>
      </c>
      <c r="I113">
        <v>7383.3218549999901</v>
      </c>
      <c r="J113">
        <v>148582.82185499999</v>
      </c>
      <c r="K113">
        <v>1259103.2718340801</v>
      </c>
    </row>
    <row r="114" spans="1:11" x14ac:dyDescent="0.35">
      <c r="A114">
        <v>2042</v>
      </c>
      <c r="B114" t="s">
        <v>180</v>
      </c>
      <c r="C114" t="s">
        <v>106</v>
      </c>
      <c r="D114">
        <v>191117.93</v>
      </c>
      <c r="E114">
        <v>0.29515395609670603</v>
      </c>
      <c r="F114">
        <v>6.3E-2</v>
      </c>
      <c r="G114">
        <v>12040.4295899999</v>
      </c>
      <c r="H114">
        <v>3250.9159892999901</v>
      </c>
      <c r="I114">
        <v>8789.5136006999892</v>
      </c>
      <c r="J114">
        <v>199907.44360069901</v>
      </c>
      <c r="K114">
        <v>1259103.2718340801</v>
      </c>
    </row>
    <row r="115" spans="1:11" x14ac:dyDescent="0.35">
      <c r="A115">
        <v>2042</v>
      </c>
      <c r="B115" t="s">
        <v>179</v>
      </c>
      <c r="C115" t="s">
        <v>107</v>
      </c>
      <c r="D115">
        <v>191.15</v>
      </c>
      <c r="E115">
        <v>2.9520348356580303E-4</v>
      </c>
      <c r="F115">
        <v>6.3E-2</v>
      </c>
      <c r="G115">
        <v>12.042450000000001</v>
      </c>
      <c r="H115">
        <v>2.0472165000000002</v>
      </c>
      <c r="I115">
        <v>9.9952334999999994</v>
      </c>
      <c r="J115">
        <v>201.14523349999999</v>
      </c>
      <c r="K115">
        <v>1259103.2718340801</v>
      </c>
    </row>
    <row r="116" spans="1:11" x14ac:dyDescent="0.35">
      <c r="A116">
        <v>2042</v>
      </c>
      <c r="B116" t="s">
        <v>180</v>
      </c>
      <c r="C116" t="s">
        <v>107</v>
      </c>
      <c r="D116">
        <v>258.73</v>
      </c>
      <c r="E116">
        <v>3.9957100341606202E-4</v>
      </c>
      <c r="F116">
        <v>6.3E-2</v>
      </c>
      <c r="G116">
        <v>16.299989999999902</v>
      </c>
      <c r="H116">
        <v>4.4009972999999896</v>
      </c>
      <c r="I116">
        <v>11.8989926999999</v>
      </c>
      <c r="J116">
        <v>270.62899270000003</v>
      </c>
      <c r="K116">
        <v>1259103.2718340801</v>
      </c>
    </row>
    <row r="117" spans="1:11" x14ac:dyDescent="0.35">
      <c r="A117">
        <v>2042</v>
      </c>
      <c r="B117" t="s">
        <v>180</v>
      </c>
      <c r="C117" t="s">
        <v>161</v>
      </c>
      <c r="D117">
        <v>3456.0195479406202</v>
      </c>
      <c r="E117">
        <v>5.3373215266732301E-3</v>
      </c>
      <c r="F117">
        <v>3.4299999999999997E-2</v>
      </c>
      <c r="G117">
        <v>118.541470494363</v>
      </c>
      <c r="H117">
        <v>32.006197033478202</v>
      </c>
      <c r="I117">
        <v>86.535273460885406</v>
      </c>
      <c r="J117">
        <v>3542.5548214015098</v>
      </c>
      <c r="K117">
        <v>1259103.2718340801</v>
      </c>
    </row>
    <row r="118" spans="1:11" x14ac:dyDescent="0.35">
      <c r="A118">
        <v>2042</v>
      </c>
      <c r="B118" t="s">
        <v>180</v>
      </c>
      <c r="C118" t="s">
        <v>160</v>
      </c>
      <c r="D118">
        <v>3901.68631122326</v>
      </c>
      <c r="E118">
        <v>6.0255892799064396E-3</v>
      </c>
      <c r="F118">
        <v>3.4299999999999997E-2</v>
      </c>
      <c r="G118">
        <v>133.82784047495699</v>
      </c>
      <c r="H118">
        <v>36.1335169282385</v>
      </c>
      <c r="I118">
        <v>97.694323546719005</v>
      </c>
      <c r="J118">
        <v>3999.3806347699701</v>
      </c>
      <c r="K118">
        <v>1259103.2718340801</v>
      </c>
    </row>
    <row r="119" spans="1:11" x14ac:dyDescent="0.35">
      <c r="A119">
        <v>2042</v>
      </c>
      <c r="B119" t="s">
        <v>180</v>
      </c>
      <c r="C119" t="s">
        <v>159</v>
      </c>
      <c r="D119">
        <v>979.31683196758502</v>
      </c>
      <c r="E119">
        <v>1.51241297573349E-3</v>
      </c>
      <c r="F119">
        <v>3.4299999999999997E-2</v>
      </c>
      <c r="G119">
        <v>33.590567336488199</v>
      </c>
      <c r="H119">
        <v>9.06945318085182</v>
      </c>
      <c r="I119">
        <v>24.521114155636401</v>
      </c>
      <c r="J119">
        <v>1003.83794612322</v>
      </c>
      <c r="K119">
        <v>1259103.2718340801</v>
      </c>
    </row>
    <row r="120" spans="1:11" x14ac:dyDescent="0.35">
      <c r="A120">
        <v>2042</v>
      </c>
      <c r="B120" t="s">
        <v>180</v>
      </c>
      <c r="C120" t="s">
        <v>158</v>
      </c>
      <c r="D120">
        <v>306415.13066569198</v>
      </c>
      <c r="E120">
        <v>0.47321377970067102</v>
      </c>
      <c r="F120">
        <v>3.4299999999999997E-2</v>
      </c>
      <c r="G120">
        <v>10510.038981833201</v>
      </c>
      <c r="H120">
        <v>2837.7105250949799</v>
      </c>
      <c r="I120">
        <v>7672.3284567382798</v>
      </c>
      <c r="J120">
        <v>314087.45912243001</v>
      </c>
      <c r="K120">
        <v>1259103.2718340801</v>
      </c>
    </row>
    <row r="121" spans="1:11" x14ac:dyDescent="0.35">
      <c r="A121">
        <v>2043</v>
      </c>
      <c r="B121" t="s">
        <v>179</v>
      </c>
      <c r="C121" t="s">
        <v>106</v>
      </c>
      <c r="D121">
        <v>158843.47</v>
      </c>
      <c r="E121">
        <v>0.20830545812251799</v>
      </c>
      <c r="F121">
        <v>6.3E-2</v>
      </c>
      <c r="G121">
        <v>10007.1386099999</v>
      </c>
      <c r="H121">
        <v>1701.2135636999899</v>
      </c>
      <c r="I121">
        <v>8305.9250462999898</v>
      </c>
      <c r="J121">
        <v>167149.39504629999</v>
      </c>
      <c r="K121">
        <v>1418379.83572109</v>
      </c>
    </row>
    <row r="122" spans="1:11" x14ac:dyDescent="0.35">
      <c r="A122">
        <v>2043</v>
      </c>
      <c r="B122" t="s">
        <v>180</v>
      </c>
      <c r="C122" t="s">
        <v>106</v>
      </c>
      <c r="D122">
        <v>284972.53999999998</v>
      </c>
      <c r="E122">
        <v>0.37370963689623199</v>
      </c>
      <c r="F122">
        <v>6.3E-2</v>
      </c>
      <c r="G122">
        <v>17953.270019999902</v>
      </c>
      <c r="H122">
        <v>4847.3829053999898</v>
      </c>
      <c r="I122">
        <v>13105.8871145999</v>
      </c>
      <c r="J122">
        <v>298078.42711459898</v>
      </c>
      <c r="K122">
        <v>1418379.83572109</v>
      </c>
    </row>
    <row r="123" spans="1:11" x14ac:dyDescent="0.35">
      <c r="A123">
        <v>2043</v>
      </c>
      <c r="B123" t="s">
        <v>179</v>
      </c>
      <c r="C123" t="s">
        <v>107</v>
      </c>
      <c r="D123">
        <v>433.09</v>
      </c>
      <c r="E123">
        <v>5.6794913167208696E-4</v>
      </c>
      <c r="F123">
        <v>6.3E-2</v>
      </c>
      <c r="G123">
        <v>27.284669999999899</v>
      </c>
      <c r="H123">
        <v>4.6383938999999899</v>
      </c>
      <c r="I123">
        <v>22.646276099999898</v>
      </c>
      <c r="J123">
        <v>455.73627609999897</v>
      </c>
      <c r="K123">
        <v>1418379.83572109</v>
      </c>
    </row>
    <row r="124" spans="1:11" x14ac:dyDescent="0.35">
      <c r="A124">
        <v>2043</v>
      </c>
      <c r="B124" t="s">
        <v>180</v>
      </c>
      <c r="C124" t="s">
        <v>107</v>
      </c>
      <c r="D124">
        <v>776.98</v>
      </c>
      <c r="E124">
        <v>1.0189224325811699E-3</v>
      </c>
      <c r="F124">
        <v>6.3E-2</v>
      </c>
      <c r="G124">
        <v>48.949739999999899</v>
      </c>
      <c r="H124">
        <v>13.216429799999901</v>
      </c>
      <c r="I124">
        <v>35.733310199999899</v>
      </c>
      <c r="J124">
        <v>812.713310199999</v>
      </c>
      <c r="K124">
        <v>1418379.83572109</v>
      </c>
    </row>
    <row r="125" spans="1:11" x14ac:dyDescent="0.35">
      <c r="A125">
        <v>2043</v>
      </c>
      <c r="B125" t="s">
        <v>180</v>
      </c>
      <c r="C125" t="s">
        <v>161</v>
      </c>
      <c r="D125">
        <v>1481.2026437720499</v>
      </c>
      <c r="E125">
        <v>1.94243172403135E-3</v>
      </c>
      <c r="F125">
        <v>3.4299999999999997E-2</v>
      </c>
      <c r="G125">
        <v>50.805250681381402</v>
      </c>
      <c r="H125">
        <v>13.717417683973</v>
      </c>
      <c r="I125">
        <v>37.087832997408398</v>
      </c>
      <c r="J125">
        <v>1518.2904767694599</v>
      </c>
      <c r="K125">
        <v>1418379.83572109</v>
      </c>
    </row>
    <row r="126" spans="1:11" x14ac:dyDescent="0.35">
      <c r="A126">
        <v>2043</v>
      </c>
      <c r="B126" t="s">
        <v>180</v>
      </c>
      <c r="C126" t="s">
        <v>160</v>
      </c>
      <c r="D126">
        <v>3122.6521416053001</v>
      </c>
      <c r="E126">
        <v>4.0950092875354296E-3</v>
      </c>
      <c r="F126">
        <v>3.4299999999999997E-2</v>
      </c>
      <c r="G126">
        <v>107.106968457062</v>
      </c>
      <c r="H126">
        <v>28.9188814834067</v>
      </c>
      <c r="I126">
        <v>78.188086973655302</v>
      </c>
      <c r="J126">
        <v>3200.8402285789598</v>
      </c>
      <c r="K126">
        <v>1418379.83572109</v>
      </c>
    </row>
    <row r="127" spans="1:11" x14ac:dyDescent="0.35">
      <c r="A127">
        <v>2043</v>
      </c>
      <c r="B127" t="s">
        <v>180</v>
      </c>
      <c r="C127" t="s">
        <v>159</v>
      </c>
      <c r="D127">
        <v>3965.9573185970098</v>
      </c>
      <c r="E127">
        <v>5.2009097770572797E-3</v>
      </c>
      <c r="F127">
        <v>3.4299999999999997E-2</v>
      </c>
      <c r="G127">
        <v>136.03233602787699</v>
      </c>
      <c r="H127">
        <v>36.728730727526901</v>
      </c>
      <c r="I127">
        <v>99.303605300350597</v>
      </c>
      <c r="J127">
        <v>4065.26092389736</v>
      </c>
      <c r="K127">
        <v>1418379.83572109</v>
      </c>
    </row>
    <row r="128" spans="1:11" x14ac:dyDescent="0.35">
      <c r="A128">
        <v>2043</v>
      </c>
      <c r="B128" t="s">
        <v>180</v>
      </c>
      <c r="C128" t="s">
        <v>158</v>
      </c>
      <c r="D128">
        <v>308954.78581045999</v>
      </c>
      <c r="E128">
        <v>0.40515967195498997</v>
      </c>
      <c r="F128">
        <v>3.4299999999999997E-2</v>
      </c>
      <c r="G128">
        <v>10597.1491532988</v>
      </c>
      <c r="H128">
        <v>2861.2302713906802</v>
      </c>
      <c r="I128">
        <v>7735.9188819081301</v>
      </c>
      <c r="J128">
        <v>316690.70469236799</v>
      </c>
      <c r="K128">
        <v>1418379.83572109</v>
      </c>
    </row>
    <row r="129" spans="1:17" x14ac:dyDescent="0.35">
      <c r="A129">
        <v>2044</v>
      </c>
      <c r="B129" t="s">
        <v>179</v>
      </c>
      <c r="C129" t="s">
        <v>106</v>
      </c>
      <c r="D129">
        <v>179009.8</v>
      </c>
      <c r="E129">
        <v>0.20047419576223499</v>
      </c>
      <c r="F129">
        <v>6.3E-2</v>
      </c>
      <c r="G129">
        <v>11277.617399999899</v>
      </c>
      <c r="H129">
        <v>1917.19495799999</v>
      </c>
      <c r="I129">
        <v>9360.42244199999</v>
      </c>
      <c r="J129">
        <v>188370.22244199901</v>
      </c>
      <c r="K129">
        <v>1597804.88493981</v>
      </c>
      <c r="P129">
        <v>36.363636363636303</v>
      </c>
      <c r="Q129">
        <v>300000</v>
      </c>
    </row>
    <row r="130" spans="1:17" x14ac:dyDescent="0.35">
      <c r="A130">
        <v>2044</v>
      </c>
      <c r="B130" t="s">
        <v>180</v>
      </c>
      <c r="C130" t="s">
        <v>106</v>
      </c>
      <c r="D130">
        <v>384147.86</v>
      </c>
      <c r="E130">
        <v>0.43020959348194299</v>
      </c>
      <c r="F130">
        <v>6.3E-2</v>
      </c>
      <c r="G130">
        <v>24201.3151799999</v>
      </c>
      <c r="H130">
        <v>6534.35509859999</v>
      </c>
      <c r="I130">
        <v>17666.960081399899</v>
      </c>
      <c r="J130">
        <v>401814.82008139999</v>
      </c>
      <c r="K130">
        <v>1597804.88493981</v>
      </c>
      <c r="P130">
        <v>36.363636363636303</v>
      </c>
      <c r="Q130">
        <v>300000</v>
      </c>
    </row>
    <row r="131" spans="1:17" x14ac:dyDescent="0.35">
      <c r="A131">
        <v>2044</v>
      </c>
      <c r="B131" t="s">
        <v>179</v>
      </c>
      <c r="C131" t="s">
        <v>107</v>
      </c>
      <c r="D131">
        <v>415.25</v>
      </c>
      <c r="E131">
        <v>4.65041074791818E-4</v>
      </c>
      <c r="F131">
        <v>6.3E-2</v>
      </c>
      <c r="G131">
        <v>26.160749999999901</v>
      </c>
      <c r="H131">
        <v>4.4473274999999903</v>
      </c>
      <c r="I131">
        <v>21.713422499999901</v>
      </c>
      <c r="J131">
        <v>436.96342249999998</v>
      </c>
      <c r="K131">
        <v>1597804.88493981</v>
      </c>
      <c r="P131">
        <v>36.363636363636303</v>
      </c>
      <c r="Q131">
        <v>300000</v>
      </c>
    </row>
    <row r="132" spans="1:17" x14ac:dyDescent="0.35">
      <c r="A132">
        <v>2044</v>
      </c>
      <c r="B132" t="s">
        <v>180</v>
      </c>
      <c r="C132" t="s">
        <v>107</v>
      </c>
      <c r="D132">
        <v>891.11</v>
      </c>
      <c r="E132">
        <v>9.9795966804993902E-4</v>
      </c>
      <c r="F132">
        <v>6.3E-2</v>
      </c>
      <c r="G132">
        <v>56.1399299999999</v>
      </c>
      <c r="H132">
        <v>15.1577810999999</v>
      </c>
      <c r="I132">
        <v>40.982148899999899</v>
      </c>
      <c r="J132">
        <v>932.09214889999998</v>
      </c>
      <c r="K132">
        <v>1597804.88493981</v>
      </c>
      <c r="P132">
        <v>36.363636363636303</v>
      </c>
      <c r="Q132">
        <v>300000</v>
      </c>
    </row>
    <row r="133" spans="1:17" x14ac:dyDescent="0.35">
      <c r="A133">
        <v>2044</v>
      </c>
      <c r="B133" t="s">
        <v>180</v>
      </c>
      <c r="C133" t="s">
        <v>161</v>
      </c>
      <c r="D133">
        <v>2440.8158348884199</v>
      </c>
      <c r="E133">
        <v>2.7334849349196898E-3</v>
      </c>
      <c r="F133">
        <v>3.4299999999999997E-2</v>
      </c>
      <c r="G133">
        <v>83.719983136672894</v>
      </c>
      <c r="H133">
        <v>22.604395446901599</v>
      </c>
      <c r="I133">
        <v>61.115587689771203</v>
      </c>
      <c r="J133">
        <v>2501.93142257819</v>
      </c>
      <c r="K133">
        <v>1597804.88493981</v>
      </c>
      <c r="P133">
        <v>36.363636363636303</v>
      </c>
      <c r="Q133">
        <v>300000</v>
      </c>
    </row>
    <row r="134" spans="1:17" x14ac:dyDescent="0.35">
      <c r="A134">
        <v>2044</v>
      </c>
      <c r="B134" t="s">
        <v>180</v>
      </c>
      <c r="C134" t="s">
        <v>160</v>
      </c>
      <c r="D134">
        <v>1715.7018393548101</v>
      </c>
      <c r="E134">
        <v>1.92142523153729E-3</v>
      </c>
      <c r="F134">
        <v>3.4299999999999997E-2</v>
      </c>
      <c r="G134">
        <v>58.848573089870101</v>
      </c>
      <c r="H134">
        <v>15.889114734264901</v>
      </c>
      <c r="I134">
        <v>42.959458355605101</v>
      </c>
      <c r="J134">
        <v>1758.6612977104101</v>
      </c>
      <c r="K134">
        <v>1597804.88493981</v>
      </c>
      <c r="P134">
        <v>36.363636363636303</v>
      </c>
      <c r="Q134">
        <v>300000</v>
      </c>
    </row>
    <row r="135" spans="1:17" x14ac:dyDescent="0.35">
      <c r="A135">
        <v>2044</v>
      </c>
      <c r="B135" t="s">
        <v>180</v>
      </c>
      <c r="C135" t="s">
        <v>159</v>
      </c>
      <c r="D135">
        <v>2438.2333424963399</v>
      </c>
      <c r="E135">
        <v>2.7305927855213602E-3</v>
      </c>
      <c r="F135">
        <v>3.4299999999999997E-2</v>
      </c>
      <c r="G135">
        <v>83.631403647624595</v>
      </c>
      <c r="H135">
        <v>22.580478984858601</v>
      </c>
      <c r="I135">
        <v>61.050924662766</v>
      </c>
      <c r="J135">
        <v>2499.2842671591002</v>
      </c>
      <c r="K135">
        <v>1597804.88493981</v>
      </c>
      <c r="P135">
        <v>36.363636363636303</v>
      </c>
      <c r="Q135">
        <v>300000</v>
      </c>
    </row>
    <row r="136" spans="1:17" x14ac:dyDescent="0.35">
      <c r="A136">
        <v>2044</v>
      </c>
      <c r="B136" t="s">
        <v>180</v>
      </c>
      <c r="C136" t="s">
        <v>158</v>
      </c>
      <c r="D136">
        <v>321873.11282256502</v>
      </c>
      <c r="E136">
        <v>0.36046771422900398</v>
      </c>
      <c r="F136">
        <v>3.4299999999999997E-2</v>
      </c>
      <c r="G136">
        <v>11040.247769813899</v>
      </c>
      <c r="H136">
        <v>2980.8668978497699</v>
      </c>
      <c r="I136">
        <v>8059.3808719642002</v>
      </c>
      <c r="J136">
        <v>329932.493694529</v>
      </c>
      <c r="K136">
        <v>1597804.88493981</v>
      </c>
      <c r="P136">
        <v>36.363636363636303</v>
      </c>
      <c r="Q136">
        <v>300000</v>
      </c>
    </row>
    <row r="137" spans="1:17" x14ac:dyDescent="0.35">
      <c r="A137">
        <v>2045</v>
      </c>
      <c r="B137" t="s">
        <v>179</v>
      </c>
      <c r="C137" t="s">
        <v>106</v>
      </c>
      <c r="D137">
        <v>199865.97</v>
      </c>
      <c r="E137">
        <v>0.27370779380696703</v>
      </c>
      <c r="F137">
        <v>6.3E-2</v>
      </c>
      <c r="G137">
        <v>12591.556109999899</v>
      </c>
      <c r="H137">
        <v>2140.56453869999</v>
      </c>
      <c r="I137">
        <v>10450.991571299901</v>
      </c>
      <c r="J137">
        <v>210316.96157129999</v>
      </c>
      <c r="K137">
        <v>1799927.2028846999</v>
      </c>
    </row>
    <row r="138" spans="1:17" x14ac:dyDescent="0.35">
      <c r="A138">
        <v>2045</v>
      </c>
      <c r="B138" t="s">
        <v>180</v>
      </c>
      <c r="C138" t="s">
        <v>106</v>
      </c>
      <c r="D138">
        <v>508755.16</v>
      </c>
      <c r="E138">
        <v>0.696718167837731</v>
      </c>
      <c r="F138">
        <v>6.3E-2</v>
      </c>
      <c r="G138">
        <v>32051.5750799999</v>
      </c>
      <c r="H138">
        <v>8653.9252715999792</v>
      </c>
      <c r="I138">
        <v>23397.649808399899</v>
      </c>
      <c r="J138">
        <v>532152.80980839895</v>
      </c>
      <c r="K138">
        <v>1799927.2028846999</v>
      </c>
    </row>
    <row r="139" spans="1:17" x14ac:dyDescent="0.35">
      <c r="A139">
        <v>2045</v>
      </c>
      <c r="B139" t="s">
        <v>179</v>
      </c>
      <c r="C139" t="s">
        <v>107</v>
      </c>
      <c r="D139">
        <v>2256.35</v>
      </c>
      <c r="E139">
        <v>3.08997364862238E-3</v>
      </c>
      <c r="F139">
        <v>6.3E-2</v>
      </c>
      <c r="G139">
        <v>142.150049999999</v>
      </c>
      <c r="H139">
        <v>24.165508499999898</v>
      </c>
      <c r="I139">
        <v>117.984541499999</v>
      </c>
      <c r="J139">
        <v>2374.3345414999999</v>
      </c>
      <c r="K139">
        <v>1799927.2028846999</v>
      </c>
    </row>
    <row r="140" spans="1:17" x14ac:dyDescent="0.35">
      <c r="A140">
        <v>2045</v>
      </c>
      <c r="B140" t="s">
        <v>180</v>
      </c>
      <c r="C140" t="s">
        <v>107</v>
      </c>
      <c r="D140">
        <v>5743.49</v>
      </c>
      <c r="E140">
        <v>7.86546092189872E-3</v>
      </c>
      <c r="F140">
        <v>6.3E-2</v>
      </c>
      <c r="G140">
        <v>361.839869999999</v>
      </c>
      <c r="H140">
        <v>97.696764899999906</v>
      </c>
      <c r="I140">
        <v>264.14310509999899</v>
      </c>
      <c r="J140">
        <v>6007.6331050999997</v>
      </c>
      <c r="K140">
        <v>1799927.2028846999</v>
      </c>
    </row>
    <row r="141" spans="1:17" x14ac:dyDescent="0.35">
      <c r="A141">
        <v>2045</v>
      </c>
      <c r="B141" t="s">
        <v>180</v>
      </c>
      <c r="C141" t="s">
        <v>161</v>
      </c>
      <c r="D141">
        <v>1720.5449199320101</v>
      </c>
      <c r="E141">
        <v>2.3562117862304202E-3</v>
      </c>
      <c r="F141">
        <v>3.4299999999999997E-2</v>
      </c>
      <c r="G141">
        <v>59.0146907536679</v>
      </c>
      <c r="H141">
        <v>15.9339665034903</v>
      </c>
      <c r="I141">
        <v>43.080724250177603</v>
      </c>
      <c r="J141">
        <v>1763.6256441821899</v>
      </c>
      <c r="K141">
        <v>1799927.2028846999</v>
      </c>
    </row>
    <row r="142" spans="1:17" x14ac:dyDescent="0.35">
      <c r="A142">
        <v>2045</v>
      </c>
      <c r="B142" t="s">
        <v>180</v>
      </c>
      <c r="C142" t="s">
        <v>160</v>
      </c>
      <c r="D142">
        <v>5162.4343891844501</v>
      </c>
      <c r="E142">
        <v>7.0697304165231196E-3</v>
      </c>
      <c r="F142">
        <v>3.4299999999999997E-2</v>
      </c>
      <c r="G142">
        <v>177.07149954902701</v>
      </c>
      <c r="H142">
        <v>47.809304878237299</v>
      </c>
      <c r="I142">
        <v>129.262194670789</v>
      </c>
      <c r="J142">
        <v>5291.6965838552396</v>
      </c>
      <c r="K142">
        <v>1799927.2028846999</v>
      </c>
    </row>
    <row r="143" spans="1:17" x14ac:dyDescent="0.35">
      <c r="A143">
        <v>2045</v>
      </c>
      <c r="B143" t="s">
        <v>180</v>
      </c>
      <c r="C143" t="s">
        <v>159</v>
      </c>
      <c r="D143">
        <v>2066.79503321731</v>
      </c>
      <c r="E143">
        <v>2.8303863273628298E-3</v>
      </c>
      <c r="F143">
        <v>3.4299999999999997E-2</v>
      </c>
      <c r="G143">
        <v>70.8910696393541</v>
      </c>
      <c r="H143">
        <v>19.140588802625601</v>
      </c>
      <c r="I143">
        <v>51.7504808367284</v>
      </c>
      <c r="J143">
        <v>2118.5455140540398</v>
      </c>
      <c r="K143">
        <v>1799927.2028846999</v>
      </c>
    </row>
    <row r="144" spans="1:17" x14ac:dyDescent="0.35">
      <c r="A144">
        <v>2045</v>
      </c>
      <c r="B144" t="s">
        <v>180</v>
      </c>
      <c r="C144" t="s">
        <v>158</v>
      </c>
      <c r="D144">
        <v>4645.8464034553199</v>
      </c>
      <c r="E144">
        <v>6.36228553292885E-3</v>
      </c>
      <c r="F144">
        <v>3.4299999999999997E-2</v>
      </c>
      <c r="G144">
        <v>159.35253163851701</v>
      </c>
      <c r="H144">
        <v>43.025183542399702</v>
      </c>
      <c r="I144">
        <v>116.32734809611701</v>
      </c>
      <c r="J144">
        <v>4762.1737515514396</v>
      </c>
      <c r="K144">
        <v>1799927.2028846999</v>
      </c>
    </row>
    <row r="145" spans="1:11" x14ac:dyDescent="0.35">
      <c r="A145">
        <v>2046</v>
      </c>
      <c r="B145" t="s">
        <v>179</v>
      </c>
      <c r="C145" t="s">
        <v>106</v>
      </c>
      <c r="D145">
        <v>225809.8</v>
      </c>
      <c r="E145">
        <v>0.26021621324115402</v>
      </c>
      <c r="F145">
        <v>6.3E-2</v>
      </c>
      <c r="G145">
        <v>14226.017399999901</v>
      </c>
      <c r="H145">
        <v>2418.4229579999901</v>
      </c>
      <c r="I145">
        <v>11807.5944419999</v>
      </c>
      <c r="J145">
        <v>237617.394441999</v>
      </c>
      <c r="K145">
        <v>2027617.9940496101</v>
      </c>
    </row>
    <row r="146" spans="1:11" x14ac:dyDescent="0.35">
      <c r="A146">
        <v>2046</v>
      </c>
      <c r="B146" t="s">
        <v>180</v>
      </c>
      <c r="C146" t="s">
        <v>106</v>
      </c>
      <c r="D146">
        <v>599658.73</v>
      </c>
      <c r="E146">
        <v>0.69102813056652002</v>
      </c>
      <c r="F146">
        <v>6.3E-2</v>
      </c>
      <c r="G146">
        <v>37778.499989999902</v>
      </c>
      <c r="H146">
        <v>10200.194997299899</v>
      </c>
      <c r="I146">
        <v>27578.304992699901</v>
      </c>
      <c r="J146">
        <v>627237.03499269998</v>
      </c>
      <c r="K146">
        <v>2027617.9940496101</v>
      </c>
    </row>
    <row r="147" spans="1:11" x14ac:dyDescent="0.35">
      <c r="A147">
        <v>2046</v>
      </c>
      <c r="B147" t="s">
        <v>179</v>
      </c>
      <c r="C147" t="s">
        <v>107</v>
      </c>
      <c r="D147">
        <v>1880.99</v>
      </c>
      <c r="E147">
        <v>2.1675945638518698E-3</v>
      </c>
      <c r="F147">
        <v>6.3E-2</v>
      </c>
      <c r="G147">
        <v>118.502369999999</v>
      </c>
      <c r="H147">
        <v>20.145402899999901</v>
      </c>
      <c r="I147">
        <v>98.356967099999906</v>
      </c>
      <c r="J147">
        <v>1979.3469671</v>
      </c>
      <c r="K147">
        <v>2027617.9940496101</v>
      </c>
    </row>
    <row r="148" spans="1:11" x14ac:dyDescent="0.35">
      <c r="A148">
        <v>2046</v>
      </c>
      <c r="B148" t="s">
        <v>180</v>
      </c>
      <c r="C148" t="s">
        <v>107</v>
      </c>
      <c r="D148">
        <v>4995.13</v>
      </c>
      <c r="E148">
        <v>5.7562329590978203E-3</v>
      </c>
      <c r="F148">
        <v>6.3E-2</v>
      </c>
      <c r="G148">
        <v>314.69318999999899</v>
      </c>
      <c r="H148">
        <v>84.967161300000001</v>
      </c>
      <c r="I148">
        <v>229.72602869999901</v>
      </c>
      <c r="J148">
        <v>5224.8560287</v>
      </c>
      <c r="K148">
        <v>2027617.9940496101</v>
      </c>
    </row>
    <row r="149" spans="1:11" x14ac:dyDescent="0.35">
      <c r="A149">
        <v>2046</v>
      </c>
      <c r="B149" t="s">
        <v>180</v>
      </c>
      <c r="C149" t="s">
        <v>161</v>
      </c>
      <c r="D149">
        <v>11103.414537859901</v>
      </c>
      <c r="E149">
        <v>1.27952306989718E-2</v>
      </c>
      <c r="F149">
        <v>3.4299999999999997E-2</v>
      </c>
      <c r="G149">
        <v>380.84711864859401</v>
      </c>
      <c r="H149">
        <v>102.82872203511999</v>
      </c>
      <c r="I149">
        <v>278.01839661347401</v>
      </c>
      <c r="J149">
        <v>11381.4329344733</v>
      </c>
      <c r="K149">
        <v>2027617.9940496101</v>
      </c>
    </row>
    <row r="150" spans="1:11" x14ac:dyDescent="0.35">
      <c r="A150">
        <v>2046</v>
      </c>
      <c r="B150" t="s">
        <v>180</v>
      </c>
      <c r="C150" t="s">
        <v>160</v>
      </c>
      <c r="D150">
        <v>8179.4805988133203</v>
      </c>
      <c r="E150">
        <v>9.4257798718332501E-3</v>
      </c>
      <c r="F150">
        <v>3.4299999999999997E-2</v>
      </c>
      <c r="G150">
        <v>280.55618453929702</v>
      </c>
      <c r="H150">
        <v>75.7501698256103</v>
      </c>
      <c r="I150">
        <v>204.80601471368701</v>
      </c>
      <c r="J150">
        <v>8384.2866135270106</v>
      </c>
      <c r="K150">
        <v>2027617.9940496101</v>
      </c>
    </row>
    <row r="151" spans="1:11" x14ac:dyDescent="0.35">
      <c r="A151">
        <v>2046</v>
      </c>
      <c r="B151" t="s">
        <v>180</v>
      </c>
      <c r="C151" t="s">
        <v>159</v>
      </c>
      <c r="D151">
        <v>8008.0295469197599</v>
      </c>
      <c r="E151">
        <v>9.2282049947466204E-3</v>
      </c>
      <c r="F151">
        <v>3.4299999999999997E-2</v>
      </c>
      <c r="G151">
        <v>274.675413459347</v>
      </c>
      <c r="H151">
        <v>74.162361634023796</v>
      </c>
      <c r="I151">
        <v>200.513051825323</v>
      </c>
      <c r="J151">
        <v>8208.5425987450799</v>
      </c>
      <c r="K151">
        <v>2027617.9940496101</v>
      </c>
    </row>
    <row r="152" spans="1:11" x14ac:dyDescent="0.35">
      <c r="A152">
        <v>2046</v>
      </c>
      <c r="B152" t="s">
        <v>180</v>
      </c>
      <c r="C152" t="s">
        <v>158</v>
      </c>
      <c r="D152">
        <v>8142.0198583353504</v>
      </c>
      <c r="E152">
        <v>9.38261127581844E-3</v>
      </c>
      <c r="F152">
        <v>3.4299999999999997E-2</v>
      </c>
      <c r="G152">
        <v>279.27128114090198</v>
      </c>
      <c r="H152">
        <v>75.403245908043701</v>
      </c>
      <c r="I152">
        <v>203.868035232859</v>
      </c>
      <c r="J152">
        <v>8345.8878935682096</v>
      </c>
      <c r="K152">
        <v>2027617.9940496101</v>
      </c>
    </row>
    <row r="153" spans="1:11" x14ac:dyDescent="0.35">
      <c r="A153">
        <v>2047</v>
      </c>
      <c r="B153" t="s">
        <v>179</v>
      </c>
      <c r="C153" t="s">
        <v>106</v>
      </c>
      <c r="D153">
        <v>253198.74</v>
      </c>
      <c r="E153">
        <v>0.250097902102356</v>
      </c>
      <c r="F153">
        <v>6.3E-2</v>
      </c>
      <c r="G153">
        <v>15951.520619999899</v>
      </c>
      <c r="H153">
        <v>2711.7585053999901</v>
      </c>
      <c r="I153">
        <v>13239.7621145999</v>
      </c>
      <c r="J153">
        <v>266438.50211459998</v>
      </c>
      <c r="K153">
        <v>2284111.6702968902</v>
      </c>
    </row>
    <row r="154" spans="1:11" x14ac:dyDescent="0.35">
      <c r="A154">
        <v>2047</v>
      </c>
      <c r="B154" t="s">
        <v>180</v>
      </c>
      <c r="C154" t="s">
        <v>106</v>
      </c>
      <c r="D154">
        <v>724820.21</v>
      </c>
      <c r="E154">
        <v>0.715943586142606</v>
      </c>
      <c r="F154">
        <v>6.3E-2</v>
      </c>
      <c r="G154">
        <v>45663.673229999898</v>
      </c>
      <c r="H154">
        <v>12329.191772099901</v>
      </c>
      <c r="I154">
        <v>33334.481457899899</v>
      </c>
      <c r="J154">
        <v>758154.69145789999</v>
      </c>
      <c r="K154">
        <v>2284111.6702968902</v>
      </c>
    </row>
    <row r="155" spans="1:11" x14ac:dyDescent="0.35">
      <c r="A155">
        <v>2047</v>
      </c>
      <c r="B155" t="s">
        <v>179</v>
      </c>
      <c r="C155" t="s">
        <v>107</v>
      </c>
      <c r="D155">
        <v>3294.94</v>
      </c>
      <c r="E155">
        <v>3.2545880028989698E-3</v>
      </c>
      <c r="F155">
        <v>6.3E-2</v>
      </c>
      <c r="G155">
        <v>207.58122</v>
      </c>
      <c r="H155">
        <v>35.288807400000003</v>
      </c>
      <c r="I155">
        <v>172.29241260000001</v>
      </c>
      <c r="J155">
        <v>3467.2324125999999</v>
      </c>
      <c r="K155">
        <v>2284111.6702968902</v>
      </c>
    </row>
    <row r="156" spans="1:11" x14ac:dyDescent="0.35">
      <c r="A156">
        <v>2047</v>
      </c>
      <c r="B156" t="s">
        <v>180</v>
      </c>
      <c r="C156" t="s">
        <v>107</v>
      </c>
      <c r="D156">
        <v>9432.27</v>
      </c>
      <c r="E156">
        <v>9.3167562329219793E-3</v>
      </c>
      <c r="F156">
        <v>6.3E-2</v>
      </c>
      <c r="G156">
        <v>594.23300999999901</v>
      </c>
      <c r="H156">
        <v>160.44291269999999</v>
      </c>
      <c r="I156">
        <v>433.79009729999899</v>
      </c>
      <c r="J156">
        <v>9866.0600973000001</v>
      </c>
      <c r="K156">
        <v>2284111.6702968902</v>
      </c>
    </row>
    <row r="157" spans="1:11" x14ac:dyDescent="0.35">
      <c r="A157">
        <v>2047</v>
      </c>
      <c r="B157" t="s">
        <v>180</v>
      </c>
      <c r="C157" t="s">
        <v>161</v>
      </c>
      <c r="D157">
        <v>11224.344333326</v>
      </c>
      <c r="E157">
        <v>1.10868836481544E-2</v>
      </c>
      <c r="F157">
        <v>3.4299999999999997E-2</v>
      </c>
      <c r="G157">
        <v>384.99501063308298</v>
      </c>
      <c r="H157">
        <v>103.94865287093199</v>
      </c>
      <c r="I157">
        <v>281.04635776215002</v>
      </c>
      <c r="J157">
        <v>11505.3906910882</v>
      </c>
      <c r="K157">
        <v>2284111.6702968902</v>
      </c>
    </row>
    <row r="158" spans="1:11" x14ac:dyDescent="0.35">
      <c r="A158">
        <v>2047</v>
      </c>
      <c r="B158" t="s">
        <v>180</v>
      </c>
      <c r="C158" t="s">
        <v>160</v>
      </c>
      <c r="D158">
        <v>722.35021635939404</v>
      </c>
      <c r="E158">
        <v>7.1350384166472402E-4</v>
      </c>
      <c r="F158">
        <v>3.4299999999999997E-2</v>
      </c>
      <c r="G158">
        <v>24.776612421127101</v>
      </c>
      <c r="H158">
        <v>6.6896853537043404</v>
      </c>
      <c r="I158">
        <v>18.086927067422799</v>
      </c>
      <c r="J158">
        <v>740.43714342681699</v>
      </c>
      <c r="K158">
        <v>2284111.6702968902</v>
      </c>
    </row>
    <row r="159" spans="1:11" x14ac:dyDescent="0.35">
      <c r="A159">
        <v>2047</v>
      </c>
      <c r="B159" t="s">
        <v>180</v>
      </c>
      <c r="C159" t="s">
        <v>159</v>
      </c>
      <c r="D159">
        <v>7473.60971678039</v>
      </c>
      <c r="E159">
        <v>7.3820829886379396E-3</v>
      </c>
      <c r="F159">
        <v>3.4299999999999997E-2</v>
      </c>
      <c r="G159">
        <v>256.344813285567</v>
      </c>
      <c r="H159">
        <v>69.213099587103201</v>
      </c>
      <c r="I159">
        <v>187.13171369846401</v>
      </c>
      <c r="J159">
        <v>7660.7414304788499</v>
      </c>
      <c r="K159">
        <v>2284111.6702968902</v>
      </c>
    </row>
    <row r="160" spans="1:11" x14ac:dyDescent="0.35">
      <c r="A160">
        <v>2047</v>
      </c>
      <c r="B160" t="s">
        <v>180</v>
      </c>
      <c r="C160" t="s">
        <v>158</v>
      </c>
      <c r="D160">
        <v>2232.0317907137801</v>
      </c>
      <c r="E160">
        <v>2.2046968649341702E-3</v>
      </c>
      <c r="F160">
        <v>3.4299999999999997E-2</v>
      </c>
      <c r="G160">
        <v>76.558690421482794</v>
      </c>
      <c r="H160">
        <v>20.670846413800302</v>
      </c>
      <c r="I160">
        <v>55.887844007682503</v>
      </c>
      <c r="J160">
        <v>2287.9196347214602</v>
      </c>
      <c r="K160">
        <v>2284111.6702968902</v>
      </c>
    </row>
    <row r="161" spans="1:11" x14ac:dyDescent="0.35">
      <c r="A161">
        <v>2048</v>
      </c>
      <c r="B161" t="s">
        <v>179</v>
      </c>
      <c r="C161" t="s">
        <v>106</v>
      </c>
      <c r="D161">
        <v>288579.07</v>
      </c>
      <c r="E161">
        <v>0.24547743973782399</v>
      </c>
      <c r="F161">
        <v>6.3E-2</v>
      </c>
      <c r="G161">
        <v>18180.48141</v>
      </c>
      <c r="H161">
        <v>3090.6818397000002</v>
      </c>
      <c r="I161">
        <v>15089.7995703</v>
      </c>
      <c r="J161">
        <v>303668.86957029998</v>
      </c>
      <c r="K161">
        <v>2573051.79658945</v>
      </c>
    </row>
    <row r="162" spans="1:11" x14ac:dyDescent="0.35">
      <c r="A162">
        <v>2048</v>
      </c>
      <c r="B162" t="s">
        <v>180</v>
      </c>
      <c r="C162" t="s">
        <v>106</v>
      </c>
      <c r="D162">
        <v>858226.41</v>
      </c>
      <c r="E162">
        <v>0.73004331825653201</v>
      </c>
      <c r="F162">
        <v>6.3E-2</v>
      </c>
      <c r="G162">
        <v>54068.263829999902</v>
      </c>
      <c r="H162">
        <v>14598.4312340999</v>
      </c>
      <c r="I162">
        <v>39469.832595899898</v>
      </c>
      <c r="J162">
        <v>897696.24259589997</v>
      </c>
      <c r="K162">
        <v>2573051.79658945</v>
      </c>
    </row>
    <row r="163" spans="1:11" x14ac:dyDescent="0.35">
      <c r="A163">
        <v>2048</v>
      </c>
      <c r="B163" t="s">
        <v>179</v>
      </c>
      <c r="C163" t="s">
        <v>107</v>
      </c>
      <c r="D163">
        <v>361.06</v>
      </c>
      <c r="E163">
        <v>3.0713275356989198E-4</v>
      </c>
      <c r="F163">
        <v>6.3E-2</v>
      </c>
      <c r="G163">
        <v>22.746780000000001</v>
      </c>
      <c r="H163">
        <v>3.8669525999999999</v>
      </c>
      <c r="I163">
        <v>18.8798274</v>
      </c>
      <c r="J163">
        <v>379.93982740000001</v>
      </c>
      <c r="K163">
        <v>2573051.79658945</v>
      </c>
    </row>
    <row r="164" spans="1:11" x14ac:dyDescent="0.35">
      <c r="A164">
        <v>2048</v>
      </c>
      <c r="B164" t="s">
        <v>180</v>
      </c>
      <c r="C164" t="s">
        <v>107</v>
      </c>
      <c r="D164">
        <v>1073.77</v>
      </c>
      <c r="E164">
        <v>9.1339372071329804E-4</v>
      </c>
      <c r="F164">
        <v>6.3E-2</v>
      </c>
      <c r="G164">
        <v>67.647509999999997</v>
      </c>
      <c r="H164">
        <v>18.264827700000001</v>
      </c>
      <c r="I164">
        <v>49.382682299999999</v>
      </c>
      <c r="J164">
        <v>1123.1526822999999</v>
      </c>
      <c r="K164">
        <v>2573051.79658945</v>
      </c>
    </row>
    <row r="165" spans="1:11" x14ac:dyDescent="0.35">
      <c r="A165">
        <v>2048</v>
      </c>
      <c r="B165" t="s">
        <v>180</v>
      </c>
      <c r="C165" t="s">
        <v>161</v>
      </c>
      <c r="D165">
        <v>7073.7550582185804</v>
      </c>
      <c r="E165">
        <v>6.0172322304038904E-3</v>
      </c>
      <c r="F165">
        <v>3.4299999999999997E-2</v>
      </c>
      <c r="G165">
        <v>242.629798496897</v>
      </c>
      <c r="H165">
        <v>65.510045594162406</v>
      </c>
      <c r="I165">
        <v>177.119752902735</v>
      </c>
      <c r="J165">
        <v>7250.8748111213199</v>
      </c>
      <c r="K165">
        <v>2573051.79658945</v>
      </c>
    </row>
    <row r="166" spans="1:11" x14ac:dyDescent="0.35">
      <c r="A166">
        <v>2048</v>
      </c>
      <c r="B166" t="s">
        <v>180</v>
      </c>
      <c r="C166" t="s">
        <v>160</v>
      </c>
      <c r="D166">
        <v>5334.4241424437696</v>
      </c>
      <c r="E166">
        <v>4.5376845277196797E-3</v>
      </c>
      <c r="F166">
        <v>3.4299999999999997E-2</v>
      </c>
      <c r="G166">
        <v>182.97074808582099</v>
      </c>
      <c r="H166">
        <v>49.402101983171796</v>
      </c>
      <c r="I166">
        <v>133.56864610264901</v>
      </c>
      <c r="J166">
        <v>5467.9927885464203</v>
      </c>
      <c r="K166">
        <v>2573051.79658945</v>
      </c>
    </row>
    <row r="167" spans="1:11" x14ac:dyDescent="0.35">
      <c r="A167">
        <v>2048</v>
      </c>
      <c r="B167" t="s">
        <v>180</v>
      </c>
      <c r="C167" t="s">
        <v>159</v>
      </c>
      <c r="D167">
        <v>4175.6614121776402</v>
      </c>
      <c r="E167">
        <v>3.55199243199929E-3</v>
      </c>
      <c r="F167">
        <v>3.4299999999999997E-2</v>
      </c>
      <c r="G167">
        <v>143.225186437693</v>
      </c>
      <c r="H167">
        <v>38.670800338177102</v>
      </c>
      <c r="I167">
        <v>104.554386099515</v>
      </c>
      <c r="J167">
        <v>4280.2157982771596</v>
      </c>
      <c r="K167">
        <v>2573051.79658945</v>
      </c>
    </row>
    <row r="168" spans="1:11" x14ac:dyDescent="0.35">
      <c r="A168">
        <v>2048</v>
      </c>
      <c r="B168" t="s">
        <v>180</v>
      </c>
      <c r="C168" t="s">
        <v>158</v>
      </c>
      <c r="D168">
        <v>10758.710183847799</v>
      </c>
      <c r="E168">
        <v>9.1518093492096702E-3</v>
      </c>
      <c r="F168">
        <v>3.4299999999999997E-2</v>
      </c>
      <c r="G168">
        <v>369.02375930598203</v>
      </c>
      <c r="H168">
        <v>99.636415012615302</v>
      </c>
      <c r="I168">
        <v>269.38734429336699</v>
      </c>
      <c r="J168">
        <v>11028.097528141199</v>
      </c>
      <c r="K168">
        <v>2573051.79658945</v>
      </c>
    </row>
    <row r="169" spans="1:11" x14ac:dyDescent="0.35">
      <c r="A169">
        <v>2049</v>
      </c>
      <c r="B169" t="s">
        <v>179</v>
      </c>
      <c r="C169" t="s">
        <v>106</v>
      </c>
      <c r="D169">
        <v>322770.23</v>
      </c>
      <c r="E169">
        <v>0.239530525248039</v>
      </c>
      <c r="F169">
        <v>6.3E-2</v>
      </c>
      <c r="G169">
        <v>20334.524489999902</v>
      </c>
      <c r="H169">
        <v>3456.8691632999899</v>
      </c>
      <c r="I169">
        <v>16877.6553266999</v>
      </c>
      <c r="J169">
        <v>339647.88532669999</v>
      </c>
      <c r="K169">
        <v>2898542.84885801</v>
      </c>
    </row>
    <row r="170" spans="1:11" x14ac:dyDescent="0.35">
      <c r="A170">
        <v>2049</v>
      </c>
      <c r="B170" t="s">
        <v>180</v>
      </c>
      <c r="C170" t="s">
        <v>106</v>
      </c>
      <c r="D170">
        <v>951128.06</v>
      </c>
      <c r="E170">
        <v>0.70584020028721095</v>
      </c>
      <c r="F170">
        <v>6.3E-2</v>
      </c>
      <c r="G170">
        <v>59921.067779999903</v>
      </c>
      <c r="H170">
        <v>16178.688300599901</v>
      </c>
      <c r="I170">
        <v>43742.379479399897</v>
      </c>
      <c r="J170">
        <v>994870.43947939901</v>
      </c>
      <c r="K170">
        <v>2898542.84885801</v>
      </c>
    </row>
    <row r="171" spans="1:11" x14ac:dyDescent="0.35">
      <c r="A171">
        <v>2049</v>
      </c>
      <c r="B171" t="s">
        <v>179</v>
      </c>
      <c r="C171" t="s">
        <v>107</v>
      </c>
      <c r="D171">
        <v>2720.83</v>
      </c>
      <c r="E171">
        <v>2.01915101962973E-3</v>
      </c>
      <c r="F171">
        <v>6.3E-2</v>
      </c>
      <c r="G171">
        <v>171.41228999999899</v>
      </c>
      <c r="H171">
        <v>29.1400892999999</v>
      </c>
      <c r="I171">
        <v>142.27220069999899</v>
      </c>
      <c r="J171">
        <v>2863.1022006999901</v>
      </c>
      <c r="K171">
        <v>2898542.84885801</v>
      </c>
    </row>
    <row r="172" spans="1:11" x14ac:dyDescent="0.35">
      <c r="A172">
        <v>2049</v>
      </c>
      <c r="B172" t="s">
        <v>180</v>
      </c>
      <c r="C172" t="s">
        <v>107</v>
      </c>
      <c r="D172">
        <v>8017.64</v>
      </c>
      <c r="E172">
        <v>5.9499586453487102E-3</v>
      </c>
      <c r="F172">
        <v>6.3E-2</v>
      </c>
      <c r="G172">
        <v>505.11131999999901</v>
      </c>
      <c r="H172">
        <v>136.38005639999901</v>
      </c>
      <c r="I172">
        <v>368.73126359999901</v>
      </c>
      <c r="J172">
        <v>8386.3712636</v>
      </c>
      <c r="K172">
        <v>2898542.84885801</v>
      </c>
    </row>
    <row r="173" spans="1:11" x14ac:dyDescent="0.35">
      <c r="A173">
        <v>2049</v>
      </c>
      <c r="B173" t="s">
        <v>180</v>
      </c>
      <c r="C173" t="s">
        <v>161</v>
      </c>
      <c r="D173">
        <v>12669.815713284001</v>
      </c>
      <c r="E173">
        <v>9.4023776994513995E-3</v>
      </c>
      <c r="F173">
        <v>3.4299999999999997E-2</v>
      </c>
      <c r="G173">
        <v>434.57467896564401</v>
      </c>
      <c r="H173">
        <v>117.335163320723</v>
      </c>
      <c r="I173">
        <v>317.23951564492</v>
      </c>
      <c r="J173">
        <v>12987.055228928901</v>
      </c>
      <c r="K173">
        <v>2898542.84885801</v>
      </c>
    </row>
    <row r="174" spans="1:11" x14ac:dyDescent="0.35">
      <c r="A174">
        <v>2049</v>
      </c>
      <c r="B174" t="s">
        <v>180</v>
      </c>
      <c r="C174" t="s">
        <v>160</v>
      </c>
      <c r="D174">
        <v>27348.434429351499</v>
      </c>
      <c r="E174">
        <v>2.0295505144864601E-2</v>
      </c>
      <c r="F174">
        <v>3.4299999999999997E-2</v>
      </c>
      <c r="G174">
        <v>938.05130092675597</v>
      </c>
      <c r="H174">
        <v>253.273851250224</v>
      </c>
      <c r="I174">
        <v>684.77744967653098</v>
      </c>
      <c r="J174">
        <v>28033.211879028</v>
      </c>
      <c r="K174">
        <v>2898542.84885801</v>
      </c>
    </row>
    <row r="175" spans="1:11" x14ac:dyDescent="0.35">
      <c r="A175">
        <v>2049</v>
      </c>
      <c r="B175" t="s">
        <v>180</v>
      </c>
      <c r="C175" t="s">
        <v>159</v>
      </c>
      <c r="D175">
        <v>1576.59375840492</v>
      </c>
      <c r="E175">
        <v>1.17000359994015E-3</v>
      </c>
      <c r="F175">
        <v>3.4299999999999997E-2</v>
      </c>
      <c r="G175">
        <v>54.077165913288802</v>
      </c>
      <c r="H175">
        <v>14.6008347965879</v>
      </c>
      <c r="I175">
        <v>39.476331116700798</v>
      </c>
      <c r="J175">
        <v>1616.07008952162</v>
      </c>
      <c r="K175">
        <v>2898542.84885801</v>
      </c>
    </row>
    <row r="176" spans="1:11" x14ac:dyDescent="0.35">
      <c r="A176">
        <v>2049</v>
      </c>
      <c r="B176" t="s">
        <v>180</v>
      </c>
      <c r="C176" t="s">
        <v>158</v>
      </c>
      <c r="D176">
        <v>21280.296130288301</v>
      </c>
      <c r="E176">
        <v>1.57922882464154E-2</v>
      </c>
      <c r="F176">
        <v>3.4299999999999997E-2</v>
      </c>
      <c r="G176">
        <v>729.91415726888897</v>
      </c>
      <c r="H176">
        <v>197.07682246260001</v>
      </c>
      <c r="I176">
        <v>532.83733480628905</v>
      </c>
      <c r="J176">
        <v>21813.133465094601</v>
      </c>
      <c r="K176">
        <v>2898542.84885801</v>
      </c>
    </row>
    <row r="177" spans="1:11" x14ac:dyDescent="0.35">
      <c r="A177">
        <v>2050</v>
      </c>
      <c r="B177" t="s">
        <v>179</v>
      </c>
      <c r="C177" t="s">
        <v>106</v>
      </c>
      <c r="D177">
        <v>365517.42</v>
      </c>
      <c r="E177">
        <v>0.239212981373053</v>
      </c>
      <c r="F177">
        <v>6.3E-2</v>
      </c>
      <c r="G177">
        <v>23027.597459999899</v>
      </c>
      <c r="H177">
        <v>3914.6915681999899</v>
      </c>
      <c r="I177">
        <v>19112.905891799899</v>
      </c>
      <c r="J177">
        <v>384630.325891799</v>
      </c>
      <c r="K177">
        <v>3265208.5192385502</v>
      </c>
    </row>
    <row r="178" spans="1:11" x14ac:dyDescent="0.35">
      <c r="A178">
        <v>2050</v>
      </c>
      <c r="B178" t="s">
        <v>180</v>
      </c>
      <c r="C178" t="s">
        <v>106</v>
      </c>
      <c r="D178">
        <v>1083966.06</v>
      </c>
      <c r="E178">
        <v>0.70940190188418994</v>
      </c>
      <c r="F178">
        <v>6.3E-2</v>
      </c>
      <c r="G178">
        <v>68289.861779999905</v>
      </c>
      <c r="H178">
        <v>18948.887273472799</v>
      </c>
      <c r="I178">
        <v>49340.974506527004</v>
      </c>
      <c r="J178">
        <v>1133307.03450652</v>
      </c>
      <c r="K178">
        <v>3265208.5192385502</v>
      </c>
    </row>
    <row r="179" spans="1:11" x14ac:dyDescent="0.35">
      <c r="A179">
        <v>2050</v>
      </c>
      <c r="B179" t="s">
        <v>179</v>
      </c>
      <c r="C179" t="s">
        <v>107</v>
      </c>
      <c r="D179">
        <v>1148.25</v>
      </c>
      <c r="E179">
        <v>7.5147254503385604E-4</v>
      </c>
      <c r="F179">
        <v>6.3E-2</v>
      </c>
      <c r="G179">
        <v>72.339749999999796</v>
      </c>
      <c r="H179">
        <v>12.2977574999999</v>
      </c>
      <c r="I179">
        <v>60.0419924999998</v>
      </c>
      <c r="J179">
        <v>1208.2919924999901</v>
      </c>
      <c r="K179">
        <v>3265208.5192385502</v>
      </c>
    </row>
    <row r="180" spans="1:11" x14ac:dyDescent="0.35">
      <c r="A180">
        <v>2050</v>
      </c>
      <c r="B180" t="s">
        <v>180</v>
      </c>
      <c r="C180" t="s">
        <v>107</v>
      </c>
      <c r="D180">
        <v>3405.21</v>
      </c>
      <c r="E180">
        <v>2.22854067065076E-3</v>
      </c>
      <c r="F180">
        <v>6.3E-2</v>
      </c>
      <c r="G180">
        <v>214.52822999999901</v>
      </c>
      <c r="H180">
        <v>59.526716576810898</v>
      </c>
      <c r="I180">
        <v>155.00151342318799</v>
      </c>
      <c r="J180">
        <v>3560.2115134231799</v>
      </c>
      <c r="K180">
        <v>3265208.5192385502</v>
      </c>
    </row>
    <row r="181" spans="1:11" x14ac:dyDescent="0.35">
      <c r="A181">
        <v>2050</v>
      </c>
      <c r="B181" t="s">
        <v>180</v>
      </c>
      <c r="C181" t="s">
        <v>161</v>
      </c>
      <c r="D181">
        <v>29148.415910042298</v>
      </c>
      <c r="E181">
        <v>1.9076189233725099E-2</v>
      </c>
      <c r="F181">
        <v>3.4299999999999997E-2</v>
      </c>
      <c r="G181">
        <v>999.79066571445196</v>
      </c>
      <c r="H181">
        <v>277.41922633736999</v>
      </c>
      <c r="I181">
        <v>722.37143937708197</v>
      </c>
      <c r="J181">
        <v>29870.787349419399</v>
      </c>
      <c r="K181">
        <v>3265208.5192385502</v>
      </c>
    </row>
    <row r="182" spans="1:11" x14ac:dyDescent="0.35">
      <c r="A182">
        <v>2050</v>
      </c>
      <c r="B182" t="s">
        <v>180</v>
      </c>
      <c r="C182" t="s">
        <v>160</v>
      </c>
      <c r="D182">
        <v>20645.148681398201</v>
      </c>
      <c r="E182">
        <v>1.3511223533387901E-2</v>
      </c>
      <c r="F182">
        <v>3.4299999999999997E-2</v>
      </c>
      <c r="G182">
        <v>708.12859977196001</v>
      </c>
      <c r="H182">
        <v>196.48962031038701</v>
      </c>
      <c r="I182">
        <v>511.63897946157198</v>
      </c>
      <c r="J182">
        <v>21156.787660859802</v>
      </c>
      <c r="K182">
        <v>3265208.5192385502</v>
      </c>
    </row>
    <row r="183" spans="1:11" x14ac:dyDescent="0.35">
      <c r="A183">
        <v>2050</v>
      </c>
      <c r="B183" t="s">
        <v>180</v>
      </c>
      <c r="C183" t="s">
        <v>159</v>
      </c>
      <c r="D183">
        <v>9503.1129360171508</v>
      </c>
      <c r="E183">
        <v>6.2193150130833603E-3</v>
      </c>
      <c r="F183">
        <v>3.4299999999999997E-2</v>
      </c>
      <c r="G183">
        <v>325.95677370538698</v>
      </c>
      <c r="H183">
        <v>90.445609347787496</v>
      </c>
      <c r="I183">
        <v>235.51116435759999</v>
      </c>
      <c r="J183">
        <v>9738.6241003747491</v>
      </c>
      <c r="K183">
        <v>3265208.5192385502</v>
      </c>
    </row>
    <row r="184" spans="1:11" x14ac:dyDescent="0.35">
      <c r="A184">
        <v>2050</v>
      </c>
      <c r="B184" t="s">
        <v>180</v>
      </c>
      <c r="C184" t="s">
        <v>158</v>
      </c>
      <c r="D184">
        <v>14666.317222795</v>
      </c>
      <c r="E184">
        <v>9.5983755538320906E-3</v>
      </c>
      <c r="F184">
        <v>3.4299999999999997E-2</v>
      </c>
      <c r="G184">
        <v>503.05468074187201</v>
      </c>
      <c r="H184">
        <v>139.58626052692199</v>
      </c>
      <c r="I184">
        <v>363.46842021494899</v>
      </c>
      <c r="J184">
        <v>15029.78564301</v>
      </c>
      <c r="K184">
        <v>3265208.5192385502</v>
      </c>
    </row>
    <row r="185" spans="1:11" x14ac:dyDescent="0.35">
      <c r="A185">
        <v>2051</v>
      </c>
      <c r="B185" t="s">
        <v>179</v>
      </c>
      <c r="C185" t="s">
        <v>106</v>
      </c>
      <c r="D185">
        <v>410140.4</v>
      </c>
      <c r="E185">
        <v>0.23880605129204699</v>
      </c>
      <c r="F185">
        <v>6.3E-2</v>
      </c>
      <c r="G185">
        <v>25838.845199999902</v>
      </c>
      <c r="H185">
        <v>4392.6036839999897</v>
      </c>
      <c r="I185">
        <v>21446.2415159999</v>
      </c>
      <c r="J185">
        <v>431586.64151599997</v>
      </c>
      <c r="K185">
        <v>3678257.3969222298</v>
      </c>
    </row>
    <row r="186" spans="1:11" x14ac:dyDescent="0.35">
      <c r="A186">
        <v>2051</v>
      </c>
      <c r="B186" t="s">
        <v>180</v>
      </c>
      <c r="C186" t="s">
        <v>106</v>
      </c>
      <c r="D186">
        <v>1267280.8899999999</v>
      </c>
      <c r="E186">
        <v>0.73787987045112302</v>
      </c>
      <c r="F186">
        <v>6.3E-2</v>
      </c>
      <c r="G186">
        <v>79838.696069999802</v>
      </c>
      <c r="H186">
        <v>23597.827338566101</v>
      </c>
      <c r="I186">
        <v>56240.8687314337</v>
      </c>
      <c r="J186">
        <v>1323521.7587314299</v>
      </c>
      <c r="K186">
        <v>3678257.3969222298</v>
      </c>
    </row>
    <row r="187" spans="1:11" x14ac:dyDescent="0.35">
      <c r="A187">
        <v>2051</v>
      </c>
      <c r="B187" t="s">
        <v>179</v>
      </c>
      <c r="C187" t="s">
        <v>107</v>
      </c>
      <c r="D187">
        <v>2908.48</v>
      </c>
      <c r="E187">
        <v>1.6934752686199499E-3</v>
      </c>
      <c r="F187">
        <v>6.3E-2</v>
      </c>
      <c r="G187">
        <v>183.23423999999901</v>
      </c>
      <c r="H187">
        <v>31.149820799999901</v>
      </c>
      <c r="I187">
        <v>152.08441919999899</v>
      </c>
      <c r="J187">
        <v>3060.5644192</v>
      </c>
      <c r="K187">
        <v>3678257.3969222298</v>
      </c>
    </row>
    <row r="188" spans="1:11" x14ac:dyDescent="0.35">
      <c r="A188">
        <v>2051</v>
      </c>
      <c r="B188" t="s">
        <v>180</v>
      </c>
      <c r="C188" t="s">
        <v>107</v>
      </c>
      <c r="D188">
        <v>8986.82</v>
      </c>
      <c r="E188">
        <v>5.23261546015072E-3</v>
      </c>
      <c r="F188">
        <v>6.3E-2</v>
      </c>
      <c r="G188">
        <v>566.169659999999</v>
      </c>
      <c r="H188">
        <v>167.342085212673</v>
      </c>
      <c r="I188">
        <v>398.82757478732498</v>
      </c>
      <c r="J188">
        <v>9385.6475747873192</v>
      </c>
      <c r="K188">
        <v>3678257.3969222298</v>
      </c>
    </row>
    <row r="189" spans="1:11" x14ac:dyDescent="0.35">
      <c r="A189">
        <v>2051</v>
      </c>
      <c r="B189" t="s">
        <v>180</v>
      </c>
      <c r="C189" t="s">
        <v>161</v>
      </c>
      <c r="D189">
        <v>4837.1290293934098</v>
      </c>
      <c r="E189">
        <v>2.8164396462761901E-3</v>
      </c>
      <c r="F189">
        <v>3.4299999999999997E-2</v>
      </c>
      <c r="G189">
        <v>165.91352570819399</v>
      </c>
      <c r="H189">
        <v>49.038861172807799</v>
      </c>
      <c r="I189">
        <v>116.874664535386</v>
      </c>
      <c r="J189">
        <v>4954.0036939288002</v>
      </c>
      <c r="K189">
        <v>3678257.3969222298</v>
      </c>
    </row>
    <row r="190" spans="1:11" x14ac:dyDescent="0.35">
      <c r="A190">
        <v>2051</v>
      </c>
      <c r="B190" t="s">
        <v>180</v>
      </c>
      <c r="C190" t="s">
        <v>160</v>
      </c>
      <c r="D190">
        <v>8821.9167931187894</v>
      </c>
      <c r="E190">
        <v>5.1365998428628398E-3</v>
      </c>
      <c r="F190">
        <v>3.4299999999999997E-2</v>
      </c>
      <c r="G190">
        <v>302.59174600397398</v>
      </c>
      <c r="H190">
        <v>89.436678299661693</v>
      </c>
      <c r="I190">
        <v>213.15506770431199</v>
      </c>
      <c r="J190">
        <v>9035.0718608231091</v>
      </c>
      <c r="K190">
        <v>3678257.3969222298</v>
      </c>
    </row>
    <row r="191" spans="1:11" x14ac:dyDescent="0.35">
      <c r="A191">
        <v>2051</v>
      </c>
      <c r="B191" t="s">
        <v>180</v>
      </c>
      <c r="C191" t="s">
        <v>159</v>
      </c>
      <c r="D191">
        <v>10282.9521356678</v>
      </c>
      <c r="E191">
        <v>5.9872940952512103E-3</v>
      </c>
      <c r="F191">
        <v>3.4299999999999997E-2</v>
      </c>
      <c r="G191">
        <v>352.70525825340701</v>
      </c>
      <c r="H191">
        <v>104.248668820578</v>
      </c>
      <c r="I191">
        <v>248.456589432828</v>
      </c>
      <c r="J191">
        <v>10531.4087251006</v>
      </c>
      <c r="K191">
        <v>3678257.3969222298</v>
      </c>
    </row>
    <row r="192" spans="1:11" x14ac:dyDescent="0.35">
      <c r="A192">
        <v>2051</v>
      </c>
      <c r="B192" t="s">
        <v>180</v>
      </c>
      <c r="C192" t="s">
        <v>158</v>
      </c>
      <c r="D192">
        <v>4203.7590898551398</v>
      </c>
      <c r="E192">
        <v>2.4476572140451299E-3</v>
      </c>
      <c r="F192">
        <v>3.4299999999999997E-2</v>
      </c>
      <c r="G192">
        <v>144.18893678203099</v>
      </c>
      <c r="H192">
        <v>42.617750562090301</v>
      </c>
      <c r="I192">
        <v>101.57118621994</v>
      </c>
      <c r="J192">
        <v>4305.3302760750803</v>
      </c>
      <c r="K192">
        <v>3678257.3969222298</v>
      </c>
    </row>
    <row r="193" spans="1:11" x14ac:dyDescent="0.35">
      <c r="A193">
        <v>2052</v>
      </c>
      <c r="B193" t="s">
        <v>179</v>
      </c>
      <c r="C193" t="s">
        <v>106</v>
      </c>
      <c r="D193">
        <v>463625.96</v>
      </c>
      <c r="E193">
        <v>0.24190898818130099</v>
      </c>
      <c r="F193">
        <v>6.3E-2</v>
      </c>
      <c r="G193">
        <v>29208.435479999898</v>
      </c>
      <c r="H193">
        <v>4965.4340315999898</v>
      </c>
      <c r="I193">
        <v>24243.0014483999</v>
      </c>
      <c r="J193">
        <v>487868.96144839999</v>
      </c>
      <c r="K193">
        <v>4143556.95763289</v>
      </c>
    </row>
    <row r="194" spans="1:11" x14ac:dyDescent="0.35">
      <c r="A194">
        <v>2052</v>
      </c>
      <c r="B194" t="s">
        <v>180</v>
      </c>
      <c r="C194" t="s">
        <v>106</v>
      </c>
      <c r="D194">
        <v>1277886.93</v>
      </c>
      <c r="E194">
        <v>0.66677097685903797</v>
      </c>
      <c r="F194">
        <v>6.3E-2</v>
      </c>
      <c r="G194">
        <v>80506.87659</v>
      </c>
      <c r="H194">
        <v>24398.6429354459</v>
      </c>
      <c r="I194">
        <v>56108.233654554002</v>
      </c>
      <c r="J194">
        <v>1333995.16365455</v>
      </c>
      <c r="K194">
        <v>4143556.95763289</v>
      </c>
    </row>
    <row r="195" spans="1:11" x14ac:dyDescent="0.35">
      <c r="A195">
        <v>2052</v>
      </c>
      <c r="B195" t="s">
        <v>179</v>
      </c>
      <c r="C195" t="s">
        <v>107</v>
      </c>
      <c r="D195">
        <v>1673.6</v>
      </c>
      <c r="E195">
        <v>8.7324463587031703E-4</v>
      </c>
      <c r="F195">
        <v>6.3E-2</v>
      </c>
      <c r="G195">
        <v>105.436799999999</v>
      </c>
      <c r="H195">
        <v>17.9242559999999</v>
      </c>
      <c r="I195">
        <v>87.512543999999906</v>
      </c>
      <c r="J195">
        <v>1761.1125439999901</v>
      </c>
      <c r="K195">
        <v>4143556.95763289</v>
      </c>
    </row>
    <row r="196" spans="1:11" x14ac:dyDescent="0.35">
      <c r="A196">
        <v>2052</v>
      </c>
      <c r="B196" t="s">
        <v>180</v>
      </c>
      <c r="C196" t="s">
        <v>107</v>
      </c>
      <c r="D196">
        <v>4612.9399999999996</v>
      </c>
      <c r="E196">
        <v>2.40692226971296E-3</v>
      </c>
      <c r="F196">
        <v>6.3E-2</v>
      </c>
      <c r="G196">
        <v>290.615219999999</v>
      </c>
      <c r="H196">
        <v>88.074674918723701</v>
      </c>
      <c r="I196">
        <v>202.54054508127501</v>
      </c>
      <c r="J196">
        <v>4815.4805450812701</v>
      </c>
      <c r="K196">
        <v>4143556.95763289</v>
      </c>
    </row>
    <row r="197" spans="1:11" x14ac:dyDescent="0.35">
      <c r="A197">
        <v>2052</v>
      </c>
      <c r="B197" t="s">
        <v>180</v>
      </c>
      <c r="C197" t="s">
        <v>161</v>
      </c>
      <c r="D197">
        <v>106.602224948805</v>
      </c>
      <c r="E197" s="42">
        <v>5.56225030523333E-5</v>
      </c>
      <c r="F197">
        <v>3.4299999999999997E-2</v>
      </c>
      <c r="G197">
        <v>3.6564563157440202</v>
      </c>
      <c r="H197">
        <v>1.1081360479456901</v>
      </c>
      <c r="I197">
        <v>2.5483202677983199</v>
      </c>
      <c r="J197">
        <v>109.15054521660301</v>
      </c>
      <c r="K197">
        <v>4143556.95763289</v>
      </c>
    </row>
    <row r="198" spans="1:11" x14ac:dyDescent="0.35">
      <c r="A198">
        <v>2052</v>
      </c>
      <c r="B198" t="s">
        <v>180</v>
      </c>
      <c r="C198" t="s">
        <v>160</v>
      </c>
      <c r="D198">
        <v>20285.280530887601</v>
      </c>
      <c r="E198">
        <v>1.0584376440440999E-2</v>
      </c>
      <c r="F198">
        <v>3.4299999999999997E-2</v>
      </c>
      <c r="G198">
        <v>695.78512220944299</v>
      </c>
      <c r="H198">
        <v>210.86661755664801</v>
      </c>
      <c r="I198">
        <v>484.91850465279401</v>
      </c>
      <c r="J198">
        <v>20770.199035540401</v>
      </c>
      <c r="K198">
        <v>4143556.95763289</v>
      </c>
    </row>
    <row r="199" spans="1:11" x14ac:dyDescent="0.35">
      <c r="A199">
        <v>2052</v>
      </c>
      <c r="B199" t="s">
        <v>180</v>
      </c>
      <c r="C199" t="s">
        <v>159</v>
      </c>
      <c r="D199">
        <v>52729.417967541602</v>
      </c>
      <c r="E199">
        <v>2.7512954943068602E-2</v>
      </c>
      <c r="F199">
        <v>3.4299999999999997E-2</v>
      </c>
      <c r="G199">
        <v>1808.6190362866701</v>
      </c>
      <c r="H199">
        <v>548.12522782793201</v>
      </c>
      <c r="I199">
        <v>1260.49380845874</v>
      </c>
      <c r="J199">
        <v>53989.911776000299</v>
      </c>
      <c r="K199">
        <v>4143556.95763289</v>
      </c>
    </row>
    <row r="200" spans="1:11" x14ac:dyDescent="0.35">
      <c r="A200">
        <v>2052</v>
      </c>
      <c r="B200" t="s">
        <v>180</v>
      </c>
      <c r="C200" t="s">
        <v>158</v>
      </c>
      <c r="D200">
        <v>95609.793710120299</v>
      </c>
      <c r="E200">
        <v>4.9886914133622201E-2</v>
      </c>
      <c r="F200">
        <v>3.4299999999999997E-2</v>
      </c>
      <c r="G200">
        <v>3279.41592425713</v>
      </c>
      <c r="H200">
        <v>993.86911481178799</v>
      </c>
      <c r="I200">
        <v>2285.5468094453399</v>
      </c>
      <c r="J200">
        <v>97895.340519565594</v>
      </c>
      <c r="K200">
        <v>4143556.95763289</v>
      </c>
    </row>
    <row r="201" spans="1:11" x14ac:dyDescent="0.35">
      <c r="A201">
        <v>2053</v>
      </c>
      <c r="B201" t="s">
        <v>179</v>
      </c>
      <c r="C201" t="s">
        <v>106</v>
      </c>
      <c r="D201">
        <v>523003.94</v>
      </c>
      <c r="E201">
        <v>0.24640278683733499</v>
      </c>
      <c r="F201">
        <v>6.3E-2</v>
      </c>
      <c r="G201">
        <v>32949.248220000001</v>
      </c>
      <c r="H201">
        <v>5601.3721974</v>
      </c>
      <c r="I201">
        <v>27347.876022600001</v>
      </c>
      <c r="J201">
        <v>550351.81602260005</v>
      </c>
      <c r="K201">
        <v>4667716.9127734499</v>
      </c>
    </row>
    <row r="202" spans="1:11" x14ac:dyDescent="0.35">
      <c r="A202">
        <v>2053</v>
      </c>
      <c r="B202" t="s">
        <v>180</v>
      </c>
      <c r="C202" t="s">
        <v>106</v>
      </c>
      <c r="D202">
        <v>1494303.54</v>
      </c>
      <c r="E202">
        <v>0.70401105704269895</v>
      </c>
      <c r="F202">
        <v>6.3E-2</v>
      </c>
      <c r="G202">
        <v>94141.123019999795</v>
      </c>
      <c r="H202">
        <v>29793.6963854807</v>
      </c>
      <c r="I202">
        <v>64347.426634519099</v>
      </c>
      <c r="J202">
        <v>1558650.9666345101</v>
      </c>
      <c r="K202">
        <v>4667716.9127734499</v>
      </c>
    </row>
    <row r="203" spans="1:11" x14ac:dyDescent="0.35">
      <c r="A203">
        <v>2053</v>
      </c>
      <c r="B203" t="s">
        <v>179</v>
      </c>
      <c r="C203" t="s">
        <v>107</v>
      </c>
      <c r="D203">
        <v>1156.02</v>
      </c>
      <c r="E203">
        <v>5.44635571272555E-4</v>
      </c>
      <c r="F203">
        <v>6.3E-2</v>
      </c>
      <c r="G203">
        <v>72.829259999999906</v>
      </c>
      <c r="H203">
        <v>12.380974199999899</v>
      </c>
      <c r="I203">
        <v>60.448285799999901</v>
      </c>
      <c r="J203">
        <v>1216.4682857999901</v>
      </c>
      <c r="K203">
        <v>4667716.9127734499</v>
      </c>
    </row>
    <row r="204" spans="1:11" x14ac:dyDescent="0.35">
      <c r="A204">
        <v>2053</v>
      </c>
      <c r="B204" t="s">
        <v>180</v>
      </c>
      <c r="C204" t="s">
        <v>107</v>
      </c>
      <c r="D204">
        <v>3302.93</v>
      </c>
      <c r="E204">
        <v>1.5561090356769401E-3</v>
      </c>
      <c r="F204">
        <v>6.3E-2</v>
      </c>
      <c r="G204">
        <v>208.084589999999</v>
      </c>
      <c r="H204">
        <v>65.854420449606806</v>
      </c>
      <c r="I204">
        <v>142.23016955039299</v>
      </c>
      <c r="J204">
        <v>3445.16016955039</v>
      </c>
      <c r="K204">
        <v>4667716.9127734499</v>
      </c>
    </row>
    <row r="205" spans="1:11" x14ac:dyDescent="0.35">
      <c r="A205">
        <v>2053</v>
      </c>
      <c r="B205" t="s">
        <v>180</v>
      </c>
      <c r="C205" t="s">
        <v>161</v>
      </c>
      <c r="D205">
        <v>766.65535941794099</v>
      </c>
      <c r="E205">
        <v>3.6119425238815601E-4</v>
      </c>
      <c r="F205">
        <v>3.4299999999999997E-2</v>
      </c>
      <c r="G205">
        <v>26.296278828035302</v>
      </c>
      <c r="H205">
        <v>8.3222222376079706</v>
      </c>
      <c r="I205">
        <v>17.974056590427399</v>
      </c>
      <c r="J205">
        <v>784.62941600836803</v>
      </c>
      <c r="K205">
        <v>4667716.9127734499</v>
      </c>
    </row>
    <row r="206" spans="1:11" x14ac:dyDescent="0.35">
      <c r="A206">
        <v>2053</v>
      </c>
      <c r="B206" t="s">
        <v>180</v>
      </c>
      <c r="C206" t="s">
        <v>160</v>
      </c>
      <c r="D206">
        <v>6412.3935954735298</v>
      </c>
      <c r="E206">
        <v>3.0210702661677101E-3</v>
      </c>
      <c r="F206">
        <v>3.4299999999999997E-2</v>
      </c>
      <c r="G206">
        <v>219.94510032474199</v>
      </c>
      <c r="H206">
        <v>69.608023893631596</v>
      </c>
      <c r="I206">
        <v>150.33707643111001</v>
      </c>
      <c r="J206">
        <v>6562.7306719046401</v>
      </c>
      <c r="K206">
        <v>4667716.9127734499</v>
      </c>
    </row>
    <row r="207" spans="1:11" x14ac:dyDescent="0.35">
      <c r="A207">
        <v>2053</v>
      </c>
      <c r="B207" t="s">
        <v>180</v>
      </c>
      <c r="C207" t="s">
        <v>159</v>
      </c>
      <c r="D207">
        <v>22005.5502683462</v>
      </c>
      <c r="E207">
        <v>1.03674723980274E-2</v>
      </c>
      <c r="F207">
        <v>3.4299999999999997E-2</v>
      </c>
      <c r="G207">
        <v>754.79037420427596</v>
      </c>
      <c r="H207">
        <v>238.87536628332001</v>
      </c>
      <c r="I207">
        <v>515.91500792095599</v>
      </c>
      <c r="J207">
        <v>22521.465276267201</v>
      </c>
      <c r="K207">
        <v>4667716.9127734499</v>
      </c>
    </row>
    <row r="208" spans="1:11" x14ac:dyDescent="0.35">
      <c r="A208">
        <v>2053</v>
      </c>
      <c r="B208" t="s">
        <v>180</v>
      </c>
      <c r="C208" t="s">
        <v>158</v>
      </c>
      <c r="D208">
        <v>71605.896947560104</v>
      </c>
      <c r="E208">
        <v>3.3735678094252798E-2</v>
      </c>
      <c r="F208">
        <v>3.4299999999999997E-2</v>
      </c>
      <c r="G208">
        <v>2456.0822653013101</v>
      </c>
      <c r="H208">
        <v>777.29866569156195</v>
      </c>
      <c r="I208">
        <v>1678.7835996097499</v>
      </c>
      <c r="J208">
        <v>73284.680547169904</v>
      </c>
      <c r="K208">
        <v>4667716.9127734499</v>
      </c>
    </row>
    <row r="209" spans="1:11" x14ac:dyDescent="0.35">
      <c r="A209">
        <v>2054</v>
      </c>
      <c r="B209" t="s">
        <v>179</v>
      </c>
      <c r="C209" t="s">
        <v>106</v>
      </c>
      <c r="D209">
        <v>588225.74</v>
      </c>
      <c r="E209">
        <v>0.25144481772845001</v>
      </c>
      <c r="F209">
        <v>6.3E-2</v>
      </c>
      <c r="G209">
        <v>37058.221619999902</v>
      </c>
      <c r="H209">
        <v>6299.8976753999896</v>
      </c>
      <c r="I209">
        <v>30758.323944599899</v>
      </c>
      <c r="J209">
        <v>618984.06394459901</v>
      </c>
      <c r="K209">
        <v>5258183.1022392996</v>
      </c>
    </row>
    <row r="210" spans="1:11" x14ac:dyDescent="0.35">
      <c r="A210">
        <v>2054</v>
      </c>
      <c r="B210" t="s">
        <v>180</v>
      </c>
      <c r="C210" t="s">
        <v>106</v>
      </c>
      <c r="D210">
        <v>1625986.77</v>
      </c>
      <c r="E210">
        <v>0.69504939891192496</v>
      </c>
      <c r="F210">
        <v>6.3E-2</v>
      </c>
      <c r="G210">
        <v>102437.16650999901</v>
      </c>
      <c r="H210">
        <v>33315.0765287217</v>
      </c>
      <c r="I210">
        <v>69122.089981278099</v>
      </c>
      <c r="J210">
        <v>1695108.85998127</v>
      </c>
      <c r="K210">
        <v>5258183.1022392996</v>
      </c>
    </row>
    <row r="211" spans="1:11" x14ac:dyDescent="0.35">
      <c r="A211">
        <v>2054</v>
      </c>
      <c r="B211" t="s">
        <v>179</v>
      </c>
      <c r="C211" t="s">
        <v>107</v>
      </c>
      <c r="D211">
        <v>2240.4499999999998</v>
      </c>
      <c r="E211">
        <v>9.5770977631768901E-4</v>
      </c>
      <c r="F211">
        <v>6.3E-2</v>
      </c>
      <c r="G211">
        <v>141.148349999999</v>
      </c>
      <c r="H211">
        <v>23.995219499999902</v>
      </c>
      <c r="I211">
        <v>117.15313049999899</v>
      </c>
      <c r="J211">
        <v>2357.6031304999901</v>
      </c>
      <c r="K211">
        <v>5258183.1022392996</v>
      </c>
    </row>
    <row r="212" spans="1:11" x14ac:dyDescent="0.35">
      <c r="A212">
        <v>2054</v>
      </c>
      <c r="B212" t="s">
        <v>180</v>
      </c>
      <c r="C212" t="s">
        <v>107</v>
      </c>
      <c r="D212">
        <v>6193.09</v>
      </c>
      <c r="E212">
        <v>2.64731765431735E-3</v>
      </c>
      <c r="F212">
        <v>6.3E-2</v>
      </c>
      <c r="G212">
        <v>390.16467</v>
      </c>
      <c r="H212">
        <v>126.891110743331</v>
      </c>
      <c r="I212">
        <v>263.27355925666802</v>
      </c>
      <c r="J212">
        <v>6456.3635592566598</v>
      </c>
      <c r="K212">
        <v>5258183.1022392996</v>
      </c>
    </row>
    <row r="213" spans="1:11" x14ac:dyDescent="0.35">
      <c r="A213">
        <v>2054</v>
      </c>
      <c r="B213" t="s">
        <v>180</v>
      </c>
      <c r="C213" t="s">
        <v>161</v>
      </c>
      <c r="D213">
        <v>26897.671934486301</v>
      </c>
      <c r="E213">
        <v>1.14977631153757E-2</v>
      </c>
      <c r="F213">
        <v>3.4299999999999997E-2</v>
      </c>
      <c r="G213">
        <v>922.59014735287894</v>
      </c>
      <c r="H213">
        <v>300.04892180130099</v>
      </c>
      <c r="I213">
        <v>622.54122555157801</v>
      </c>
      <c r="J213">
        <v>27520.213160037802</v>
      </c>
      <c r="K213">
        <v>5258183.1022392996</v>
      </c>
    </row>
    <row r="214" spans="1:11" x14ac:dyDescent="0.35">
      <c r="A214">
        <v>2054</v>
      </c>
      <c r="B214" t="s">
        <v>180</v>
      </c>
      <c r="C214" t="s">
        <v>160</v>
      </c>
      <c r="D214">
        <v>3.1592104364671199E-2</v>
      </c>
      <c r="E214" s="42">
        <v>1.35044599096138E-8</v>
      </c>
      <c r="F214">
        <v>3.4299999999999997E-2</v>
      </c>
      <c r="G214">
        <v>1.08360917970821E-3</v>
      </c>
      <c r="H214">
        <v>3.52416256512528E-4</v>
      </c>
      <c r="I214">
        <v>7.3119292319569098E-4</v>
      </c>
      <c r="J214">
        <v>3.2323297287866898E-2</v>
      </c>
      <c r="K214">
        <v>5258183.1022392996</v>
      </c>
    </row>
    <row r="215" spans="1:11" x14ac:dyDescent="0.35">
      <c r="A215">
        <v>2054</v>
      </c>
      <c r="B215" t="s">
        <v>180</v>
      </c>
      <c r="C215" t="s">
        <v>159</v>
      </c>
      <c r="D215">
        <v>18890.7039882096</v>
      </c>
      <c r="E215">
        <v>8.0750795112731494E-3</v>
      </c>
      <c r="F215">
        <v>3.4299999999999997E-2</v>
      </c>
      <c r="G215">
        <v>647.95114679558901</v>
      </c>
      <c r="H215">
        <v>210.72958944311199</v>
      </c>
      <c r="I215">
        <v>437.221557352476</v>
      </c>
      <c r="J215">
        <v>19327.925545562099</v>
      </c>
      <c r="K215">
        <v>5258183.1022392996</v>
      </c>
    </row>
    <row r="216" spans="1:11" x14ac:dyDescent="0.35">
      <c r="A216">
        <v>2054</v>
      </c>
      <c r="B216" t="s">
        <v>180</v>
      </c>
      <c r="C216" t="s">
        <v>158</v>
      </c>
      <c r="D216">
        <v>70948.578839716007</v>
      </c>
      <c r="E216">
        <v>3.0327901792337401E-2</v>
      </c>
      <c r="F216">
        <v>3.4299999999999997E-2</v>
      </c>
      <c r="G216">
        <v>2433.5362542022599</v>
      </c>
      <c r="H216">
        <v>791.44561789741397</v>
      </c>
      <c r="I216">
        <v>1642.09063630484</v>
      </c>
      <c r="J216">
        <v>72590.669476020805</v>
      </c>
      <c r="K216">
        <v>5258183.1022392996</v>
      </c>
    </row>
    <row r="217" spans="1:11" x14ac:dyDescent="0.35">
      <c r="A217">
        <v>2055</v>
      </c>
      <c r="B217" t="s">
        <v>179</v>
      </c>
      <c r="C217" t="s">
        <v>106</v>
      </c>
      <c r="D217">
        <v>661752.66</v>
      </c>
      <c r="E217">
        <v>0.25787897907657897</v>
      </c>
      <c r="F217">
        <v>6.3E-2</v>
      </c>
      <c r="G217">
        <v>41690.417580000001</v>
      </c>
      <c r="H217">
        <v>7087.3709885999997</v>
      </c>
      <c r="I217">
        <v>34603.046591400001</v>
      </c>
      <c r="J217">
        <v>696355.70659139997</v>
      </c>
      <c r="K217">
        <v>5923343.2646725699</v>
      </c>
    </row>
    <row r="218" spans="1:11" x14ac:dyDescent="0.35">
      <c r="A218">
        <v>2055</v>
      </c>
      <c r="B218" t="s">
        <v>180</v>
      </c>
      <c r="C218" t="s">
        <v>106</v>
      </c>
      <c r="D218">
        <v>1726322.6</v>
      </c>
      <c r="E218">
        <v>0.67273218009403402</v>
      </c>
      <c r="F218">
        <v>6.3E-2</v>
      </c>
      <c r="G218">
        <v>108758.32379999899</v>
      </c>
      <c r="H218">
        <v>36103.373492471103</v>
      </c>
      <c r="I218">
        <v>72654.950307528707</v>
      </c>
      <c r="J218">
        <v>1798977.55030752</v>
      </c>
      <c r="K218">
        <v>5923343.2646725699</v>
      </c>
    </row>
    <row r="219" spans="1:11" x14ac:dyDescent="0.35">
      <c r="A219">
        <v>2055</v>
      </c>
      <c r="B219" t="s">
        <v>179</v>
      </c>
      <c r="C219" t="s">
        <v>107</v>
      </c>
      <c r="D219">
        <v>3407.5</v>
      </c>
      <c r="E219">
        <v>1.3278716872909E-3</v>
      </c>
      <c r="F219">
        <v>6.3E-2</v>
      </c>
      <c r="G219">
        <v>214.67249999999899</v>
      </c>
      <c r="H219">
        <v>36.494324999999897</v>
      </c>
      <c r="I219">
        <v>178.17817499999899</v>
      </c>
      <c r="J219">
        <v>3585.67817499999</v>
      </c>
      <c r="K219">
        <v>5923343.2646725699</v>
      </c>
    </row>
    <row r="220" spans="1:11" x14ac:dyDescent="0.35">
      <c r="A220">
        <v>2055</v>
      </c>
      <c r="B220" t="s">
        <v>180</v>
      </c>
      <c r="C220" t="s">
        <v>107</v>
      </c>
      <c r="D220">
        <v>8889.2000000000007</v>
      </c>
      <c r="E220">
        <v>3.4640402062116799E-3</v>
      </c>
      <c r="F220">
        <v>6.3E-2</v>
      </c>
      <c r="G220">
        <v>560.01959999999895</v>
      </c>
      <c r="H220">
        <v>185.903902114978</v>
      </c>
      <c r="I220">
        <v>374.11569788502101</v>
      </c>
      <c r="J220">
        <v>9263.3156978850202</v>
      </c>
      <c r="K220">
        <v>5923343.2646725699</v>
      </c>
    </row>
    <row r="221" spans="1:11" x14ac:dyDescent="0.35">
      <c r="A221">
        <v>2055</v>
      </c>
      <c r="B221" t="s">
        <v>180</v>
      </c>
      <c r="C221" t="s">
        <v>161</v>
      </c>
      <c r="D221">
        <v>23782.773369353701</v>
      </c>
      <c r="E221">
        <v>9.2679299787002296E-3</v>
      </c>
      <c r="F221">
        <v>3.4299999999999997E-2</v>
      </c>
      <c r="G221">
        <v>815.749126568836</v>
      </c>
      <c r="H221">
        <v>270.795782461957</v>
      </c>
      <c r="I221">
        <v>544.95334410687894</v>
      </c>
      <c r="J221">
        <v>24327.726713460601</v>
      </c>
      <c r="K221">
        <v>5923343.2646725699</v>
      </c>
    </row>
    <row r="222" spans="1:11" x14ac:dyDescent="0.35">
      <c r="A222">
        <v>2055</v>
      </c>
      <c r="B222" t="s">
        <v>180</v>
      </c>
      <c r="C222" t="s">
        <v>160</v>
      </c>
      <c r="D222">
        <v>21489.688560912899</v>
      </c>
      <c r="E222">
        <v>8.3743357325709693E-3</v>
      </c>
      <c r="F222">
        <v>3.4299999999999997E-2</v>
      </c>
      <c r="G222">
        <v>737.096317639316</v>
      </c>
      <c r="H222">
        <v>244.68622470308199</v>
      </c>
      <c r="I222">
        <v>492.41009293623301</v>
      </c>
      <c r="J222">
        <v>21982.0986538492</v>
      </c>
      <c r="K222">
        <v>5923343.2646725699</v>
      </c>
    </row>
    <row r="223" spans="1:11" x14ac:dyDescent="0.35">
      <c r="A223">
        <v>2055</v>
      </c>
      <c r="B223" t="s">
        <v>180</v>
      </c>
      <c r="C223" t="s">
        <v>159</v>
      </c>
      <c r="D223">
        <v>48883.2879659256</v>
      </c>
      <c r="E223">
        <v>1.90493717011418E-2</v>
      </c>
      <c r="F223">
        <v>3.4299999999999997E-2</v>
      </c>
      <c r="G223">
        <v>1676.69677723124</v>
      </c>
      <c r="H223">
        <v>556.59565049312198</v>
      </c>
      <c r="I223">
        <v>1120.10112673812</v>
      </c>
      <c r="J223">
        <v>50003.389092663703</v>
      </c>
      <c r="K223">
        <v>5923343.2646725699</v>
      </c>
    </row>
    <row r="224" spans="1:11" x14ac:dyDescent="0.35">
      <c r="A224">
        <v>2055</v>
      </c>
      <c r="B224" t="s">
        <v>180</v>
      </c>
      <c r="C224" t="s">
        <v>158</v>
      </c>
      <c r="D224">
        <v>71608.782119698299</v>
      </c>
      <c r="E224">
        <v>2.7905289607668499E-2</v>
      </c>
      <c r="F224">
        <v>3.4299999999999997E-2</v>
      </c>
      <c r="G224">
        <v>2456.1812267056498</v>
      </c>
      <c r="H224">
        <v>815.35302397654505</v>
      </c>
      <c r="I224">
        <v>1640.8282027291</v>
      </c>
      <c r="J224">
        <v>73249.610322427397</v>
      </c>
      <c r="K224">
        <v>5923343.2646725699</v>
      </c>
    </row>
    <row r="225" spans="1:11" x14ac:dyDescent="0.35">
      <c r="A225">
        <v>2056</v>
      </c>
      <c r="B225" t="s">
        <v>179</v>
      </c>
      <c r="C225" t="s">
        <v>106</v>
      </c>
      <c r="D225">
        <v>747734.44</v>
      </c>
      <c r="E225">
        <v>0.26678373174445902</v>
      </c>
      <c r="F225">
        <v>6.3E-2</v>
      </c>
      <c r="G225">
        <v>47107.269719999902</v>
      </c>
      <c r="H225">
        <v>8008.2358523999901</v>
      </c>
      <c r="I225">
        <v>39099.033867599901</v>
      </c>
      <c r="J225">
        <v>786833.47386759997</v>
      </c>
      <c r="K225">
        <v>6672646.1876536496</v>
      </c>
    </row>
    <row r="226" spans="1:11" x14ac:dyDescent="0.35">
      <c r="A226">
        <v>2056</v>
      </c>
      <c r="B226" t="s">
        <v>180</v>
      </c>
      <c r="C226" t="s">
        <v>106</v>
      </c>
      <c r="D226">
        <v>1951482.82</v>
      </c>
      <c r="E226">
        <v>0.69626840934971701</v>
      </c>
      <c r="F226">
        <v>6.3E-2</v>
      </c>
      <c r="G226">
        <v>122943.417659999</v>
      </c>
      <c r="H226">
        <v>41800.496982546501</v>
      </c>
      <c r="I226">
        <v>81142.920677453207</v>
      </c>
      <c r="J226">
        <v>2032625.7406774501</v>
      </c>
      <c r="K226">
        <v>6672646.1876536496</v>
      </c>
    </row>
    <row r="227" spans="1:11" x14ac:dyDescent="0.35">
      <c r="A227">
        <v>2056</v>
      </c>
      <c r="B227" t="s">
        <v>179</v>
      </c>
      <c r="C227" t="s">
        <v>107</v>
      </c>
      <c r="D227">
        <v>1568.48</v>
      </c>
      <c r="E227">
        <v>5.5961705811832102E-4</v>
      </c>
      <c r="F227">
        <v>6.3E-2</v>
      </c>
      <c r="G227">
        <v>98.814239999999899</v>
      </c>
      <c r="H227">
        <v>16.798420799999899</v>
      </c>
      <c r="I227">
        <v>82.015819199999896</v>
      </c>
      <c r="J227">
        <v>1650.4958191999999</v>
      </c>
      <c r="K227">
        <v>6672646.1876536496</v>
      </c>
    </row>
    <row r="228" spans="1:11" x14ac:dyDescent="0.35">
      <c r="A228">
        <v>2056</v>
      </c>
      <c r="B228" t="s">
        <v>180</v>
      </c>
      <c r="C228" t="s">
        <v>107</v>
      </c>
      <c r="D228">
        <v>4093.51</v>
      </c>
      <c r="E228">
        <v>1.46052102900765E-3</v>
      </c>
      <c r="F228">
        <v>6.3E-2</v>
      </c>
      <c r="G228">
        <v>257.89112999999998</v>
      </c>
      <c r="H228">
        <v>87.682428279345203</v>
      </c>
      <c r="I228">
        <v>170.20870172065401</v>
      </c>
      <c r="J228">
        <v>4263.7187017206497</v>
      </c>
      <c r="K228">
        <v>6672646.1876536496</v>
      </c>
    </row>
    <row r="229" spans="1:11" x14ac:dyDescent="0.35">
      <c r="A229">
        <v>2056</v>
      </c>
      <c r="B229" t="s">
        <v>180</v>
      </c>
      <c r="C229" t="s">
        <v>161</v>
      </c>
      <c r="D229">
        <v>24404.516451938602</v>
      </c>
      <c r="E229">
        <v>8.7072730934624996E-3</v>
      </c>
      <c r="F229">
        <v>3.4299999999999997E-2</v>
      </c>
      <c r="G229">
        <v>837.074914301494</v>
      </c>
      <c r="H229">
        <v>284.60366642962799</v>
      </c>
      <c r="I229">
        <v>552.47124787186601</v>
      </c>
      <c r="J229">
        <v>24956.987699810401</v>
      </c>
      <c r="K229">
        <v>6672646.1876536496</v>
      </c>
    </row>
    <row r="230" spans="1:11" x14ac:dyDescent="0.35">
      <c r="A230">
        <v>2056</v>
      </c>
      <c r="B230" t="s">
        <v>180</v>
      </c>
      <c r="C230" t="s">
        <v>160</v>
      </c>
      <c r="D230">
        <v>28047.805348589402</v>
      </c>
      <c r="E230">
        <v>1.0007159999396199E-2</v>
      </c>
      <c r="F230">
        <v>3.4299999999999997E-2</v>
      </c>
      <c r="G230">
        <v>962.03972345661896</v>
      </c>
      <c r="H230">
        <v>327.09143216312202</v>
      </c>
      <c r="I230">
        <v>634.94829129349603</v>
      </c>
      <c r="J230">
        <v>28682.7536398829</v>
      </c>
      <c r="K230">
        <v>6672646.1876536496</v>
      </c>
    </row>
    <row r="231" spans="1:11" x14ac:dyDescent="0.35">
      <c r="A231">
        <v>2056</v>
      </c>
      <c r="B231" t="s">
        <v>180</v>
      </c>
      <c r="C231" t="s">
        <v>159</v>
      </c>
      <c r="D231">
        <v>19634.329687634501</v>
      </c>
      <c r="E231">
        <v>7.0053209590936801E-3</v>
      </c>
      <c r="F231">
        <v>3.4299999999999997E-2</v>
      </c>
      <c r="G231">
        <v>673.45750828586404</v>
      </c>
      <c r="H231">
        <v>228.97410108467801</v>
      </c>
      <c r="I231">
        <v>444.48340720118603</v>
      </c>
      <c r="J231">
        <v>20078.813094835699</v>
      </c>
      <c r="K231">
        <v>6672646.1876536496</v>
      </c>
    </row>
    <row r="232" spans="1:11" x14ac:dyDescent="0.35">
      <c r="A232">
        <v>2056</v>
      </c>
      <c r="B232" t="s">
        <v>180</v>
      </c>
      <c r="C232" t="s">
        <v>158</v>
      </c>
      <c r="D232">
        <v>25807.838619730799</v>
      </c>
      <c r="E232">
        <v>9.2079635856154602E-3</v>
      </c>
      <c r="F232">
        <v>3.4299999999999997E-2</v>
      </c>
      <c r="G232">
        <v>885.20886465676801</v>
      </c>
      <c r="H232">
        <v>300.96910579091099</v>
      </c>
      <c r="I232">
        <v>584.23975886585595</v>
      </c>
      <c r="J232">
        <v>26392.078378596601</v>
      </c>
      <c r="K232">
        <v>6672646.1876536496</v>
      </c>
    </row>
    <row r="233" spans="1:11" x14ac:dyDescent="0.35">
      <c r="A233">
        <v>2057</v>
      </c>
      <c r="B233" t="s">
        <v>179</v>
      </c>
      <c r="C233" t="s">
        <v>106</v>
      </c>
      <c r="D233">
        <v>840513.28</v>
      </c>
      <c r="E233">
        <v>0.27541892142928398</v>
      </c>
      <c r="F233">
        <v>6.3E-2</v>
      </c>
      <c r="G233">
        <v>52952.336639999899</v>
      </c>
      <c r="H233">
        <v>9001.8972288000004</v>
      </c>
      <c r="I233">
        <v>43950.439411199899</v>
      </c>
      <c r="J233">
        <v>884463.71941120003</v>
      </c>
      <c r="K233">
        <v>7516735.9303918397</v>
      </c>
    </row>
    <row r="234" spans="1:11" x14ac:dyDescent="0.35">
      <c r="A234">
        <v>2057</v>
      </c>
      <c r="B234" t="s">
        <v>180</v>
      </c>
      <c r="C234" t="s">
        <v>106</v>
      </c>
      <c r="D234">
        <v>1969735.2</v>
      </c>
      <c r="E234">
        <v>0.64544172851771697</v>
      </c>
      <c r="F234">
        <v>6.3E-2</v>
      </c>
      <c r="G234">
        <v>124093.31759999901</v>
      </c>
      <c r="H234">
        <v>42636.243028277102</v>
      </c>
      <c r="I234">
        <v>81457.074571722798</v>
      </c>
      <c r="J234">
        <v>2051192.27457172</v>
      </c>
      <c r="K234">
        <v>7516735.9303918397</v>
      </c>
    </row>
    <row r="235" spans="1:11" x14ac:dyDescent="0.35">
      <c r="A235">
        <v>2057</v>
      </c>
      <c r="B235" t="s">
        <v>179</v>
      </c>
      <c r="C235" t="s">
        <v>107</v>
      </c>
      <c r="D235">
        <v>3576.47</v>
      </c>
      <c r="E235">
        <v>1.1719356890163501E-3</v>
      </c>
      <c r="F235">
        <v>6.3E-2</v>
      </c>
      <c r="G235">
        <v>225.31760999999901</v>
      </c>
      <c r="H235">
        <v>38.3039936999999</v>
      </c>
      <c r="I235">
        <v>187.013616299999</v>
      </c>
      <c r="J235">
        <v>3763.48361629999</v>
      </c>
      <c r="K235">
        <v>7516735.9303918397</v>
      </c>
    </row>
    <row r="236" spans="1:11" x14ac:dyDescent="0.35">
      <c r="A236">
        <v>2057</v>
      </c>
      <c r="B236" t="s">
        <v>180</v>
      </c>
      <c r="C236" t="s">
        <v>107</v>
      </c>
      <c r="D236">
        <v>8381.42</v>
      </c>
      <c r="E236">
        <v>2.7464190172531602E-3</v>
      </c>
      <c r="F236">
        <v>6.3E-2</v>
      </c>
      <c r="G236">
        <v>528.02945999999895</v>
      </c>
      <c r="H236">
        <v>181.421472308593</v>
      </c>
      <c r="I236">
        <v>346.60798769140501</v>
      </c>
      <c r="J236">
        <v>8728.0279876913992</v>
      </c>
      <c r="K236">
        <v>7516735.9303918397</v>
      </c>
    </row>
    <row r="237" spans="1:11" x14ac:dyDescent="0.35">
      <c r="A237">
        <v>2057</v>
      </c>
      <c r="B237" t="s">
        <v>180</v>
      </c>
      <c r="C237" t="s">
        <v>161</v>
      </c>
      <c r="D237">
        <v>11134.8998667407</v>
      </c>
      <c r="E237">
        <v>3.64867775976224E-3</v>
      </c>
      <c r="F237">
        <v>3.4299999999999997E-2</v>
      </c>
      <c r="G237">
        <v>381.92706542920598</v>
      </c>
      <c r="H237">
        <v>131.223304329776</v>
      </c>
      <c r="I237">
        <v>250.70376109943001</v>
      </c>
      <c r="J237">
        <v>11385.603627840101</v>
      </c>
      <c r="K237">
        <v>7516735.9303918397</v>
      </c>
    </row>
    <row r="238" spans="1:11" x14ac:dyDescent="0.35">
      <c r="A238">
        <v>2057</v>
      </c>
      <c r="B238" t="s">
        <v>180</v>
      </c>
      <c r="C238" t="s">
        <v>160</v>
      </c>
      <c r="D238">
        <v>9642.4970500509007</v>
      </c>
      <c r="E238">
        <v>3.15964803960037E-3</v>
      </c>
      <c r="F238">
        <v>3.4299999999999997E-2</v>
      </c>
      <c r="G238">
        <v>330.737648816746</v>
      </c>
      <c r="H238">
        <v>113.63553691912701</v>
      </c>
      <c r="I238">
        <v>217.10211189761901</v>
      </c>
      <c r="J238">
        <v>9859.5991619485194</v>
      </c>
      <c r="K238">
        <v>7516735.9303918397</v>
      </c>
    </row>
    <row r="239" spans="1:11" x14ac:dyDescent="0.35">
      <c r="A239">
        <v>2057</v>
      </c>
      <c r="B239" t="s">
        <v>180</v>
      </c>
      <c r="C239" t="s">
        <v>159</v>
      </c>
      <c r="D239">
        <v>28683.6595391421</v>
      </c>
      <c r="E239">
        <v>9.3990455128981805E-3</v>
      </c>
      <c r="F239">
        <v>3.4299999999999997E-2</v>
      </c>
      <c r="G239">
        <v>983.84952219257298</v>
      </c>
      <c r="H239">
        <v>338.03308786271703</v>
      </c>
      <c r="I239">
        <v>645.81643432985504</v>
      </c>
      <c r="J239">
        <v>29329.475973471901</v>
      </c>
      <c r="K239">
        <v>7516735.9303918397</v>
      </c>
    </row>
    <row r="240" spans="1:11" x14ac:dyDescent="0.35">
      <c r="A240">
        <v>2057</v>
      </c>
      <c r="B240" t="s">
        <v>180</v>
      </c>
      <c r="C240" t="s">
        <v>158</v>
      </c>
      <c r="D240">
        <v>180095.60330728799</v>
      </c>
      <c r="E240">
        <v>5.90136265509685E-2</v>
      </c>
      <c r="F240">
        <v>3.4299999999999997E-2</v>
      </c>
      <c r="G240">
        <v>6177.2791934399802</v>
      </c>
      <c r="H240">
        <v>2122.4025760515801</v>
      </c>
      <c r="I240">
        <v>4054.8766173884001</v>
      </c>
      <c r="J240">
        <v>184150.47992467601</v>
      </c>
      <c r="K240">
        <v>7516735.9303918397</v>
      </c>
    </row>
    <row r="241" spans="1:11" x14ac:dyDescent="0.35">
      <c r="A241">
        <v>2058</v>
      </c>
      <c r="B241" t="s">
        <v>179</v>
      </c>
      <c r="C241" t="s">
        <v>106</v>
      </c>
      <c r="D241">
        <v>950867.1</v>
      </c>
      <c r="E241">
        <v>0.28723506517956399</v>
      </c>
      <c r="F241">
        <v>6.3E-2</v>
      </c>
      <c r="G241">
        <v>59904.627299999898</v>
      </c>
      <c r="H241">
        <v>10183.786640999901</v>
      </c>
      <c r="I241">
        <v>49720.840658999899</v>
      </c>
      <c r="J241">
        <v>1000587.940659</v>
      </c>
      <c r="K241">
        <v>8467603.0255864095</v>
      </c>
    </row>
    <row r="242" spans="1:11" x14ac:dyDescent="0.35">
      <c r="A242">
        <v>2058</v>
      </c>
      <c r="B242" t="s">
        <v>180</v>
      </c>
      <c r="C242" t="s">
        <v>106</v>
      </c>
      <c r="D242">
        <v>2131799.79</v>
      </c>
      <c r="E242">
        <v>0.64396764976980703</v>
      </c>
      <c r="F242">
        <v>6.3E-2</v>
      </c>
      <c r="G242">
        <v>134303.38676999899</v>
      </c>
      <c r="H242">
        <v>46838.970315467697</v>
      </c>
      <c r="I242">
        <v>87464.416454531995</v>
      </c>
      <c r="J242">
        <v>2219264.2064545299</v>
      </c>
      <c r="K242">
        <v>8467603.0255864095</v>
      </c>
    </row>
    <row r="243" spans="1:11" x14ac:dyDescent="0.35">
      <c r="A243">
        <v>2058</v>
      </c>
      <c r="B243" t="s">
        <v>180</v>
      </c>
      <c r="C243" t="s">
        <v>161</v>
      </c>
      <c r="D243">
        <v>14290.172850630201</v>
      </c>
      <c r="E243">
        <v>4.3167323069417604E-3</v>
      </c>
      <c r="F243">
        <v>3.4299999999999997E-2</v>
      </c>
      <c r="G243">
        <v>490.15292877661699</v>
      </c>
      <c r="H243">
        <v>170.94325789657501</v>
      </c>
      <c r="I243">
        <v>319.20967088004102</v>
      </c>
      <c r="J243">
        <v>14609.382521510201</v>
      </c>
      <c r="K243">
        <v>8467603.0255864095</v>
      </c>
    </row>
    <row r="244" spans="1:11" x14ac:dyDescent="0.35">
      <c r="A244">
        <v>2058</v>
      </c>
      <c r="B244" t="s">
        <v>180</v>
      </c>
      <c r="C244" t="s">
        <v>160</v>
      </c>
      <c r="D244">
        <v>2417.3755657595102</v>
      </c>
      <c r="E244">
        <v>7.3023351864253403E-4</v>
      </c>
      <c r="F244">
        <v>3.4299999999999997E-2</v>
      </c>
      <c r="G244">
        <v>82.915981905551206</v>
      </c>
      <c r="H244">
        <v>28.9173587394558</v>
      </c>
      <c r="I244">
        <v>53.9986231660953</v>
      </c>
      <c r="J244">
        <v>2471.3741889256098</v>
      </c>
      <c r="K244">
        <v>8467603.0255864095</v>
      </c>
    </row>
    <row r="245" spans="1:11" x14ac:dyDescent="0.35">
      <c r="A245">
        <v>2058</v>
      </c>
      <c r="B245" t="s">
        <v>180</v>
      </c>
      <c r="C245" t="s">
        <v>159</v>
      </c>
      <c r="D245">
        <v>52534.853678929998</v>
      </c>
      <c r="E245">
        <v>1.5869570122540099E-2</v>
      </c>
      <c r="F245">
        <v>3.4299999999999997E-2</v>
      </c>
      <c r="G245">
        <v>1801.9454811872999</v>
      </c>
      <c r="H245">
        <v>628.437397844359</v>
      </c>
      <c r="I245">
        <v>1173.5080833429399</v>
      </c>
      <c r="J245">
        <v>53708.361762273002</v>
      </c>
      <c r="K245">
        <v>8467603.0255864095</v>
      </c>
    </row>
    <row r="246" spans="1:11" x14ac:dyDescent="0.35">
      <c r="A246">
        <v>2058</v>
      </c>
      <c r="B246" t="s">
        <v>180</v>
      </c>
      <c r="C246" t="s">
        <v>158</v>
      </c>
      <c r="D246">
        <v>158505.131630786</v>
      </c>
      <c r="E246">
        <v>4.7880752015990798E-2</v>
      </c>
      <c r="F246">
        <v>3.4299999999999997E-2</v>
      </c>
      <c r="G246">
        <v>5436.7260149359599</v>
      </c>
      <c r="H246">
        <v>1896.08508431002</v>
      </c>
      <c r="I246">
        <v>3540.6409306259302</v>
      </c>
      <c r="J246">
        <v>162045.77256141201</v>
      </c>
      <c r="K246">
        <v>8467603.0255864095</v>
      </c>
    </row>
    <row r="247" spans="1:11" x14ac:dyDescent="0.35">
      <c r="A247">
        <v>2059</v>
      </c>
      <c r="B247" t="s">
        <v>179</v>
      </c>
      <c r="C247" t="s">
        <v>106</v>
      </c>
      <c r="D247">
        <v>1070671.93</v>
      </c>
      <c r="E247">
        <v>0.29894476414968801</v>
      </c>
      <c r="F247">
        <v>6.3E-2</v>
      </c>
      <c r="G247">
        <v>67452.331589999798</v>
      </c>
      <c r="H247">
        <v>11466.896370299901</v>
      </c>
      <c r="I247">
        <v>55985.435219699801</v>
      </c>
      <c r="J247">
        <v>1126657.3652196999</v>
      </c>
      <c r="K247">
        <v>9538754.8083230909</v>
      </c>
    </row>
    <row r="248" spans="1:11" x14ac:dyDescent="0.35">
      <c r="A248">
        <v>2059</v>
      </c>
      <c r="B248" t="s">
        <v>180</v>
      </c>
      <c r="C248" t="s">
        <v>106</v>
      </c>
      <c r="D248">
        <v>2296709.31</v>
      </c>
      <c r="E248">
        <v>0.64126947177772997</v>
      </c>
      <c r="F248">
        <v>6.3E-2</v>
      </c>
      <c r="G248">
        <v>144692.68653000001</v>
      </c>
      <c r="H248">
        <v>51135.863241919396</v>
      </c>
      <c r="I248">
        <v>93556.823288080603</v>
      </c>
      <c r="J248">
        <v>2390266.1332880799</v>
      </c>
      <c r="K248">
        <v>9538754.8083230909</v>
      </c>
    </row>
    <row r="249" spans="1:11" x14ac:dyDescent="0.35">
      <c r="A249">
        <v>2059</v>
      </c>
      <c r="B249" t="s">
        <v>179</v>
      </c>
      <c r="C249" t="s">
        <v>107</v>
      </c>
      <c r="D249">
        <v>479.85</v>
      </c>
      <c r="E249">
        <v>1.3398001858256199E-4</v>
      </c>
      <c r="F249">
        <v>6.3E-2</v>
      </c>
      <c r="G249">
        <v>30.230549999999901</v>
      </c>
      <c r="H249">
        <v>5.1391934999999904</v>
      </c>
      <c r="I249">
        <v>25.0913564999999</v>
      </c>
      <c r="J249">
        <v>504.94135649999998</v>
      </c>
      <c r="K249">
        <v>9538754.8083230909</v>
      </c>
    </row>
    <row r="250" spans="1:11" x14ac:dyDescent="0.35">
      <c r="A250">
        <v>2059</v>
      </c>
      <c r="B250" t="s">
        <v>180</v>
      </c>
      <c r="C250" t="s">
        <v>107</v>
      </c>
      <c r="D250">
        <v>1029.33</v>
      </c>
      <c r="E250">
        <v>2.8740158909573498E-4</v>
      </c>
      <c r="F250">
        <v>6.3E-2</v>
      </c>
      <c r="G250">
        <v>64.847790000000003</v>
      </c>
      <c r="H250">
        <v>22.917866828695399</v>
      </c>
      <c r="I250">
        <v>41.929923171304601</v>
      </c>
      <c r="J250">
        <v>1071.2599231713</v>
      </c>
      <c r="K250">
        <v>9538754.8083230909</v>
      </c>
    </row>
    <row r="251" spans="1:11" x14ac:dyDescent="0.35">
      <c r="A251">
        <v>2059</v>
      </c>
      <c r="B251" t="s">
        <v>180</v>
      </c>
      <c r="C251" t="s">
        <v>161</v>
      </c>
      <c r="D251">
        <v>8407.1697522770792</v>
      </c>
      <c r="E251">
        <v>2.34738514043313E-3</v>
      </c>
      <c r="F251">
        <v>3.4299999999999997E-2</v>
      </c>
      <c r="G251">
        <v>288.365922503104</v>
      </c>
      <c r="H251">
        <v>101.911442315305</v>
      </c>
      <c r="I251">
        <v>186.454480187798</v>
      </c>
      <c r="J251">
        <v>8593.6242324648792</v>
      </c>
      <c r="K251">
        <v>9538754.8083230909</v>
      </c>
    </row>
    <row r="252" spans="1:11" x14ac:dyDescent="0.35">
      <c r="A252">
        <v>2059</v>
      </c>
      <c r="B252" t="s">
        <v>180</v>
      </c>
      <c r="C252" t="s">
        <v>160</v>
      </c>
      <c r="D252">
        <v>4606.6687867389101</v>
      </c>
      <c r="E252">
        <v>1.28623855298736E-3</v>
      </c>
      <c r="F252">
        <v>3.4299999999999997E-2</v>
      </c>
      <c r="G252">
        <v>158.008739385144</v>
      </c>
      <c r="H252">
        <v>55.841891404453101</v>
      </c>
      <c r="I252">
        <v>102.166847980691</v>
      </c>
      <c r="J252">
        <v>4708.8356347196004</v>
      </c>
      <c r="K252">
        <v>9538754.8083230909</v>
      </c>
    </row>
    <row r="253" spans="1:11" x14ac:dyDescent="0.35">
      <c r="A253">
        <v>2059</v>
      </c>
      <c r="B253" t="s">
        <v>180</v>
      </c>
      <c r="C253" t="s">
        <v>159</v>
      </c>
      <c r="D253">
        <v>35496.789917171402</v>
      </c>
      <c r="E253">
        <v>9.9111400911200305E-3</v>
      </c>
      <c r="F253">
        <v>3.4299999999999997E-2</v>
      </c>
      <c r="G253">
        <v>1217.5398941589799</v>
      </c>
      <c r="H253">
        <v>430.29094982202798</v>
      </c>
      <c r="I253">
        <v>787.24894433695204</v>
      </c>
      <c r="J253">
        <v>36284.038861508401</v>
      </c>
      <c r="K253">
        <v>9538754.8083230909</v>
      </c>
    </row>
    <row r="254" spans="1:11" x14ac:dyDescent="0.35">
      <c r="A254">
        <v>2059</v>
      </c>
      <c r="B254" t="s">
        <v>180</v>
      </c>
      <c r="C254" t="s">
        <v>158</v>
      </c>
      <c r="D254">
        <v>164103.15472432401</v>
      </c>
      <c r="E254">
        <v>4.5819618046101997E-2</v>
      </c>
      <c r="F254">
        <v>3.4299999999999997E-2</v>
      </c>
      <c r="G254">
        <v>5628.73820704431</v>
      </c>
      <c r="H254">
        <v>1989.2531826085501</v>
      </c>
      <c r="I254">
        <v>3639.4850244357499</v>
      </c>
      <c r="J254">
        <v>167742.63974875899</v>
      </c>
      <c r="K254">
        <v>9538754.8083230909</v>
      </c>
    </row>
    <row r="255" spans="1:11" x14ac:dyDescent="0.35">
      <c r="A255">
        <v>2060</v>
      </c>
      <c r="B255" t="s">
        <v>179</v>
      </c>
      <c r="C255" t="s">
        <v>106</v>
      </c>
      <c r="D255">
        <v>1206388.48</v>
      </c>
      <c r="E255">
        <v>0.31205613564287799</v>
      </c>
      <c r="F255">
        <v>6.3E-2</v>
      </c>
      <c r="G255">
        <v>76002.474239999894</v>
      </c>
      <c r="H255">
        <v>12920.4206207999</v>
      </c>
      <c r="I255">
        <v>63082.053619199898</v>
      </c>
      <c r="J255">
        <v>1269470.5336191901</v>
      </c>
      <c r="K255">
        <v>10745407.291575899</v>
      </c>
    </row>
    <row r="256" spans="1:11" x14ac:dyDescent="0.35">
      <c r="A256">
        <v>2060</v>
      </c>
      <c r="B256" t="s">
        <v>180</v>
      </c>
      <c r="C256" t="s">
        <v>106</v>
      </c>
      <c r="D256">
        <v>2422826.41</v>
      </c>
      <c r="E256">
        <v>0.62671175941443702</v>
      </c>
      <c r="F256">
        <v>6.3E-2</v>
      </c>
      <c r="G256">
        <v>152638.06382999901</v>
      </c>
      <c r="H256">
        <v>54494.744373894297</v>
      </c>
      <c r="I256">
        <v>98143.319456105499</v>
      </c>
      <c r="J256">
        <v>2520969.7294561001</v>
      </c>
      <c r="K256">
        <v>10745407.291575899</v>
      </c>
    </row>
    <row r="257" spans="1:11" x14ac:dyDescent="0.35">
      <c r="A257">
        <v>2060</v>
      </c>
      <c r="B257" t="s">
        <v>179</v>
      </c>
      <c r="C257" t="s">
        <v>107</v>
      </c>
      <c r="D257">
        <v>264</v>
      </c>
      <c r="E257" s="42">
        <v>6.8288798488626098E-5</v>
      </c>
      <c r="F257">
        <v>6.3E-2</v>
      </c>
      <c r="G257">
        <v>16.632000000000001</v>
      </c>
      <c r="H257">
        <v>2.8274400000000002</v>
      </c>
      <c r="I257">
        <v>13.80456</v>
      </c>
      <c r="J257">
        <v>277.80455999999998</v>
      </c>
      <c r="K257">
        <v>10745407.291575899</v>
      </c>
    </row>
    <row r="258" spans="1:11" x14ac:dyDescent="0.35">
      <c r="A258">
        <v>2060</v>
      </c>
      <c r="B258" t="s">
        <v>180</v>
      </c>
      <c r="C258" t="s">
        <v>107</v>
      </c>
      <c r="D258">
        <v>530.21</v>
      </c>
      <c r="E258">
        <v>1.3714925699490299E-4</v>
      </c>
      <c r="F258">
        <v>6.3E-2</v>
      </c>
      <c r="G258">
        <v>33.403230000000001</v>
      </c>
      <c r="H258">
        <v>11.925599908943701</v>
      </c>
      <c r="I258">
        <v>21.477630091056199</v>
      </c>
      <c r="J258">
        <v>551.68763009105601</v>
      </c>
      <c r="K258">
        <v>10745407.291575899</v>
      </c>
    </row>
    <row r="259" spans="1:11" x14ac:dyDescent="0.35">
      <c r="A259">
        <v>2060</v>
      </c>
      <c r="B259" t="s">
        <v>180</v>
      </c>
      <c r="C259" t="s">
        <v>161</v>
      </c>
      <c r="D259">
        <v>1625.3277485835599</v>
      </c>
      <c r="E259">
        <v>4.20423026897709E-4</v>
      </c>
      <c r="F259">
        <v>3.4299999999999997E-2</v>
      </c>
      <c r="G259">
        <v>55.748741776416097</v>
      </c>
      <c r="H259">
        <v>19.903380297430999</v>
      </c>
      <c r="I259">
        <v>35.845361478985097</v>
      </c>
      <c r="J259">
        <v>1661.17311006254</v>
      </c>
      <c r="K259">
        <v>10745407.291575899</v>
      </c>
    </row>
    <row r="260" spans="1:11" x14ac:dyDescent="0.35">
      <c r="A260">
        <v>2060</v>
      </c>
      <c r="B260" t="s">
        <v>180</v>
      </c>
      <c r="C260" t="s">
        <v>160</v>
      </c>
      <c r="D260">
        <v>8512.8053165368401</v>
      </c>
      <c r="E260">
        <v>2.20200472285564E-3</v>
      </c>
      <c r="F260">
        <v>3.4299999999999997E-2</v>
      </c>
      <c r="G260">
        <v>291.98922235721301</v>
      </c>
      <c r="H260">
        <v>104.245806275493</v>
      </c>
      <c r="I260">
        <v>187.74341608172</v>
      </c>
      <c r="J260">
        <v>8700.5487326185594</v>
      </c>
      <c r="K260">
        <v>10745407.291575899</v>
      </c>
    </row>
    <row r="261" spans="1:11" x14ac:dyDescent="0.35">
      <c r="A261">
        <v>2060</v>
      </c>
      <c r="B261" t="s">
        <v>180</v>
      </c>
      <c r="C261" t="s">
        <v>159</v>
      </c>
      <c r="D261">
        <v>38037.403717177003</v>
      </c>
      <c r="E261">
        <v>9.8391234752758395E-3</v>
      </c>
      <c r="F261">
        <v>3.4299999999999997E-2</v>
      </c>
      <c r="G261">
        <v>1304.68294749917</v>
      </c>
      <c r="H261">
        <v>465.79707530968199</v>
      </c>
      <c r="I261">
        <v>838.88587218949306</v>
      </c>
      <c r="J261">
        <v>38876.289589366497</v>
      </c>
      <c r="K261">
        <v>10745407.291575899</v>
      </c>
    </row>
    <row r="262" spans="1:11" x14ac:dyDescent="0.35">
      <c r="A262">
        <v>2060</v>
      </c>
      <c r="B262" t="s">
        <v>180</v>
      </c>
      <c r="C262" t="s">
        <v>158</v>
      </c>
      <c r="D262">
        <v>187749.54138522301</v>
      </c>
      <c r="E262">
        <v>4.8565115901467802E-2</v>
      </c>
      <c r="F262">
        <v>3.4299999999999997E-2</v>
      </c>
      <c r="G262">
        <v>6439.80926951317</v>
      </c>
      <c r="H262">
        <v>2299.1366055953699</v>
      </c>
      <c r="I262">
        <v>4140.6726639177996</v>
      </c>
      <c r="J262">
        <v>191890.21404914101</v>
      </c>
      <c r="K262">
        <v>10745407.291575899</v>
      </c>
    </row>
    <row r="263" spans="1:11" x14ac:dyDescent="0.35">
      <c r="A263">
        <v>2061</v>
      </c>
      <c r="B263" t="s">
        <v>179</v>
      </c>
      <c r="C263" t="s">
        <v>106</v>
      </c>
      <c r="D263">
        <v>345881.91</v>
      </c>
      <c r="E263">
        <v>8.2809968289321995E-2</v>
      </c>
      <c r="F263">
        <v>6.3E-2</v>
      </c>
      <c r="G263">
        <v>21790.56033</v>
      </c>
      <c r="H263">
        <v>3704.3952561000001</v>
      </c>
      <c r="I263">
        <v>18086.1650739</v>
      </c>
      <c r="J263">
        <v>363968.07507389999</v>
      </c>
      <c r="K263">
        <v>12104701.313960301</v>
      </c>
    </row>
    <row r="264" spans="1:11" x14ac:dyDescent="0.35">
      <c r="A264">
        <v>2061</v>
      </c>
      <c r="B264" t="s">
        <v>180</v>
      </c>
      <c r="C264" t="s">
        <v>106</v>
      </c>
      <c r="D264">
        <v>699163.87</v>
      </c>
      <c r="E264">
        <v>0.167391633473226</v>
      </c>
      <c r="F264">
        <v>6.3E-2</v>
      </c>
      <c r="G264">
        <v>44047.3238099999</v>
      </c>
      <c r="H264">
        <v>15958.671035338601</v>
      </c>
      <c r="I264">
        <v>28088.652774661201</v>
      </c>
      <c r="J264">
        <v>727252.52277466096</v>
      </c>
      <c r="K264">
        <v>12104701.313960301</v>
      </c>
    </row>
    <row r="265" spans="1:11" x14ac:dyDescent="0.35">
      <c r="A265">
        <v>2061</v>
      </c>
      <c r="B265" t="s">
        <v>179</v>
      </c>
      <c r="C265" t="s">
        <v>107</v>
      </c>
      <c r="D265">
        <v>1013412.11</v>
      </c>
      <c r="E265">
        <v>0.24262796713801801</v>
      </c>
      <c r="F265">
        <v>6.3E-2</v>
      </c>
      <c r="G265">
        <v>63844.962930000002</v>
      </c>
      <c r="H265">
        <v>10853.643698100001</v>
      </c>
      <c r="I265">
        <v>52991.319231900001</v>
      </c>
      <c r="J265">
        <v>1066403.4292319</v>
      </c>
      <c r="K265">
        <v>12104701.313960301</v>
      </c>
    </row>
    <row r="266" spans="1:11" x14ac:dyDescent="0.35">
      <c r="A266">
        <v>2061</v>
      </c>
      <c r="B266" t="s">
        <v>180</v>
      </c>
      <c r="C266" t="s">
        <v>107</v>
      </c>
      <c r="D266">
        <v>2048505.88</v>
      </c>
      <c r="E266">
        <v>0.49044688970085099</v>
      </c>
      <c r="F266">
        <v>6.3E-2</v>
      </c>
      <c r="G266">
        <v>129055.87043999899</v>
      </c>
      <c r="H266">
        <v>46757.895903398101</v>
      </c>
      <c r="I266">
        <v>82297.9745366016</v>
      </c>
      <c r="J266">
        <v>2130803.8545365999</v>
      </c>
      <c r="K266">
        <v>12104701.313960301</v>
      </c>
    </row>
    <row r="267" spans="1:11" x14ac:dyDescent="0.35">
      <c r="A267">
        <v>2061</v>
      </c>
      <c r="B267" t="s">
        <v>180</v>
      </c>
      <c r="C267" t="s">
        <v>161</v>
      </c>
      <c r="D267">
        <v>2233.42581778047</v>
      </c>
      <c r="E267">
        <v>5.3471984454739004E-4</v>
      </c>
      <c r="F267">
        <v>3.4299999999999997E-2</v>
      </c>
      <c r="G267">
        <v>76.606505549870207</v>
      </c>
      <c r="H267">
        <v>27.755103272804799</v>
      </c>
      <c r="I267">
        <v>48.851402277065297</v>
      </c>
      <c r="J267">
        <v>2282.27722005754</v>
      </c>
      <c r="K267">
        <v>12104701.313960301</v>
      </c>
    </row>
    <row r="268" spans="1:11" x14ac:dyDescent="0.35">
      <c r="A268">
        <v>2061</v>
      </c>
      <c r="B268" t="s">
        <v>180</v>
      </c>
      <c r="C268" t="s">
        <v>160</v>
      </c>
      <c r="D268">
        <v>2586.4697560228201</v>
      </c>
      <c r="E268">
        <v>6.1924452330432795E-4</v>
      </c>
      <c r="F268">
        <v>3.4299999999999997E-2</v>
      </c>
      <c r="G268">
        <v>88.715912631582796</v>
      </c>
      <c r="H268">
        <v>32.142430977063199</v>
      </c>
      <c r="I268">
        <v>56.573481654519497</v>
      </c>
      <c r="J268">
        <v>2643.0432376773401</v>
      </c>
      <c r="K268">
        <v>12104701.313960301</v>
      </c>
    </row>
    <row r="269" spans="1:11" x14ac:dyDescent="0.35">
      <c r="A269">
        <v>2061</v>
      </c>
      <c r="B269" t="s">
        <v>180</v>
      </c>
      <c r="C269" t="s">
        <v>159</v>
      </c>
      <c r="D269">
        <v>30943.050538627002</v>
      </c>
      <c r="E269">
        <v>7.4082886667261498E-3</v>
      </c>
      <c r="F269">
        <v>3.4299999999999997E-2</v>
      </c>
      <c r="G269">
        <v>1061.34663347491</v>
      </c>
      <c r="H269">
        <v>384.53373129209098</v>
      </c>
      <c r="I269">
        <v>676.81290218281799</v>
      </c>
      <c r="J269">
        <v>31619.863440809899</v>
      </c>
      <c r="K269">
        <v>12104701.313960301</v>
      </c>
    </row>
    <row r="270" spans="1:11" x14ac:dyDescent="0.35">
      <c r="A270">
        <v>2061</v>
      </c>
      <c r="B270" t="s">
        <v>180</v>
      </c>
      <c r="C270" t="s">
        <v>158</v>
      </c>
      <c r="D270">
        <v>34088.181583286103</v>
      </c>
      <c r="E270">
        <v>8.1612861336187604E-3</v>
      </c>
      <c r="F270">
        <v>3.4299999999999997E-2</v>
      </c>
      <c r="G270">
        <v>1169.22462830671</v>
      </c>
      <c r="H270">
        <v>423.61872630561101</v>
      </c>
      <c r="I270">
        <v>745.605902001103</v>
      </c>
      <c r="J270">
        <v>34833.787485287197</v>
      </c>
      <c r="K270">
        <v>12104701.313960301</v>
      </c>
    </row>
    <row r="271" spans="1:11" x14ac:dyDescent="0.35">
      <c r="A271">
        <v>2062</v>
      </c>
      <c r="B271" t="s">
        <v>179</v>
      </c>
      <c r="C271" t="s">
        <v>106</v>
      </c>
      <c r="D271">
        <v>1529450.99</v>
      </c>
      <c r="E271">
        <v>0.339450444966649</v>
      </c>
      <c r="F271">
        <v>6.3E-2</v>
      </c>
      <c r="G271">
        <v>96355.412369999802</v>
      </c>
      <c r="H271">
        <v>16380.4201028999</v>
      </c>
      <c r="I271">
        <v>79974.992267099806</v>
      </c>
      <c r="J271">
        <v>1609425.9822670999</v>
      </c>
      <c r="K271">
        <v>13635946.030176301</v>
      </c>
    </row>
    <row r="272" spans="1:11" x14ac:dyDescent="0.35">
      <c r="A272">
        <v>2062</v>
      </c>
      <c r="B272" t="s">
        <v>180</v>
      </c>
      <c r="C272" t="s">
        <v>106</v>
      </c>
      <c r="D272">
        <v>2778978.99</v>
      </c>
      <c r="E272">
        <v>0.61677403256214902</v>
      </c>
      <c r="F272">
        <v>6.3E-2</v>
      </c>
      <c r="G272">
        <v>175075.67637</v>
      </c>
      <c r="H272">
        <v>63785.193335336102</v>
      </c>
      <c r="I272">
        <v>111290.483034663</v>
      </c>
      <c r="J272">
        <v>2890269.4730346599</v>
      </c>
      <c r="K272">
        <v>13635946.030176301</v>
      </c>
    </row>
    <row r="273" spans="1:11" x14ac:dyDescent="0.35">
      <c r="A273">
        <v>2062</v>
      </c>
      <c r="B273" t="s">
        <v>179</v>
      </c>
      <c r="C273" t="s">
        <v>107</v>
      </c>
      <c r="D273">
        <v>1793.72</v>
      </c>
      <c r="E273">
        <v>3.9810301613232998E-4</v>
      </c>
      <c r="F273">
        <v>6.3E-2</v>
      </c>
      <c r="G273">
        <v>113.004359999999</v>
      </c>
      <c r="H273">
        <v>19.210741199999902</v>
      </c>
      <c r="I273">
        <v>93.793618799999905</v>
      </c>
      <c r="J273">
        <v>1887.5136187999999</v>
      </c>
      <c r="K273">
        <v>13635946.030176301</v>
      </c>
    </row>
    <row r="274" spans="1:11" x14ac:dyDescent="0.35">
      <c r="A274">
        <v>2062</v>
      </c>
      <c r="B274" t="s">
        <v>180</v>
      </c>
      <c r="C274" t="s">
        <v>107</v>
      </c>
      <c r="D274">
        <v>3259.15</v>
      </c>
      <c r="E274">
        <v>7.2334447128185296E-4</v>
      </c>
      <c r="F274">
        <v>6.3E-2</v>
      </c>
      <c r="G274">
        <v>205.32644999999999</v>
      </c>
      <c r="H274">
        <v>74.806435603480693</v>
      </c>
      <c r="I274">
        <v>130.520014396519</v>
      </c>
      <c r="J274">
        <v>3389.6700143965099</v>
      </c>
      <c r="K274">
        <v>13635946.030176301</v>
      </c>
    </row>
    <row r="275" spans="1:11" x14ac:dyDescent="0.35">
      <c r="A275">
        <v>2062</v>
      </c>
      <c r="B275" t="s">
        <v>180</v>
      </c>
      <c r="C275" t="s">
        <v>161</v>
      </c>
      <c r="D275">
        <v>5385.9663617215301</v>
      </c>
      <c r="E275">
        <v>1.1953757851775101E-3</v>
      </c>
      <c r="F275">
        <v>3.4299999999999997E-2</v>
      </c>
      <c r="G275">
        <v>184.73864620704899</v>
      </c>
      <c r="H275">
        <v>67.305696080372499</v>
      </c>
      <c r="I275">
        <v>117.432950126676</v>
      </c>
      <c r="J275">
        <v>5503.3993118482103</v>
      </c>
      <c r="K275">
        <v>13635946.030176301</v>
      </c>
    </row>
    <row r="276" spans="1:11" x14ac:dyDescent="0.35">
      <c r="A276">
        <v>2062</v>
      </c>
      <c r="B276" t="s">
        <v>180</v>
      </c>
      <c r="C276" t="s">
        <v>160</v>
      </c>
      <c r="D276">
        <v>2520.7267562613902</v>
      </c>
      <c r="E276">
        <v>5.5945684081859395E-4</v>
      </c>
      <c r="F276">
        <v>3.4299999999999997E-2</v>
      </c>
      <c r="G276">
        <v>86.460927739765793</v>
      </c>
      <c r="H276">
        <v>31.500246671492999</v>
      </c>
      <c r="I276">
        <v>54.960681068272699</v>
      </c>
      <c r="J276">
        <v>2575.68743732967</v>
      </c>
      <c r="K276">
        <v>13635946.030176301</v>
      </c>
    </row>
    <row r="277" spans="1:11" x14ac:dyDescent="0.35">
      <c r="A277">
        <v>2062</v>
      </c>
      <c r="B277" t="s">
        <v>180</v>
      </c>
      <c r="C277" t="s">
        <v>159</v>
      </c>
      <c r="D277">
        <v>31779.008906847099</v>
      </c>
      <c r="E277">
        <v>7.0531182656780496E-3</v>
      </c>
      <c r="F277">
        <v>3.4299999999999997E-2</v>
      </c>
      <c r="G277">
        <v>1090.0200055048499</v>
      </c>
      <c r="H277">
        <v>397.12619269609399</v>
      </c>
      <c r="I277">
        <v>692.89381280876501</v>
      </c>
      <c r="J277">
        <v>32471.902719655802</v>
      </c>
      <c r="K277">
        <v>13635946.030176301</v>
      </c>
    </row>
    <row r="278" spans="1:11" x14ac:dyDescent="0.35">
      <c r="A278">
        <v>2062</v>
      </c>
      <c r="B278" t="s">
        <v>180</v>
      </c>
      <c r="C278" t="s">
        <v>158</v>
      </c>
      <c r="D278">
        <v>152499.38556632501</v>
      </c>
      <c r="E278">
        <v>3.3846121664630802E-2</v>
      </c>
      <c r="F278">
        <v>3.4299999999999997E-2</v>
      </c>
      <c r="G278">
        <v>5230.7289249249698</v>
      </c>
      <c r="H278">
        <v>1905.7076498505801</v>
      </c>
      <c r="I278">
        <v>3325.0212750743799</v>
      </c>
      <c r="J278">
        <v>155824.40684139999</v>
      </c>
      <c r="K278">
        <v>13635946.030176301</v>
      </c>
    </row>
    <row r="279" spans="1:11" x14ac:dyDescent="0.35">
      <c r="A279">
        <v>2063</v>
      </c>
      <c r="B279" t="s">
        <v>179</v>
      </c>
      <c r="C279" t="s">
        <v>106</v>
      </c>
      <c r="D279">
        <v>1724947.17</v>
      </c>
      <c r="E279">
        <v>0.35575693404497799</v>
      </c>
      <c r="F279">
        <v>6.3E-2</v>
      </c>
      <c r="G279">
        <v>108671.67170999901</v>
      </c>
      <c r="H279">
        <v>18474.1841906999</v>
      </c>
      <c r="I279">
        <v>90197.487519299902</v>
      </c>
      <c r="J279">
        <v>1815144.65751929</v>
      </c>
      <c r="K279">
        <v>15360893.2029936</v>
      </c>
    </row>
    <row r="280" spans="1:11" x14ac:dyDescent="0.35">
      <c r="A280">
        <v>2063</v>
      </c>
      <c r="B280" t="s">
        <v>180</v>
      </c>
      <c r="C280" t="s">
        <v>106</v>
      </c>
      <c r="D280">
        <v>2615587.86</v>
      </c>
      <c r="E280">
        <v>0.53944464733888997</v>
      </c>
      <c r="F280">
        <v>6.3E-2</v>
      </c>
      <c r="G280">
        <v>164782.03517999899</v>
      </c>
      <c r="H280">
        <v>60051.937196833896</v>
      </c>
      <c r="I280">
        <v>104730.097983165</v>
      </c>
      <c r="J280">
        <v>2720317.9579831599</v>
      </c>
      <c r="K280">
        <v>15360893.2029936</v>
      </c>
    </row>
    <row r="281" spans="1:11" x14ac:dyDescent="0.35">
      <c r="A281">
        <v>2063</v>
      </c>
      <c r="B281" t="s">
        <v>180</v>
      </c>
      <c r="C281" t="s">
        <v>159</v>
      </c>
      <c r="D281">
        <v>19758.7598590874</v>
      </c>
      <c r="E281">
        <v>4.0750905014673199E-3</v>
      </c>
      <c r="F281">
        <v>3.4299999999999997E-2</v>
      </c>
      <c r="G281">
        <v>677.72546316669798</v>
      </c>
      <c r="H281">
        <v>246.98521842095499</v>
      </c>
      <c r="I281">
        <v>430.74024474574202</v>
      </c>
      <c r="J281">
        <v>20189.500103833099</v>
      </c>
      <c r="K281">
        <v>15360893.2029936</v>
      </c>
    </row>
    <row r="282" spans="1:11" x14ac:dyDescent="0.35">
      <c r="A282">
        <v>2063</v>
      </c>
      <c r="B282" t="s">
        <v>180</v>
      </c>
      <c r="C282" t="s">
        <v>158</v>
      </c>
      <c r="D282">
        <v>488373.94845306</v>
      </c>
      <c r="E282">
        <v>0.10072332741013799</v>
      </c>
      <c r="F282">
        <v>3.4299999999999997E-2</v>
      </c>
      <c r="G282">
        <v>16751.2264319399</v>
      </c>
      <c r="H282">
        <v>6104.6921562897396</v>
      </c>
      <c r="I282">
        <v>10646.5342756502</v>
      </c>
      <c r="J282">
        <v>499020.48272870999</v>
      </c>
      <c r="K282">
        <v>15360893.2029936</v>
      </c>
    </row>
    <row r="283" spans="1:11" x14ac:dyDescent="0.35">
      <c r="A283">
        <v>2064</v>
      </c>
      <c r="B283" t="s">
        <v>179</v>
      </c>
      <c r="C283" t="s">
        <v>106</v>
      </c>
      <c r="D283">
        <v>1942263.11</v>
      </c>
      <c r="E283">
        <v>0.37326337789636899</v>
      </c>
      <c r="F283">
        <v>6.3E-2</v>
      </c>
      <c r="G283">
        <v>122362.575929999</v>
      </c>
      <c r="H283">
        <v>20801.6379080999</v>
      </c>
      <c r="I283">
        <v>101560.938021899</v>
      </c>
      <c r="J283">
        <v>2043824.0480219</v>
      </c>
      <c r="K283">
        <v>17304046.193172298</v>
      </c>
    </row>
    <row r="284" spans="1:11" x14ac:dyDescent="0.35">
      <c r="A284">
        <v>2064</v>
      </c>
      <c r="B284" t="s">
        <v>180</v>
      </c>
      <c r="C284" t="s">
        <v>106</v>
      </c>
      <c r="D284">
        <v>2747492.51</v>
      </c>
      <c r="E284">
        <v>0.52801205446751898</v>
      </c>
      <c r="F284">
        <v>6.3E-2</v>
      </c>
      <c r="G284">
        <v>173092.02812999999</v>
      </c>
      <c r="H284">
        <v>63509.3887457858</v>
      </c>
      <c r="I284">
        <v>109582.639384214</v>
      </c>
      <c r="J284">
        <v>2857075.1493842099</v>
      </c>
      <c r="K284">
        <v>17304046.193172298</v>
      </c>
    </row>
    <row r="285" spans="1:11" x14ac:dyDescent="0.35">
      <c r="A285">
        <v>2064</v>
      </c>
      <c r="B285" t="s">
        <v>179</v>
      </c>
      <c r="C285" t="s">
        <v>107</v>
      </c>
      <c r="D285">
        <v>889.88</v>
      </c>
      <c r="E285">
        <v>1.7101679634044001E-4</v>
      </c>
      <c r="F285">
        <v>6.3E-2</v>
      </c>
      <c r="G285">
        <v>56.062439999999903</v>
      </c>
      <c r="H285">
        <v>9.5306147999999808</v>
      </c>
      <c r="I285">
        <v>46.531825199999901</v>
      </c>
      <c r="J285">
        <v>936.41182519999995</v>
      </c>
      <c r="K285">
        <v>17304046.193172298</v>
      </c>
    </row>
    <row r="286" spans="1:11" x14ac:dyDescent="0.35">
      <c r="A286">
        <v>2064</v>
      </c>
      <c r="B286" t="s">
        <v>180</v>
      </c>
      <c r="C286" t="s">
        <v>107</v>
      </c>
      <c r="D286">
        <v>1258.8</v>
      </c>
      <c r="E286">
        <v>2.41915700131867E-4</v>
      </c>
      <c r="F286">
        <v>6.3E-2</v>
      </c>
      <c r="G286">
        <v>79.304399999999902</v>
      </c>
      <c r="H286">
        <v>29.097665694162401</v>
      </c>
      <c r="I286">
        <v>50.2067343058375</v>
      </c>
      <c r="J286">
        <v>1309.0067343058299</v>
      </c>
      <c r="K286">
        <v>17304046.193172298</v>
      </c>
    </row>
    <row r="287" spans="1:11" x14ac:dyDescent="0.35">
      <c r="A287">
        <v>2064</v>
      </c>
      <c r="B287" t="s">
        <v>180</v>
      </c>
      <c r="C287" t="s">
        <v>161</v>
      </c>
      <c r="D287" s="42">
        <v>3.2803167449364297E-14</v>
      </c>
      <c r="E287" s="42">
        <v>6.3041001112614196E-21</v>
      </c>
      <c r="F287">
        <v>3.4299999999999997E-2</v>
      </c>
      <c r="G287" s="42">
        <v>1.1251486435131901E-15</v>
      </c>
      <c r="H287" s="42">
        <v>4.12829541427553E-16</v>
      </c>
      <c r="I287" s="42">
        <v>7.1231910208564102E-16</v>
      </c>
      <c r="J287" s="42">
        <v>3.35154865514499E-14</v>
      </c>
      <c r="K287">
        <v>17304046.193172298</v>
      </c>
    </row>
    <row r="288" spans="1:11" x14ac:dyDescent="0.35">
      <c r="A288">
        <v>2064</v>
      </c>
      <c r="B288" t="s">
        <v>180</v>
      </c>
      <c r="C288" t="s">
        <v>160</v>
      </c>
      <c r="D288" s="42">
        <v>2.6383837991911899E-13</v>
      </c>
      <c r="E288" s="42">
        <v>5.0704358436440701E-20</v>
      </c>
      <c r="F288">
        <v>3.4299999999999997E-2</v>
      </c>
      <c r="G288" s="42">
        <v>9.0496564312258096E-15</v>
      </c>
      <c r="H288" s="42">
        <v>3.3204195162290501E-15</v>
      </c>
      <c r="I288" s="42">
        <v>5.7292369149967496E-15</v>
      </c>
      <c r="J288" s="42">
        <v>2.6956761683411598E-13</v>
      </c>
      <c r="K288">
        <v>17304046.193172298</v>
      </c>
    </row>
    <row r="289" spans="1:11" x14ac:dyDescent="0.35">
      <c r="A289">
        <v>2064</v>
      </c>
      <c r="B289" t="s">
        <v>180</v>
      </c>
      <c r="C289" t="s">
        <v>159</v>
      </c>
      <c r="D289">
        <v>25014.141852123099</v>
      </c>
      <c r="E289">
        <v>4.8072081659947799E-3</v>
      </c>
      <c r="F289">
        <v>3.4299999999999997E-2</v>
      </c>
      <c r="G289">
        <v>857.98506552782396</v>
      </c>
      <c r="H289">
        <v>314.80425559379597</v>
      </c>
      <c r="I289">
        <v>543.18080993402702</v>
      </c>
      <c r="J289">
        <v>25557.322662057199</v>
      </c>
      <c r="K289">
        <v>17304046.193172298</v>
      </c>
    </row>
    <row r="290" spans="1:11" x14ac:dyDescent="0.35">
      <c r="A290">
        <v>2064</v>
      </c>
      <c r="B290" t="s">
        <v>180</v>
      </c>
      <c r="C290" t="s">
        <v>158</v>
      </c>
      <c r="D290">
        <v>486547.05192900298</v>
      </c>
      <c r="E290">
        <v>9.3504425416667494E-2</v>
      </c>
      <c r="F290">
        <v>3.4299999999999997E-2</v>
      </c>
      <c r="G290">
        <v>16688.563881164799</v>
      </c>
      <c r="H290">
        <v>6123.2195531371199</v>
      </c>
      <c r="I290">
        <v>10565.344328027601</v>
      </c>
      <c r="J290">
        <v>497112.39625703002</v>
      </c>
      <c r="K290">
        <v>17304046.193172298</v>
      </c>
    </row>
    <row r="291" spans="1:11" x14ac:dyDescent="0.35">
      <c r="A291">
        <v>2065</v>
      </c>
      <c r="B291" t="s">
        <v>179</v>
      </c>
      <c r="C291" t="s">
        <v>106</v>
      </c>
      <c r="D291">
        <v>562250.87</v>
      </c>
      <c r="E291">
        <v>0.100832366219335</v>
      </c>
      <c r="F291">
        <v>6.3E-2</v>
      </c>
      <c r="G291">
        <v>35421.804810000001</v>
      </c>
      <c r="H291">
        <v>6021.7068177000001</v>
      </c>
      <c r="I291">
        <v>29400.097992300001</v>
      </c>
      <c r="J291">
        <v>591650.96799230005</v>
      </c>
      <c r="K291">
        <v>19493008.036608599</v>
      </c>
    </row>
    <row r="292" spans="1:11" x14ac:dyDescent="0.35">
      <c r="A292">
        <v>2065</v>
      </c>
      <c r="B292" t="s">
        <v>180</v>
      </c>
      <c r="C292" t="s">
        <v>106</v>
      </c>
      <c r="D292">
        <v>832362.5</v>
      </c>
      <c r="E292">
        <v>0.14927336693537099</v>
      </c>
      <c r="F292">
        <v>6.3E-2</v>
      </c>
      <c r="G292">
        <v>52438.8374999999</v>
      </c>
      <c r="H292">
        <v>19486.134144301701</v>
      </c>
      <c r="I292">
        <v>32952.703355698097</v>
      </c>
      <c r="J292">
        <v>865315.20335569803</v>
      </c>
      <c r="K292">
        <v>19493008.036608599</v>
      </c>
    </row>
    <row r="293" spans="1:11" x14ac:dyDescent="0.35">
      <c r="A293">
        <v>2065</v>
      </c>
      <c r="B293" t="s">
        <v>179</v>
      </c>
      <c r="C293" t="s">
        <v>107</v>
      </c>
      <c r="D293">
        <v>1626710.98</v>
      </c>
      <c r="E293">
        <v>0.291729414786631</v>
      </c>
      <c r="F293">
        <v>6.3E-2</v>
      </c>
      <c r="G293">
        <v>102482.79174</v>
      </c>
      <c r="H293">
        <v>17422.074595800001</v>
      </c>
      <c r="I293">
        <v>85060.717144199996</v>
      </c>
      <c r="J293">
        <v>1711771.6971442001</v>
      </c>
      <c r="K293">
        <v>19493008.036608599</v>
      </c>
    </row>
    <row r="294" spans="1:11" x14ac:dyDescent="0.35">
      <c r="A294">
        <v>2065</v>
      </c>
      <c r="B294" t="s">
        <v>180</v>
      </c>
      <c r="C294" t="s">
        <v>107</v>
      </c>
      <c r="D294">
        <v>2408201.21</v>
      </c>
      <c r="E294">
        <v>0.43187950307051998</v>
      </c>
      <c r="F294">
        <v>6.3E-2</v>
      </c>
      <c r="G294">
        <v>151716.67622999899</v>
      </c>
      <c r="H294">
        <v>56377.517997903298</v>
      </c>
      <c r="I294">
        <v>95339.158232096393</v>
      </c>
      <c r="J294">
        <v>2503540.36823209</v>
      </c>
      <c r="K294">
        <v>19493008.036608599</v>
      </c>
    </row>
    <row r="295" spans="1:11" x14ac:dyDescent="0.35">
      <c r="A295">
        <v>2065</v>
      </c>
      <c r="B295" t="s">
        <v>180</v>
      </c>
      <c r="C295" t="s">
        <v>161</v>
      </c>
      <c r="D295" s="42">
        <v>4.7812277364646E-14</v>
      </c>
      <c r="E295" s="42">
        <v>8.5745088504931104E-21</v>
      </c>
      <c r="F295">
        <v>3.4299999999999997E-2</v>
      </c>
      <c r="G295" s="42">
        <v>1.6399611136073601E-15</v>
      </c>
      <c r="H295" s="42">
        <v>6.0940523807743804E-16</v>
      </c>
      <c r="I295" s="42">
        <v>1.03055587552992E-15</v>
      </c>
      <c r="J295" s="42">
        <v>4.8842833240175901E-14</v>
      </c>
      <c r="K295">
        <v>19493008.036608599</v>
      </c>
    </row>
    <row r="296" spans="1:11" x14ac:dyDescent="0.35">
      <c r="A296">
        <v>2065</v>
      </c>
      <c r="B296" t="s">
        <v>180</v>
      </c>
      <c r="C296" t="s">
        <v>160</v>
      </c>
      <c r="D296" s="42">
        <v>2.9478054769753698E-10</v>
      </c>
      <c r="E296" s="42">
        <v>5.2865049617041003E-17</v>
      </c>
      <c r="F296">
        <v>3.4299999999999997E-2</v>
      </c>
      <c r="G296" s="42">
        <v>1.01109727860255E-11</v>
      </c>
      <c r="H296" s="42">
        <v>3.7572109038053701E-12</v>
      </c>
      <c r="I296" s="42">
        <v>6.3537618822201498E-12</v>
      </c>
      <c r="J296" s="42">
        <v>3.0113430957975698E-10</v>
      </c>
      <c r="K296">
        <v>19493008.036608599</v>
      </c>
    </row>
    <row r="297" spans="1:11" x14ac:dyDescent="0.35">
      <c r="A297">
        <v>2065</v>
      </c>
      <c r="B297" t="s">
        <v>180</v>
      </c>
      <c r="C297" t="s">
        <v>159</v>
      </c>
      <c r="D297">
        <v>19039.109303018398</v>
      </c>
      <c r="E297">
        <v>3.4144161337303302E-3</v>
      </c>
      <c r="F297">
        <v>3.4299999999999997E-2</v>
      </c>
      <c r="G297">
        <v>653.04144909353204</v>
      </c>
      <c r="H297">
        <v>242.66848552517601</v>
      </c>
      <c r="I297">
        <v>410.372963568356</v>
      </c>
      <c r="J297">
        <v>19449.482266586801</v>
      </c>
      <c r="K297">
        <v>19493008.036608599</v>
      </c>
    </row>
    <row r="298" spans="1:11" x14ac:dyDescent="0.35">
      <c r="A298">
        <v>2065</v>
      </c>
      <c r="B298" t="s">
        <v>180</v>
      </c>
      <c r="C298" t="s">
        <v>158</v>
      </c>
      <c r="D298">
        <v>127530.51088793601</v>
      </c>
      <c r="E298">
        <v>2.28709351361099E-2</v>
      </c>
      <c r="F298">
        <v>3.4299999999999997E-2</v>
      </c>
      <c r="G298">
        <v>4374.2965234562098</v>
      </c>
      <c r="H298">
        <v>1625.47708734048</v>
      </c>
      <c r="I298">
        <v>2748.8194361157298</v>
      </c>
      <c r="J298">
        <v>130279.330324052</v>
      </c>
      <c r="K298">
        <v>19493008.036608599</v>
      </c>
    </row>
    <row r="299" spans="1:11" x14ac:dyDescent="0.35">
      <c r="A299">
        <v>2066</v>
      </c>
      <c r="B299" t="s">
        <v>179</v>
      </c>
      <c r="C299" t="s">
        <v>106</v>
      </c>
      <c r="D299">
        <v>605743.69999999995</v>
      </c>
      <c r="E299">
        <v>0.10140022163670399</v>
      </c>
      <c r="F299">
        <v>6.3E-2</v>
      </c>
      <c r="G299">
        <v>38161.853099999898</v>
      </c>
      <c r="H299">
        <v>6487.5150269999904</v>
      </c>
      <c r="I299">
        <v>31674.338072999901</v>
      </c>
      <c r="J299">
        <v>637418.03807299898</v>
      </c>
      <c r="K299">
        <v>21958873.553239498</v>
      </c>
    </row>
    <row r="300" spans="1:11" x14ac:dyDescent="0.35">
      <c r="A300">
        <v>2066</v>
      </c>
      <c r="B300" t="s">
        <v>180</v>
      </c>
      <c r="C300" t="s">
        <v>106</v>
      </c>
      <c r="D300">
        <v>746229.96</v>
      </c>
      <c r="E300">
        <v>0.124917326149573</v>
      </c>
      <c r="F300">
        <v>6.3E-2</v>
      </c>
      <c r="G300">
        <v>47012.487480000003</v>
      </c>
      <c r="H300">
        <v>17451.322555020899</v>
      </c>
      <c r="I300">
        <v>29561.164924978999</v>
      </c>
      <c r="J300">
        <v>775791.12492497906</v>
      </c>
      <c r="K300">
        <v>21958873.553239498</v>
      </c>
    </row>
    <row r="301" spans="1:11" x14ac:dyDescent="0.35">
      <c r="A301">
        <v>2066</v>
      </c>
      <c r="B301" t="s">
        <v>179</v>
      </c>
      <c r="C301" t="s">
        <v>107</v>
      </c>
      <c r="D301">
        <v>1860121.81</v>
      </c>
      <c r="E301">
        <v>0.311380479574559</v>
      </c>
      <c r="F301">
        <v>6.3E-2</v>
      </c>
      <c r="G301">
        <v>117187.67402999901</v>
      </c>
      <c r="H301">
        <v>19921.904585099899</v>
      </c>
      <c r="I301">
        <v>97265.769444899895</v>
      </c>
      <c r="J301">
        <v>1957387.5794448999</v>
      </c>
      <c r="K301">
        <v>21958873.553239498</v>
      </c>
    </row>
    <row r="302" spans="1:11" x14ac:dyDescent="0.35">
      <c r="A302">
        <v>2066</v>
      </c>
      <c r="B302" t="s">
        <v>180</v>
      </c>
      <c r="C302" t="s">
        <v>107</v>
      </c>
      <c r="D302">
        <v>2291527.9300000002</v>
      </c>
      <c r="E302">
        <v>0.38359695691213702</v>
      </c>
      <c r="F302">
        <v>6.3E-2</v>
      </c>
      <c r="G302">
        <v>144366.25958999901</v>
      </c>
      <c r="H302">
        <v>53589.637502988197</v>
      </c>
      <c r="I302">
        <v>90776.622087011594</v>
      </c>
      <c r="J302">
        <v>2382304.5520870099</v>
      </c>
      <c r="K302">
        <v>21958873.553239498</v>
      </c>
    </row>
    <row r="303" spans="1:11" x14ac:dyDescent="0.35">
      <c r="A303">
        <v>2066</v>
      </c>
      <c r="B303" t="s">
        <v>180</v>
      </c>
      <c r="C303" t="s">
        <v>160</v>
      </c>
      <c r="D303" s="42">
        <v>3.8135397927253003E-11</v>
      </c>
      <c r="E303" s="42">
        <v>6.3837854228238503E-18</v>
      </c>
      <c r="F303">
        <v>3.4299999999999997E-2</v>
      </c>
      <c r="G303" s="42">
        <v>1.30804414890477E-12</v>
      </c>
      <c r="H303" s="42">
        <v>4.8555397900304996E-13</v>
      </c>
      <c r="I303" s="42">
        <v>8.2249016990172597E-13</v>
      </c>
      <c r="J303" s="42">
        <v>3.8957888097154698E-11</v>
      </c>
      <c r="K303">
        <v>21958873.553239498</v>
      </c>
    </row>
    <row r="304" spans="1:11" x14ac:dyDescent="0.35">
      <c r="A304">
        <v>2066</v>
      </c>
      <c r="B304" t="s">
        <v>180</v>
      </c>
      <c r="C304" t="s">
        <v>159</v>
      </c>
      <c r="D304">
        <v>22279.7223961007</v>
      </c>
      <c r="E304">
        <v>3.7295786798424301E-3</v>
      </c>
      <c r="F304">
        <v>3.4299999999999997E-2</v>
      </c>
      <c r="G304">
        <v>764.19447818625395</v>
      </c>
      <c r="H304">
        <v>283.673658818153</v>
      </c>
      <c r="I304">
        <v>480.520819368101</v>
      </c>
      <c r="J304">
        <v>22760.243215468799</v>
      </c>
      <c r="K304">
        <v>21958873.553239498</v>
      </c>
    </row>
    <row r="305" spans="1:11" x14ac:dyDescent="0.35">
      <c r="A305">
        <v>2066</v>
      </c>
      <c r="B305" t="s">
        <v>180</v>
      </c>
      <c r="C305" t="s">
        <v>158</v>
      </c>
      <c r="D305">
        <v>447887.56237094401</v>
      </c>
      <c r="E305">
        <v>7.4975436133693299E-2</v>
      </c>
      <c r="F305">
        <v>3.4299999999999997E-2</v>
      </c>
      <c r="G305">
        <v>15362.5433893234</v>
      </c>
      <c r="H305">
        <v>5702.6699569266702</v>
      </c>
      <c r="I305">
        <v>9659.8734323967292</v>
      </c>
      <c r="J305">
        <v>457547.43580334098</v>
      </c>
      <c r="K305">
        <v>21958873.553239498</v>
      </c>
    </row>
    <row r="306" spans="1:11" x14ac:dyDescent="0.35">
      <c r="A306">
        <v>2067</v>
      </c>
      <c r="B306" t="s">
        <v>179</v>
      </c>
      <c r="C306" t="s">
        <v>106</v>
      </c>
      <c r="D306">
        <v>716617.91</v>
      </c>
      <c r="E306">
        <v>0.112208054071645</v>
      </c>
      <c r="F306">
        <v>6.3E-2</v>
      </c>
      <c r="G306">
        <v>45146.928329999901</v>
      </c>
      <c r="H306">
        <v>7674.9778160999804</v>
      </c>
      <c r="I306">
        <v>37471.950513899901</v>
      </c>
      <c r="J306">
        <v>754089.86051389901</v>
      </c>
      <c r="K306">
        <v>24736671.057724301</v>
      </c>
    </row>
    <row r="307" spans="1:11" x14ac:dyDescent="0.35">
      <c r="A307">
        <v>2067</v>
      </c>
      <c r="B307" t="s">
        <v>180</v>
      </c>
      <c r="C307" t="s">
        <v>106</v>
      </c>
      <c r="D307">
        <v>874311.02</v>
      </c>
      <c r="E307">
        <v>0.136899646015817</v>
      </c>
      <c r="F307">
        <v>6.3E-2</v>
      </c>
      <c r="G307">
        <v>55081.594259999903</v>
      </c>
      <c r="H307">
        <v>20611.2463553216</v>
      </c>
      <c r="I307">
        <v>34470.347904678201</v>
      </c>
      <c r="J307">
        <v>908781.36790467799</v>
      </c>
      <c r="K307">
        <v>24736671.057724301</v>
      </c>
    </row>
    <row r="308" spans="1:11" x14ac:dyDescent="0.35">
      <c r="A308">
        <v>2067</v>
      </c>
      <c r="B308" t="s">
        <v>179</v>
      </c>
      <c r="C308" t="s">
        <v>107</v>
      </c>
      <c r="D308">
        <v>2061179.59</v>
      </c>
      <c r="E308">
        <v>0.32273956268563198</v>
      </c>
      <c r="F308">
        <v>6.3E-2</v>
      </c>
      <c r="G308">
        <v>129854.31416999899</v>
      </c>
      <c r="H308">
        <v>22075.233408899901</v>
      </c>
      <c r="I308">
        <v>107779.080761099</v>
      </c>
      <c r="J308">
        <v>2168958.6707611</v>
      </c>
      <c r="K308">
        <v>24736671.057724301</v>
      </c>
    </row>
    <row r="309" spans="1:11" x14ac:dyDescent="0.35">
      <c r="A309">
        <v>2067</v>
      </c>
      <c r="B309" t="s">
        <v>180</v>
      </c>
      <c r="C309" t="s">
        <v>107</v>
      </c>
      <c r="D309">
        <v>2514745.9900000002</v>
      </c>
      <c r="E309">
        <v>0.39375900334722702</v>
      </c>
      <c r="F309">
        <v>6.3E-2</v>
      </c>
      <c r="G309">
        <v>158428.99737</v>
      </c>
      <c r="H309">
        <v>59283.307581948698</v>
      </c>
      <c r="I309">
        <v>99145.689788051197</v>
      </c>
      <c r="J309">
        <v>2613891.6797880498</v>
      </c>
      <c r="K309">
        <v>24736671.057724301</v>
      </c>
    </row>
    <row r="310" spans="1:11" x14ac:dyDescent="0.35">
      <c r="A310">
        <v>2067</v>
      </c>
      <c r="B310" t="s">
        <v>180</v>
      </c>
      <c r="C310" t="s">
        <v>161</v>
      </c>
      <c r="D310" s="42">
        <v>2.23405161646041E-11</v>
      </c>
      <c r="E310" s="42">
        <v>3.4980786982931697E-18</v>
      </c>
      <c r="F310">
        <v>3.4299999999999997E-2</v>
      </c>
      <c r="G310" s="42">
        <v>7.66279704445923E-13</v>
      </c>
      <c r="H310" s="42">
        <v>2.8673788363615902E-13</v>
      </c>
      <c r="I310" s="42">
        <v>4.7954182080976397E-13</v>
      </c>
      <c r="J310" s="42">
        <v>2.2820057985413901E-11</v>
      </c>
      <c r="K310">
        <v>24736671.057724301</v>
      </c>
    </row>
    <row r="311" spans="1:11" x14ac:dyDescent="0.35">
      <c r="A311">
        <v>2067</v>
      </c>
      <c r="B311" t="s">
        <v>180</v>
      </c>
      <c r="C311" t="s">
        <v>160</v>
      </c>
      <c r="D311" s="42">
        <v>2.68088830674661E-12</v>
      </c>
      <c r="E311" s="42">
        <v>4.19773572339917E-19</v>
      </c>
      <c r="F311">
        <v>3.4299999999999997E-2</v>
      </c>
      <c r="G311" s="42">
        <v>9.1954468921408703E-14</v>
      </c>
      <c r="H311" s="42">
        <v>3.4408884453591102E-14</v>
      </c>
      <c r="I311" s="42">
        <v>5.7545584467817594E-14</v>
      </c>
      <c r="J311" s="42">
        <v>2.7384338912144201E-12</v>
      </c>
      <c r="K311">
        <v>24736671.057724301</v>
      </c>
    </row>
    <row r="312" spans="1:11" x14ac:dyDescent="0.35">
      <c r="A312">
        <v>2067</v>
      </c>
      <c r="B312" t="s">
        <v>180</v>
      </c>
      <c r="C312" t="s">
        <v>159</v>
      </c>
      <c r="D312">
        <v>25842.779545234702</v>
      </c>
      <c r="E312">
        <v>4.0464632046013299E-3</v>
      </c>
      <c r="F312">
        <v>3.4299999999999997E-2</v>
      </c>
      <c r="G312">
        <v>886.40733840155303</v>
      </c>
      <c r="H312">
        <v>331.68902005123999</v>
      </c>
      <c r="I312">
        <v>554.71831835031298</v>
      </c>
      <c r="J312">
        <v>26397.497863584998</v>
      </c>
      <c r="K312">
        <v>24736671.057724301</v>
      </c>
    </row>
    <row r="313" spans="1:11" x14ac:dyDescent="0.35">
      <c r="A313">
        <v>2067</v>
      </c>
      <c r="B313" t="s">
        <v>180</v>
      </c>
      <c r="C313" t="s">
        <v>158</v>
      </c>
      <c r="D313">
        <v>193813.160988474</v>
      </c>
      <c r="E313">
        <v>3.0347270622905799E-2</v>
      </c>
      <c r="F313">
        <v>3.4299999999999997E-2</v>
      </c>
      <c r="G313">
        <v>6647.7914219046597</v>
      </c>
      <c r="H313">
        <v>2487.5690066068701</v>
      </c>
      <c r="I313">
        <v>4160.2224152977797</v>
      </c>
      <c r="J313">
        <v>197973.383403771</v>
      </c>
      <c r="K313">
        <v>24736671.057724301</v>
      </c>
    </row>
    <row r="314" spans="1:11" x14ac:dyDescent="0.35">
      <c r="A314">
        <v>2068</v>
      </c>
      <c r="B314" t="s">
        <v>179</v>
      </c>
      <c r="C314" t="s">
        <v>106</v>
      </c>
      <c r="D314">
        <v>799213</v>
      </c>
      <c r="E314">
        <v>0.117102059198973</v>
      </c>
      <c r="F314">
        <v>6.3E-2</v>
      </c>
      <c r="G314">
        <v>50350.4189999999</v>
      </c>
      <c r="H314">
        <v>8559.5712299999996</v>
      </c>
      <c r="I314">
        <v>41790.847769999898</v>
      </c>
      <c r="J314">
        <v>841003.84776999999</v>
      </c>
      <c r="K314">
        <v>27865859.946526501</v>
      </c>
    </row>
    <row r="315" spans="1:11" x14ac:dyDescent="0.35">
      <c r="A315">
        <v>2068</v>
      </c>
      <c r="B315" t="s">
        <v>180</v>
      </c>
      <c r="C315" t="s">
        <v>106</v>
      </c>
      <c r="D315">
        <v>809001.95</v>
      </c>
      <c r="E315">
        <v>0.118536352938433</v>
      </c>
      <c r="F315">
        <v>6.3E-2</v>
      </c>
      <c r="G315">
        <v>50967.122849999898</v>
      </c>
      <c r="H315">
        <v>19035.4537531151</v>
      </c>
      <c r="I315">
        <v>31931.669096884802</v>
      </c>
      <c r="J315">
        <v>840933.61909688404</v>
      </c>
      <c r="K315">
        <v>27865859.946526501</v>
      </c>
    </row>
    <row r="316" spans="1:11" x14ac:dyDescent="0.35">
      <c r="A316">
        <v>2068</v>
      </c>
      <c r="B316" t="s">
        <v>179</v>
      </c>
      <c r="C316" t="s">
        <v>107</v>
      </c>
      <c r="D316">
        <v>2329975.89</v>
      </c>
      <c r="E316">
        <v>0.34139206269537598</v>
      </c>
      <c r="F316">
        <v>6.3E-2</v>
      </c>
      <c r="G316">
        <v>146788.48106999899</v>
      </c>
      <c r="H316">
        <v>24954.041781899901</v>
      </c>
      <c r="I316">
        <v>121834.43928809901</v>
      </c>
      <c r="J316">
        <v>2451810.3292880999</v>
      </c>
      <c r="K316">
        <v>27865859.946526501</v>
      </c>
    </row>
    <row r="317" spans="1:11" x14ac:dyDescent="0.35">
      <c r="A317">
        <v>2068</v>
      </c>
      <c r="B317" t="s">
        <v>180</v>
      </c>
      <c r="C317" t="s">
        <v>107</v>
      </c>
      <c r="D317">
        <v>2358514.0099999998</v>
      </c>
      <c r="E317">
        <v>0.34557351697310601</v>
      </c>
      <c r="F317">
        <v>6.3E-2</v>
      </c>
      <c r="G317">
        <v>148586.38262999899</v>
      </c>
      <c r="H317">
        <v>55494.778922880301</v>
      </c>
      <c r="I317">
        <v>93091.603707119502</v>
      </c>
      <c r="J317">
        <v>2451605.6137071098</v>
      </c>
      <c r="K317">
        <v>27865859.946526501</v>
      </c>
    </row>
    <row r="318" spans="1:11" x14ac:dyDescent="0.35">
      <c r="A318">
        <v>2068</v>
      </c>
      <c r="B318" t="s">
        <v>180</v>
      </c>
      <c r="C318" t="s">
        <v>160</v>
      </c>
      <c r="D318" s="42">
        <v>9.5158012412827901E-14</v>
      </c>
      <c r="E318" s="42">
        <v>1.3942715149557801E-20</v>
      </c>
      <c r="F318">
        <v>3.4299999999999997E-2</v>
      </c>
      <c r="G318" s="42">
        <v>3.2639198257600001E-15</v>
      </c>
      <c r="H318" s="42">
        <v>1.2190249600705101E-15</v>
      </c>
      <c r="I318" s="42">
        <v>2.04489486568949E-15</v>
      </c>
      <c r="J318" s="42">
        <v>9.7202907278517395E-14</v>
      </c>
      <c r="K318">
        <v>27865859.946526501</v>
      </c>
    </row>
    <row r="319" spans="1:11" x14ac:dyDescent="0.35">
      <c r="A319">
        <v>2068</v>
      </c>
      <c r="B319" t="s">
        <v>180</v>
      </c>
      <c r="C319" t="s">
        <v>159</v>
      </c>
      <c r="D319">
        <v>17756.754533342901</v>
      </c>
      <c r="E319">
        <v>2.60175012236432E-3</v>
      </c>
      <c r="F319">
        <v>3.4299999999999997E-2</v>
      </c>
      <c r="G319">
        <v>609.05668049366398</v>
      </c>
      <c r="H319">
        <v>227.47350892621401</v>
      </c>
      <c r="I319">
        <v>381.58317156744903</v>
      </c>
      <c r="J319">
        <v>18138.3377049103</v>
      </c>
      <c r="K319">
        <v>27865859.946526501</v>
      </c>
    </row>
    <row r="320" spans="1:11" x14ac:dyDescent="0.35">
      <c r="A320">
        <v>2068</v>
      </c>
      <c r="B320" t="s">
        <v>180</v>
      </c>
      <c r="C320" t="s">
        <v>158</v>
      </c>
      <c r="D320">
        <v>510465.35204613698</v>
      </c>
      <c r="E320">
        <v>7.4794258694905302E-2</v>
      </c>
      <c r="F320">
        <v>3.4299999999999997E-2</v>
      </c>
      <c r="G320">
        <v>17508.9615751825</v>
      </c>
      <c r="H320">
        <v>6539.3337840622498</v>
      </c>
      <c r="I320">
        <v>10969.6277911202</v>
      </c>
      <c r="J320">
        <v>521434.97983725701</v>
      </c>
      <c r="K320">
        <v>27865859.946526501</v>
      </c>
    </row>
    <row r="321" spans="1:11" x14ac:dyDescent="0.35">
      <c r="A321">
        <v>2069</v>
      </c>
      <c r="B321" t="s">
        <v>179</v>
      </c>
      <c r="C321" t="s">
        <v>106</v>
      </c>
      <c r="D321">
        <v>3525031.28</v>
      </c>
      <c r="E321">
        <v>0.48412050728163902</v>
      </c>
      <c r="F321">
        <v>6.3E-2</v>
      </c>
      <c r="G321">
        <v>222076.970639999</v>
      </c>
      <c r="H321">
        <v>37753.085008799899</v>
      </c>
      <c r="I321">
        <v>184323.88563119899</v>
      </c>
      <c r="J321">
        <v>3709355.1656311899</v>
      </c>
      <c r="K321">
        <v>31390891.2297621</v>
      </c>
    </row>
    <row r="322" spans="1:11" x14ac:dyDescent="0.35">
      <c r="A322">
        <v>2069</v>
      </c>
      <c r="B322" t="s">
        <v>180</v>
      </c>
      <c r="C322" t="s">
        <v>106</v>
      </c>
      <c r="D322">
        <v>2995672.09</v>
      </c>
      <c r="E322">
        <v>0.41141941068399501</v>
      </c>
      <c r="F322">
        <v>6.3E-2</v>
      </c>
      <c r="G322">
        <v>188727.34166999999</v>
      </c>
      <c r="H322">
        <v>70370.135186423402</v>
      </c>
      <c r="I322">
        <v>118357.206483576</v>
      </c>
      <c r="J322">
        <v>3114029.2964835698</v>
      </c>
      <c r="K322">
        <v>31390891.2297621</v>
      </c>
    </row>
    <row r="323" spans="1:11" x14ac:dyDescent="0.35">
      <c r="A323">
        <v>2069</v>
      </c>
      <c r="B323" t="s">
        <v>180</v>
      </c>
      <c r="C323" t="s">
        <v>161</v>
      </c>
      <c r="D323" s="42">
        <v>9.5951534631200695E-8</v>
      </c>
      <c r="E323" s="42">
        <v>1.31777853670872E-14</v>
      </c>
      <c r="F323">
        <v>3.4299999999999997E-2</v>
      </c>
      <c r="G323" s="42">
        <v>3.29113763785018E-9</v>
      </c>
      <c r="H323" s="42">
        <v>1.2271555273512201E-9</v>
      </c>
      <c r="I323" s="42">
        <v>2.0639821104989601E-9</v>
      </c>
      <c r="J323" s="42">
        <v>9.8015516741699702E-8</v>
      </c>
      <c r="K323">
        <v>31390891.2297621</v>
      </c>
    </row>
    <row r="324" spans="1:11" x14ac:dyDescent="0.35">
      <c r="A324">
        <v>2069</v>
      </c>
      <c r="B324" t="s">
        <v>180</v>
      </c>
      <c r="C324" t="s">
        <v>160</v>
      </c>
      <c r="D324" s="42">
        <v>1.2841814791505301E-7</v>
      </c>
      <c r="E324" s="42">
        <v>1.7636682904216501E-14</v>
      </c>
      <c r="F324">
        <v>3.4299999999999997E-2</v>
      </c>
      <c r="G324" s="42">
        <v>4.4047424734863403E-9</v>
      </c>
      <c r="H324" s="42">
        <v>1.6423816526945001E-9</v>
      </c>
      <c r="I324" s="42">
        <v>2.7623608207918301E-9</v>
      </c>
      <c r="J324" s="42">
        <v>1.31180508735845E-7</v>
      </c>
      <c r="K324">
        <v>31390891.2297621</v>
      </c>
    </row>
    <row r="325" spans="1:11" x14ac:dyDescent="0.35">
      <c r="A325">
        <v>2069</v>
      </c>
      <c r="B325" t="s">
        <v>180</v>
      </c>
      <c r="C325" t="s">
        <v>159</v>
      </c>
      <c r="D325">
        <v>31854.912247611599</v>
      </c>
      <c r="E325">
        <v>4.3748877816272499E-3</v>
      </c>
      <c r="F325">
        <v>3.4299999999999997E-2</v>
      </c>
      <c r="G325">
        <v>1092.6234900930799</v>
      </c>
      <c r="H325">
        <v>407.402880925197</v>
      </c>
      <c r="I325">
        <v>685.22060916788496</v>
      </c>
      <c r="J325">
        <v>32540.132856779499</v>
      </c>
      <c r="K325">
        <v>31390891.2297621</v>
      </c>
    </row>
    <row r="326" spans="1:11" x14ac:dyDescent="0.35">
      <c r="A326">
        <v>2069</v>
      </c>
      <c r="B326" t="s">
        <v>180</v>
      </c>
      <c r="C326" t="s">
        <v>158</v>
      </c>
      <c r="D326">
        <v>728751.274204958</v>
      </c>
      <c r="E326">
        <v>0.100085193158979</v>
      </c>
      <c r="F326">
        <v>3.4299999999999997E-2</v>
      </c>
      <c r="G326">
        <v>24996.168705230099</v>
      </c>
      <c r="H326">
        <v>9320.2381560874601</v>
      </c>
      <c r="I326">
        <v>15675.9305491426</v>
      </c>
      <c r="J326">
        <v>744427.204754101</v>
      </c>
      <c r="K326">
        <v>31390891.2297621</v>
      </c>
    </row>
    <row r="327" spans="1:11" x14ac:dyDescent="0.35">
      <c r="A327">
        <v>2070</v>
      </c>
      <c r="B327" t="s">
        <v>179</v>
      </c>
      <c r="C327" t="s">
        <v>106</v>
      </c>
      <c r="D327">
        <v>1018572.31</v>
      </c>
      <c r="E327">
        <v>0.13128810583671899</v>
      </c>
      <c r="F327">
        <v>6.3E-2</v>
      </c>
      <c r="G327">
        <v>64170.055529999998</v>
      </c>
      <c r="H327">
        <v>10908.9094401</v>
      </c>
      <c r="I327">
        <v>53261.146089900001</v>
      </c>
      <c r="J327">
        <v>1071833.4560899001</v>
      </c>
      <c r="K327">
        <v>35361838.970326997</v>
      </c>
    </row>
    <row r="328" spans="1:11" x14ac:dyDescent="0.35">
      <c r="A328">
        <v>2070</v>
      </c>
      <c r="B328" t="s">
        <v>180</v>
      </c>
      <c r="C328" t="s">
        <v>106</v>
      </c>
      <c r="D328">
        <v>797550.49</v>
      </c>
      <c r="E328">
        <v>0.102799665878653</v>
      </c>
      <c r="F328">
        <v>6.3E-2</v>
      </c>
      <c r="G328">
        <v>50245.680869999902</v>
      </c>
      <c r="H328">
        <v>18781.695222522099</v>
      </c>
      <c r="I328">
        <v>31463.985647477701</v>
      </c>
      <c r="J328">
        <v>829014.47564747697</v>
      </c>
      <c r="K328">
        <v>35361838.970326997</v>
      </c>
    </row>
    <row r="329" spans="1:11" x14ac:dyDescent="0.35">
      <c r="A329">
        <v>2070</v>
      </c>
      <c r="B329" t="s">
        <v>179</v>
      </c>
      <c r="C329" t="s">
        <v>107</v>
      </c>
      <c r="D329">
        <v>2952375.43</v>
      </c>
      <c r="E329">
        <v>0.38054419319878302</v>
      </c>
      <c r="F329">
        <v>6.3E-2</v>
      </c>
      <c r="G329">
        <v>185999.65208999999</v>
      </c>
      <c r="H329">
        <v>31619.940855299999</v>
      </c>
      <c r="I329">
        <v>154379.71123469999</v>
      </c>
      <c r="J329">
        <v>3106755.1412347001</v>
      </c>
      <c r="K329">
        <v>35361838.970326997</v>
      </c>
    </row>
    <row r="330" spans="1:11" x14ac:dyDescent="0.35">
      <c r="A330">
        <v>2070</v>
      </c>
      <c r="B330" t="s">
        <v>180</v>
      </c>
      <c r="C330" t="s">
        <v>107</v>
      </c>
      <c r="D330">
        <v>2311734.2000000002</v>
      </c>
      <c r="E330">
        <v>0.297969227453242</v>
      </c>
      <c r="F330">
        <v>6.3E-2</v>
      </c>
      <c r="G330">
        <v>145639.25459999999</v>
      </c>
      <c r="H330">
        <v>54439.546742528</v>
      </c>
      <c r="I330">
        <v>91199.707857472007</v>
      </c>
      <c r="J330">
        <v>2402933.9078574702</v>
      </c>
      <c r="K330">
        <v>35361838.970326997</v>
      </c>
    </row>
    <row r="331" spans="1:11" x14ac:dyDescent="0.35">
      <c r="A331">
        <v>2070</v>
      </c>
      <c r="B331" t="s">
        <v>180</v>
      </c>
      <c r="C331" t="s">
        <v>161</v>
      </c>
      <c r="D331" s="42">
        <v>1.52600122651692E-10</v>
      </c>
      <c r="E331" s="42">
        <v>1.9669277140855901E-17</v>
      </c>
      <c r="F331">
        <v>3.4299999999999997E-2</v>
      </c>
      <c r="G331" s="42">
        <v>5.2341842069530397E-12</v>
      </c>
      <c r="H331" s="42">
        <v>1.9565234426393501E-12</v>
      </c>
      <c r="I331" s="42">
        <v>3.27766076431368E-12</v>
      </c>
      <c r="J331" s="42">
        <v>1.5587778341600601E-10</v>
      </c>
      <c r="K331">
        <v>35361838.970326997</v>
      </c>
    </row>
    <row r="332" spans="1:11" x14ac:dyDescent="0.35">
      <c r="A332">
        <v>2070</v>
      </c>
      <c r="B332" t="s">
        <v>180</v>
      </c>
      <c r="C332" t="s">
        <v>160</v>
      </c>
      <c r="D332" s="42">
        <v>6.2080565703044799E-12</v>
      </c>
      <c r="E332" s="42">
        <v>8.0018274602662195E-19</v>
      </c>
      <c r="F332">
        <v>3.4299999999999997E-2</v>
      </c>
      <c r="G332" s="42">
        <v>2.1293634036144299E-13</v>
      </c>
      <c r="H332" s="42">
        <v>7.9595009505697294E-14</v>
      </c>
      <c r="I332" s="42">
        <v>1.33341330855746E-13</v>
      </c>
      <c r="J332" s="42">
        <v>6.3413979011602299E-12</v>
      </c>
      <c r="K332">
        <v>35361838.970326997</v>
      </c>
    </row>
    <row r="333" spans="1:11" x14ac:dyDescent="0.35">
      <c r="A333">
        <v>2070</v>
      </c>
      <c r="B333" t="s">
        <v>180</v>
      </c>
      <c r="C333" t="s">
        <v>159</v>
      </c>
      <c r="D333">
        <v>17517.3192911427</v>
      </c>
      <c r="E333">
        <v>2.2578815921975798E-3</v>
      </c>
      <c r="F333">
        <v>3.4299999999999997E-2</v>
      </c>
      <c r="G333">
        <v>600.84405168619503</v>
      </c>
      <c r="H333">
        <v>224.593828954824</v>
      </c>
      <c r="I333">
        <v>376.25022273137</v>
      </c>
      <c r="J333">
        <v>17893.569513874099</v>
      </c>
      <c r="K333">
        <v>35361838.970326997</v>
      </c>
    </row>
    <row r="334" spans="1:11" x14ac:dyDescent="0.35">
      <c r="A334">
        <v>2070</v>
      </c>
      <c r="B334" t="s">
        <v>180</v>
      </c>
      <c r="C334" t="s">
        <v>158</v>
      </c>
      <c r="D334">
        <v>660548.72131385398</v>
      </c>
      <c r="E334">
        <v>8.5140926748895507E-2</v>
      </c>
      <c r="F334">
        <v>3.4299999999999997E-2</v>
      </c>
      <c r="G334">
        <v>22656.8211410652</v>
      </c>
      <c r="H334">
        <v>8469.0564843505908</v>
      </c>
      <c r="I334">
        <v>14187.7646567146</v>
      </c>
      <c r="J334">
        <v>674736.48597056803</v>
      </c>
      <c r="K334">
        <v>35361838.970326997</v>
      </c>
    </row>
    <row r="335" spans="1:11" x14ac:dyDescent="0.35">
      <c r="A335">
        <v>2071</v>
      </c>
      <c r="B335" t="s">
        <v>179</v>
      </c>
      <c r="C335" t="s">
        <v>106</v>
      </c>
      <c r="D335">
        <v>1149591.4099999999</v>
      </c>
      <c r="E335">
        <v>0.141869395613857</v>
      </c>
      <c r="F335">
        <v>6.3E-2</v>
      </c>
      <c r="G335">
        <v>72424.258829999904</v>
      </c>
      <c r="H335">
        <v>12312.124001099901</v>
      </c>
      <c r="I335">
        <v>60112.1348288999</v>
      </c>
      <c r="J335">
        <v>1209703.5448288999</v>
      </c>
      <c r="K335">
        <v>39835111.600073397</v>
      </c>
    </row>
    <row r="336" spans="1:11" x14ac:dyDescent="0.35">
      <c r="A336">
        <v>2071</v>
      </c>
      <c r="B336" t="s">
        <v>180</v>
      </c>
      <c r="C336" t="s">
        <v>106</v>
      </c>
      <c r="D336">
        <v>878604.22</v>
      </c>
      <c r="E336">
        <v>0.108427262582959</v>
      </c>
      <c r="F336">
        <v>6.3E-2</v>
      </c>
      <c r="G336">
        <v>55352.065859999901</v>
      </c>
      <c r="H336">
        <v>20730.454976628898</v>
      </c>
      <c r="I336">
        <v>34621.610883371002</v>
      </c>
      <c r="J336">
        <v>913225.83088337095</v>
      </c>
      <c r="K336">
        <v>39835111.600073397</v>
      </c>
    </row>
    <row r="337" spans="1:11" x14ac:dyDescent="0.35">
      <c r="A337">
        <v>2071</v>
      </c>
      <c r="B337" t="s">
        <v>179</v>
      </c>
      <c r="C337" t="s">
        <v>107</v>
      </c>
      <c r="D337">
        <v>3323681.22</v>
      </c>
      <c r="E337">
        <v>0.41017064131901299</v>
      </c>
      <c r="F337">
        <v>6.3E-2</v>
      </c>
      <c r="G337">
        <v>209391.91685999901</v>
      </c>
      <c r="H337">
        <v>35596.625866199902</v>
      </c>
      <c r="I337">
        <v>173795.29099379899</v>
      </c>
      <c r="J337">
        <v>3497476.5109938001</v>
      </c>
      <c r="K337">
        <v>39835111.600073397</v>
      </c>
    </row>
    <row r="338" spans="1:11" x14ac:dyDescent="0.35">
      <c r="A338">
        <v>2071</v>
      </c>
      <c r="B338" t="s">
        <v>180</v>
      </c>
      <c r="C338" t="s">
        <v>107</v>
      </c>
      <c r="D338">
        <v>2540207.1800000002</v>
      </c>
      <c r="E338">
        <v>0.31348325520332598</v>
      </c>
      <c r="F338">
        <v>6.3E-2</v>
      </c>
      <c r="G338">
        <v>160033.05233999901</v>
      </c>
      <c r="H338">
        <v>59935.576653956297</v>
      </c>
      <c r="I338">
        <v>100097.47568604301</v>
      </c>
      <c r="J338">
        <v>2640304.6556860399</v>
      </c>
      <c r="K338">
        <v>39835111.600073397</v>
      </c>
    </row>
    <row r="339" spans="1:11" x14ac:dyDescent="0.35">
      <c r="A339">
        <v>2071</v>
      </c>
      <c r="B339" t="s">
        <v>180</v>
      </c>
      <c r="C339" t="s">
        <v>161</v>
      </c>
      <c r="D339" s="42">
        <v>4.98481004067782E-14</v>
      </c>
      <c r="E339" s="42">
        <v>6.1516812109865296E-21</v>
      </c>
      <c r="F339">
        <v>3.4299999999999997E-2</v>
      </c>
      <c r="G339" s="42">
        <v>1.7097898439524901E-15</v>
      </c>
      <c r="H339" s="42">
        <v>6.4035046983076799E-16</v>
      </c>
      <c r="I339" s="42">
        <v>1.0694393741217199E-15</v>
      </c>
      <c r="J339" s="42">
        <v>5.0917539780899898E-14</v>
      </c>
      <c r="K339">
        <v>39835111.600073397</v>
      </c>
    </row>
    <row r="340" spans="1:11" x14ac:dyDescent="0.35">
      <c r="A340">
        <v>2071</v>
      </c>
      <c r="B340" t="s">
        <v>180</v>
      </c>
      <c r="C340" t="s">
        <v>160</v>
      </c>
      <c r="D340" s="42">
        <v>8.01838834673728E-13</v>
      </c>
      <c r="E340" s="42">
        <v>9.8953758583566305E-20</v>
      </c>
      <c r="F340">
        <v>3.4299999999999997E-2</v>
      </c>
      <c r="G340" s="42">
        <v>2.75030720293088E-14</v>
      </c>
      <c r="H340" s="42">
        <v>1.0300450174066301E-14</v>
      </c>
      <c r="I340" s="42">
        <v>1.7202621855242399E-14</v>
      </c>
      <c r="J340" s="42">
        <v>8.1904145652897004E-13</v>
      </c>
      <c r="K340">
        <v>39835111.600073397</v>
      </c>
    </row>
    <row r="341" spans="1:11" x14ac:dyDescent="0.35">
      <c r="A341">
        <v>2071</v>
      </c>
      <c r="B341" t="s">
        <v>180</v>
      </c>
      <c r="C341" t="s">
        <v>159</v>
      </c>
      <c r="D341">
        <v>26548.1992781679</v>
      </c>
      <c r="E341">
        <v>3.2762744688827599E-3</v>
      </c>
      <c r="F341">
        <v>3.4299999999999997E-2</v>
      </c>
      <c r="G341">
        <v>910.60323524115995</v>
      </c>
      <c r="H341">
        <v>341.03911166540701</v>
      </c>
      <c r="I341">
        <v>569.56412357575198</v>
      </c>
      <c r="J341">
        <v>27117.763401743701</v>
      </c>
      <c r="K341">
        <v>39835111.600073397</v>
      </c>
    </row>
    <row r="342" spans="1:11" x14ac:dyDescent="0.35">
      <c r="A342">
        <v>2071</v>
      </c>
      <c r="B342" t="s">
        <v>180</v>
      </c>
      <c r="C342" t="s">
        <v>158</v>
      </c>
      <c r="D342">
        <v>184534.80725089199</v>
      </c>
      <c r="E342">
        <v>2.27731708385015E-2</v>
      </c>
      <c r="F342">
        <v>3.4299999999999997E-2</v>
      </c>
      <c r="G342">
        <v>6329.5438887055998</v>
      </c>
      <c r="H342">
        <v>2370.54069380687</v>
      </c>
      <c r="I342">
        <v>3959.0031948987198</v>
      </c>
      <c r="J342">
        <v>188493.81044579099</v>
      </c>
      <c r="K342">
        <v>39835111.600073397</v>
      </c>
    </row>
    <row r="343" spans="1:11" x14ac:dyDescent="0.35">
      <c r="A343">
        <v>2072</v>
      </c>
      <c r="B343" t="s">
        <v>179</v>
      </c>
      <c r="C343" t="s">
        <v>106</v>
      </c>
      <c r="D343">
        <v>5039141.62</v>
      </c>
      <c r="E343">
        <v>0.59449623915844196</v>
      </c>
      <c r="F343">
        <v>6.3E-2</v>
      </c>
      <c r="G343">
        <v>317465.92205999902</v>
      </c>
      <c r="H343">
        <v>53969.206750199897</v>
      </c>
      <c r="I343">
        <v>263496.71530979901</v>
      </c>
      <c r="J343">
        <v>5302638.3353097998</v>
      </c>
      <c r="K343">
        <v>44874253.217482701</v>
      </c>
    </row>
    <row r="344" spans="1:11" x14ac:dyDescent="0.35">
      <c r="A344">
        <v>2072</v>
      </c>
      <c r="B344" t="s">
        <v>180</v>
      </c>
      <c r="C344" t="s">
        <v>106</v>
      </c>
      <c r="D344">
        <v>2677904.29</v>
      </c>
      <c r="E344">
        <v>0.31592762206021402</v>
      </c>
      <c r="F344">
        <v>6.3E-2</v>
      </c>
      <c r="G344">
        <v>168707.970269999</v>
      </c>
      <c r="H344">
        <v>62086.317153222801</v>
      </c>
      <c r="I344">
        <v>106621.653116777</v>
      </c>
      <c r="J344">
        <v>2784525.9431167701</v>
      </c>
      <c r="K344">
        <v>44874253.217482701</v>
      </c>
    </row>
    <row r="345" spans="1:11" x14ac:dyDescent="0.35">
      <c r="A345">
        <v>2072</v>
      </c>
      <c r="B345" t="s">
        <v>180</v>
      </c>
      <c r="C345" t="s">
        <v>161</v>
      </c>
      <c r="D345" s="42">
        <v>2.27248259611196E-10</v>
      </c>
      <c r="E345" s="42">
        <v>2.6809771560688399E-17</v>
      </c>
      <c r="F345">
        <v>3.4299999999999997E-2</v>
      </c>
      <c r="G345" s="42">
        <v>7.7946153046640497E-12</v>
      </c>
      <c r="H345" s="42">
        <v>2.8685008605001998E-12</v>
      </c>
      <c r="I345" s="42">
        <v>4.9261144441638398E-12</v>
      </c>
      <c r="J345" s="42">
        <v>2.32174374055359E-10</v>
      </c>
      <c r="K345">
        <v>44874253.217482701</v>
      </c>
    </row>
    <row r="346" spans="1:11" x14ac:dyDescent="0.35">
      <c r="A346">
        <v>2072</v>
      </c>
      <c r="B346" t="s">
        <v>180</v>
      </c>
      <c r="C346" t="s">
        <v>160</v>
      </c>
      <c r="D346" s="42">
        <v>2.13877454036106E-10</v>
      </c>
      <c r="E346" s="42">
        <v>2.5232341468753501E-17</v>
      </c>
      <c r="F346">
        <v>3.4299999999999997E-2</v>
      </c>
      <c r="G346" s="42">
        <v>7.3359966734384502E-12</v>
      </c>
      <c r="H346" s="42">
        <v>2.6997243542979099E-12</v>
      </c>
      <c r="I346" s="42">
        <v>4.6362723191405301E-12</v>
      </c>
      <c r="J346" s="42">
        <v>2.18513726355247E-10</v>
      </c>
      <c r="K346">
        <v>44874253.217482701</v>
      </c>
    </row>
    <row r="347" spans="1:11" x14ac:dyDescent="0.35">
      <c r="A347">
        <v>2072</v>
      </c>
      <c r="B347" t="s">
        <v>180</v>
      </c>
      <c r="C347" t="s">
        <v>159</v>
      </c>
      <c r="D347">
        <v>9483.8529266183104</v>
      </c>
      <c r="E347">
        <v>1.11886414845518E-3</v>
      </c>
      <c r="F347">
        <v>3.4299999999999997E-2</v>
      </c>
      <c r="G347">
        <v>325.296155383008</v>
      </c>
      <c r="H347">
        <v>119.71242520143601</v>
      </c>
      <c r="I347">
        <v>205.58373018157101</v>
      </c>
      <c r="J347">
        <v>9689.4366567998804</v>
      </c>
      <c r="K347">
        <v>44874253.217482701</v>
      </c>
    </row>
    <row r="348" spans="1:11" x14ac:dyDescent="0.35">
      <c r="A348">
        <v>2072</v>
      </c>
      <c r="B348" t="s">
        <v>180</v>
      </c>
      <c r="C348" t="s">
        <v>158</v>
      </c>
      <c r="D348">
        <v>749792.35669457505</v>
      </c>
      <c r="E348">
        <v>8.8457275031827695E-2</v>
      </c>
      <c r="F348">
        <v>3.4299999999999997E-2</v>
      </c>
      <c r="G348">
        <v>25717.877834623901</v>
      </c>
      <c r="H348">
        <v>9464.4510107785609</v>
      </c>
      <c r="I348">
        <v>16253.426823845301</v>
      </c>
      <c r="J348">
        <v>766045.78351841995</v>
      </c>
      <c r="K348">
        <v>44874253.217482701</v>
      </c>
    </row>
    <row r="349" spans="1:11" x14ac:dyDescent="0.35">
      <c r="A349">
        <v>2073</v>
      </c>
      <c r="B349" t="s">
        <v>179</v>
      </c>
      <c r="C349" t="s">
        <v>106</v>
      </c>
      <c r="D349">
        <v>5676525.2599999998</v>
      </c>
      <c r="E349">
        <v>0.64048173635451</v>
      </c>
      <c r="F349">
        <v>6.3E-2</v>
      </c>
      <c r="G349">
        <v>357621.09138</v>
      </c>
      <c r="H349">
        <v>60795.585534600003</v>
      </c>
      <c r="I349">
        <v>296825.50584539998</v>
      </c>
      <c r="J349">
        <v>5973350.7658454003</v>
      </c>
      <c r="K349">
        <v>50550846.249494202</v>
      </c>
    </row>
    <row r="350" spans="1:11" x14ac:dyDescent="0.35">
      <c r="A350">
        <v>2073</v>
      </c>
      <c r="B350" t="s">
        <v>180</v>
      </c>
      <c r="C350" t="s">
        <v>106</v>
      </c>
      <c r="D350">
        <v>2507828.27</v>
      </c>
      <c r="E350">
        <v>0.28295799477311301</v>
      </c>
      <c r="F350">
        <v>6.3E-2</v>
      </c>
      <c r="G350">
        <v>157993.18100999901</v>
      </c>
      <c r="H350">
        <v>57532.081421796298</v>
      </c>
      <c r="I350">
        <v>100461.099588203</v>
      </c>
      <c r="J350">
        <v>2608289.3695882</v>
      </c>
      <c r="K350">
        <v>50550846.249494202</v>
      </c>
    </row>
    <row r="351" spans="1:11" x14ac:dyDescent="0.35">
      <c r="A351">
        <v>2073</v>
      </c>
      <c r="B351" t="s">
        <v>179</v>
      </c>
      <c r="C351" t="s">
        <v>107</v>
      </c>
      <c r="D351">
        <v>67.77</v>
      </c>
      <c r="E351" s="42">
        <v>7.6464818325753604E-6</v>
      </c>
      <c r="F351">
        <v>6.3E-2</v>
      </c>
      <c r="G351">
        <v>4.2695099999999897</v>
      </c>
      <c r="H351">
        <v>0.72581669999999898</v>
      </c>
      <c r="I351">
        <v>3.5436932999999899</v>
      </c>
      <c r="J351">
        <v>71.313693299999997</v>
      </c>
      <c r="K351">
        <v>50550846.249494202</v>
      </c>
    </row>
    <row r="352" spans="1:11" x14ac:dyDescent="0.35">
      <c r="A352">
        <v>2073</v>
      </c>
      <c r="B352" t="s">
        <v>180</v>
      </c>
      <c r="C352" t="s">
        <v>107</v>
      </c>
      <c r="D352">
        <v>29.94</v>
      </c>
      <c r="E352" s="42">
        <v>3.3781269893360801E-6</v>
      </c>
      <c r="F352">
        <v>6.3E-2</v>
      </c>
      <c r="G352">
        <v>1.88621999999999</v>
      </c>
      <c r="H352">
        <v>0.68685345738150605</v>
      </c>
      <c r="I352">
        <v>1.1993665426184901</v>
      </c>
      <c r="J352">
        <v>31.139366542618401</v>
      </c>
      <c r="K352">
        <v>50550846.249494202</v>
      </c>
    </row>
    <row r="353" spans="1:19" x14ac:dyDescent="0.35">
      <c r="A353">
        <v>2073</v>
      </c>
      <c r="B353" t="s">
        <v>180</v>
      </c>
      <c r="C353" t="s">
        <v>161</v>
      </c>
      <c r="D353" s="42">
        <v>5.1317746625152897E-14</v>
      </c>
      <c r="E353" s="42">
        <v>5.7901758485751499E-21</v>
      </c>
      <c r="F353">
        <v>3.4299999999999997E-2</v>
      </c>
      <c r="G353" s="42">
        <v>1.76019870924274E-15</v>
      </c>
      <c r="H353" s="42">
        <v>6.4096371002419899E-16</v>
      </c>
      <c r="I353" s="42">
        <v>1.1192349992185399E-15</v>
      </c>
      <c r="J353" s="42">
        <v>5.24369816243715E-14</v>
      </c>
      <c r="K353">
        <v>50550846.249494202</v>
      </c>
    </row>
    <row r="354" spans="1:19" x14ac:dyDescent="0.35">
      <c r="A354">
        <v>2073</v>
      </c>
      <c r="B354" t="s">
        <v>180</v>
      </c>
      <c r="C354" t="s">
        <v>160</v>
      </c>
      <c r="D354" s="42">
        <v>3.97385078844254E-9</v>
      </c>
      <c r="E354" s="42">
        <v>4.4836915831771002E-16</v>
      </c>
      <c r="F354">
        <v>3.4299999999999997E-2</v>
      </c>
      <c r="G354" s="42">
        <v>1.36303082043579E-10</v>
      </c>
      <c r="H354" s="42">
        <v>4.9633787762502497E-11</v>
      </c>
      <c r="I354" s="42">
        <v>8.6669294281076595E-11</v>
      </c>
      <c r="J354" s="42">
        <v>4.0605200827236199E-9</v>
      </c>
      <c r="K354">
        <v>50550846.249494202</v>
      </c>
    </row>
    <row r="355" spans="1:19" x14ac:dyDescent="0.35">
      <c r="A355">
        <v>2073</v>
      </c>
      <c r="B355" t="s">
        <v>180</v>
      </c>
      <c r="C355" t="s">
        <v>159</v>
      </c>
      <c r="D355">
        <v>29206.486385122502</v>
      </c>
      <c r="E355">
        <v>3.2953647268289601E-3</v>
      </c>
      <c r="F355">
        <v>3.4299999999999997E-2</v>
      </c>
      <c r="G355">
        <v>1001.7824830096999</v>
      </c>
      <c r="H355">
        <v>364.79189171965299</v>
      </c>
      <c r="I355">
        <v>636.99059129004797</v>
      </c>
      <c r="J355">
        <v>29843.476976412501</v>
      </c>
      <c r="K355">
        <v>50550846.249494202</v>
      </c>
    </row>
    <row r="356" spans="1:19" x14ac:dyDescent="0.35">
      <c r="A356">
        <v>2073</v>
      </c>
      <c r="B356" t="s">
        <v>180</v>
      </c>
      <c r="C356" t="s">
        <v>158</v>
      </c>
      <c r="D356">
        <v>649241.77258894895</v>
      </c>
      <c r="E356">
        <v>7.3253879578728504E-2</v>
      </c>
      <c r="F356">
        <v>3.4299999999999997E-2</v>
      </c>
      <c r="G356">
        <v>22268.992799800901</v>
      </c>
      <c r="H356">
        <v>8109.0936884070497</v>
      </c>
      <c r="I356">
        <v>14159.899111393799</v>
      </c>
      <c r="J356">
        <v>663401.67170034302</v>
      </c>
      <c r="K356">
        <v>50550846.249494202</v>
      </c>
    </row>
    <row r="357" spans="1:19" x14ac:dyDescent="0.35">
      <c r="A357">
        <v>2074</v>
      </c>
      <c r="B357" t="s">
        <v>179</v>
      </c>
      <c r="C357" t="s">
        <v>106</v>
      </c>
      <c r="D357">
        <v>6392349.8799999999</v>
      </c>
      <c r="E357">
        <v>0.68920305461776299</v>
      </c>
      <c r="F357">
        <v>6.3E-2</v>
      </c>
      <c r="G357">
        <v>402718.04243999999</v>
      </c>
      <c r="H357">
        <v>68462.067214800001</v>
      </c>
      <c r="I357">
        <v>334255.9752252</v>
      </c>
      <c r="J357">
        <v>6726605.8552251998</v>
      </c>
      <c r="K357">
        <v>56945528.300055303</v>
      </c>
      <c r="R357">
        <v>100</v>
      </c>
      <c r="S357">
        <v>9500000</v>
      </c>
    </row>
    <row r="358" spans="1:19" x14ac:dyDescent="0.35">
      <c r="A358">
        <v>2074</v>
      </c>
      <c r="B358" t="s">
        <v>180</v>
      </c>
      <c r="C358" t="s">
        <v>106</v>
      </c>
      <c r="D358">
        <v>2488691.7000000002</v>
      </c>
      <c r="E358">
        <v>0.26832291001597502</v>
      </c>
      <c r="F358">
        <v>6.3E-2</v>
      </c>
      <c r="G358">
        <v>156787.57709999901</v>
      </c>
      <c r="H358">
        <v>56526.1917436972</v>
      </c>
      <c r="I358">
        <v>100261.38535630199</v>
      </c>
      <c r="J358">
        <v>2588953.0853563002</v>
      </c>
      <c r="K358">
        <v>56945528.300055303</v>
      </c>
      <c r="R358">
        <v>100</v>
      </c>
      <c r="S358">
        <v>9500000</v>
      </c>
    </row>
    <row r="359" spans="1:19" x14ac:dyDescent="0.35">
      <c r="A359">
        <v>2074</v>
      </c>
      <c r="B359" t="s">
        <v>179</v>
      </c>
      <c r="C359" t="s">
        <v>107</v>
      </c>
      <c r="D359">
        <v>2332.17</v>
      </c>
      <c r="E359">
        <v>2.5144723271747801E-4</v>
      </c>
      <c r="F359">
        <v>6.3E-2</v>
      </c>
      <c r="G359">
        <v>146.92670999999899</v>
      </c>
      <c r="H359">
        <v>24.977540699999899</v>
      </c>
      <c r="I359">
        <v>121.949169299999</v>
      </c>
      <c r="J359">
        <v>2454.1191693000001</v>
      </c>
      <c r="K359">
        <v>56945528.300055303</v>
      </c>
      <c r="R359">
        <v>100</v>
      </c>
      <c r="S359">
        <v>9500000</v>
      </c>
    </row>
    <row r="360" spans="1:19" x14ac:dyDescent="0.35">
      <c r="A360">
        <v>2074</v>
      </c>
      <c r="B360" t="s">
        <v>180</v>
      </c>
      <c r="C360" t="s">
        <v>107</v>
      </c>
      <c r="D360">
        <v>907.97</v>
      </c>
      <c r="E360" s="42">
        <v>9.7894469052637302E-5</v>
      </c>
      <c r="F360">
        <v>6.3E-2</v>
      </c>
      <c r="G360">
        <v>57.202109999999898</v>
      </c>
      <c r="H360">
        <v>20.622918587113301</v>
      </c>
      <c r="I360">
        <v>36.579191412886502</v>
      </c>
      <c r="J360">
        <v>944.54919141288599</v>
      </c>
      <c r="K360">
        <v>56945528.300055303</v>
      </c>
      <c r="R360">
        <v>100</v>
      </c>
      <c r="S360">
        <v>9500000</v>
      </c>
    </row>
    <row r="361" spans="1:19" x14ac:dyDescent="0.35">
      <c r="A361">
        <v>2074</v>
      </c>
      <c r="B361" t="s">
        <v>180</v>
      </c>
      <c r="C361" t="s">
        <v>161</v>
      </c>
      <c r="D361" s="42">
        <v>2.9343067245849601E-12</v>
      </c>
      <c r="E361" s="42">
        <v>3.16367720123823E-19</v>
      </c>
      <c r="F361">
        <v>3.4299999999999997E-2</v>
      </c>
      <c r="G361" s="42">
        <v>1.00646720653264E-13</v>
      </c>
      <c r="H361" s="42">
        <v>3.6285883966381801E-14</v>
      </c>
      <c r="I361" s="42">
        <v>6.4360836686882298E-14</v>
      </c>
      <c r="J361" s="42">
        <v>2.9986675612718399E-12</v>
      </c>
      <c r="K361">
        <v>56945528.300055303</v>
      </c>
      <c r="R361">
        <v>100</v>
      </c>
      <c r="S361">
        <v>9500000</v>
      </c>
    </row>
    <row r="362" spans="1:19" x14ac:dyDescent="0.35">
      <c r="A362">
        <v>2074</v>
      </c>
      <c r="B362" t="s">
        <v>180</v>
      </c>
      <c r="C362" t="s">
        <v>160</v>
      </c>
      <c r="D362" s="42">
        <v>2.3704206404566502E-10</v>
      </c>
      <c r="E362" s="42">
        <v>2.5557129644031898E-17</v>
      </c>
      <c r="F362">
        <v>3.4299999999999997E-2</v>
      </c>
      <c r="G362" s="42">
        <v>8.1305427967663299E-12</v>
      </c>
      <c r="H362" s="42">
        <v>2.9312821182077599E-12</v>
      </c>
      <c r="I362" s="42">
        <v>5.19926067855857E-12</v>
      </c>
      <c r="J362" s="42">
        <v>2.4224132472422299E-10</v>
      </c>
      <c r="K362">
        <v>56945528.300055303</v>
      </c>
      <c r="R362">
        <v>100</v>
      </c>
      <c r="S362">
        <v>9500000</v>
      </c>
    </row>
    <row r="363" spans="1:19" x14ac:dyDescent="0.35">
      <c r="A363">
        <v>2074</v>
      </c>
      <c r="B363" t="s">
        <v>180</v>
      </c>
      <c r="C363" t="s">
        <v>159</v>
      </c>
      <c r="D363">
        <v>48844.406432328498</v>
      </c>
      <c r="E363">
        <v>5.2662502438230599E-3</v>
      </c>
      <c r="F363">
        <v>3.4299999999999997E-2</v>
      </c>
      <c r="G363">
        <v>1675.36314062886</v>
      </c>
      <c r="H363">
        <v>604.014041668039</v>
      </c>
      <c r="I363">
        <v>1071.3490989608299</v>
      </c>
      <c r="J363">
        <v>49915.755531289302</v>
      </c>
      <c r="K363">
        <v>56945528.300055303</v>
      </c>
      <c r="R363">
        <v>100</v>
      </c>
      <c r="S363">
        <v>9500000</v>
      </c>
    </row>
    <row r="364" spans="1:19" x14ac:dyDescent="0.35">
      <c r="A364">
        <v>2074</v>
      </c>
      <c r="B364" t="s">
        <v>180</v>
      </c>
      <c r="C364" t="s">
        <v>158</v>
      </c>
      <c r="D364">
        <v>341861.61501233402</v>
      </c>
      <c r="E364">
        <v>3.6858443881526398E-2</v>
      </c>
      <c r="F364">
        <v>3.4299999999999997E-2</v>
      </c>
      <c r="G364">
        <v>11725.853394923</v>
      </c>
      <c r="H364">
        <v>4227.4895091793896</v>
      </c>
      <c r="I364">
        <v>7498.3638857436899</v>
      </c>
      <c r="J364">
        <v>349359.97889807803</v>
      </c>
      <c r="K364">
        <v>56945528.300055303</v>
      </c>
      <c r="R364">
        <v>100</v>
      </c>
      <c r="S364">
        <v>9500000</v>
      </c>
    </row>
    <row r="365" spans="1:19" x14ac:dyDescent="0.35">
      <c r="A365">
        <v>2075</v>
      </c>
      <c r="B365" t="s">
        <v>179</v>
      </c>
      <c r="C365" t="s">
        <v>106</v>
      </c>
      <c r="D365">
        <v>42448.57</v>
      </c>
      <c r="E365">
        <v>0.19451001090939299</v>
      </c>
      <c r="F365">
        <v>6.3E-2</v>
      </c>
      <c r="G365">
        <v>2674.2599100000002</v>
      </c>
      <c r="H365">
        <v>454.6241847</v>
      </c>
      <c r="I365">
        <v>2219.6357253000001</v>
      </c>
      <c r="J365">
        <v>44668.205725300002</v>
      </c>
      <c r="K365">
        <v>64149137.630012304</v>
      </c>
    </row>
    <row r="366" spans="1:19" x14ac:dyDescent="0.35">
      <c r="A366">
        <v>2075</v>
      </c>
      <c r="B366" t="s">
        <v>179</v>
      </c>
      <c r="C366" t="s">
        <v>107</v>
      </c>
      <c r="D366">
        <v>7474.52</v>
      </c>
      <c r="E366">
        <v>3.4250128255026602E-2</v>
      </c>
      <c r="F366">
        <v>6.3E-2</v>
      </c>
      <c r="G366">
        <v>470.894759999999</v>
      </c>
      <c r="H366">
        <v>80.052109199999805</v>
      </c>
      <c r="I366">
        <v>390.84265079999898</v>
      </c>
      <c r="J366">
        <v>7865.3626507999998</v>
      </c>
      <c r="K366">
        <v>64149137.630012304</v>
      </c>
    </row>
    <row r="367" spans="1:19" x14ac:dyDescent="0.35">
      <c r="A367">
        <v>2075</v>
      </c>
      <c r="B367" t="s">
        <v>180</v>
      </c>
      <c r="C367" t="s">
        <v>161</v>
      </c>
      <c r="D367">
        <v>11050.392862057801</v>
      </c>
      <c r="E367">
        <v>5.0635675975703197E-2</v>
      </c>
      <c r="F367">
        <v>3.4299999999999997E-2</v>
      </c>
      <c r="G367">
        <v>379.02847516858401</v>
      </c>
      <c r="H367">
        <v>102.337688295517</v>
      </c>
      <c r="I367">
        <v>276.69078687306597</v>
      </c>
      <c r="J367">
        <v>11327.0836489309</v>
      </c>
      <c r="K367">
        <v>64149137.630012304</v>
      </c>
    </row>
    <row r="368" spans="1:19" x14ac:dyDescent="0.35">
      <c r="A368">
        <v>2075</v>
      </c>
      <c r="B368" t="s">
        <v>180</v>
      </c>
      <c r="C368" t="s">
        <v>160</v>
      </c>
      <c r="D368">
        <v>54794.9576282915</v>
      </c>
      <c r="E368">
        <v>0.25108426046056898</v>
      </c>
      <c r="F368">
        <v>3.4299999999999997E-2</v>
      </c>
      <c r="G368">
        <v>1879.4670466503901</v>
      </c>
      <c r="H368">
        <v>507.45610259560601</v>
      </c>
      <c r="I368">
        <v>1372.0109440547801</v>
      </c>
      <c r="J368">
        <v>56166.968572346297</v>
      </c>
      <c r="K368">
        <v>64149137.630012304</v>
      </c>
    </row>
    <row r="369" spans="1:11" x14ac:dyDescent="0.35">
      <c r="A369">
        <v>2075</v>
      </c>
      <c r="B369" t="s">
        <v>180</v>
      </c>
      <c r="C369" t="s">
        <v>159</v>
      </c>
      <c r="D369">
        <v>45945.068167063597</v>
      </c>
      <c r="E369">
        <v>0.210531843838517</v>
      </c>
      <c r="F369">
        <v>3.4299999999999997E-2</v>
      </c>
      <c r="G369">
        <v>1575.91583813028</v>
      </c>
      <c r="H369">
        <v>425.49727629517599</v>
      </c>
      <c r="I369">
        <v>1150.4185618351</v>
      </c>
      <c r="J369">
        <v>47095.486728898701</v>
      </c>
      <c r="K369">
        <v>64149137.630012304</v>
      </c>
    </row>
    <row r="370" spans="1:11" x14ac:dyDescent="0.35">
      <c r="A370">
        <v>2075</v>
      </c>
      <c r="B370" t="s">
        <v>180</v>
      </c>
      <c r="C370" t="s">
        <v>158</v>
      </c>
      <c r="D370">
        <v>56519.828036891697</v>
      </c>
      <c r="E370">
        <v>0.25898804996382202</v>
      </c>
      <c r="F370">
        <v>3.4299999999999997E-2</v>
      </c>
      <c r="G370">
        <v>1938.6301016653799</v>
      </c>
      <c r="H370">
        <v>523.43012744965495</v>
      </c>
      <c r="I370">
        <v>1415.19997421573</v>
      </c>
      <c r="J370">
        <v>57935.028011107403</v>
      </c>
      <c r="K370">
        <v>64149137.630012304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19EC-53E0-409E-AA74-A8329EA95658}">
  <dimension ref="A1:F9"/>
  <sheetViews>
    <sheetView workbookViewId="0">
      <selection activeCell="E15" sqref="E15"/>
    </sheetView>
  </sheetViews>
  <sheetFormatPr defaultRowHeight="14.5" x14ac:dyDescent="0.35"/>
  <cols>
    <col min="1" max="2" width="8.7265625" style="1"/>
    <col min="3" max="3" width="10.1796875" style="1" bestFit="1" customWidth="1"/>
    <col min="4" max="16384" width="8.7265625" style="1"/>
  </cols>
  <sheetData>
    <row r="1" spans="1:6" x14ac:dyDescent="0.35">
      <c r="A1" s="1" t="s">
        <v>193</v>
      </c>
    </row>
    <row r="2" spans="1:6" x14ac:dyDescent="0.35">
      <c r="A2" s="1" t="s">
        <v>1</v>
      </c>
      <c r="B2" s="1" t="s">
        <v>195</v>
      </c>
      <c r="C2" s="1" t="s">
        <v>196</v>
      </c>
    </row>
    <row r="3" spans="1:6" x14ac:dyDescent="0.35">
      <c r="A3" s="1">
        <v>2019</v>
      </c>
      <c r="B3" s="1">
        <v>50000</v>
      </c>
    </row>
    <row r="4" spans="1:6" x14ac:dyDescent="0.35">
      <c r="A4" s="1">
        <v>2020</v>
      </c>
      <c r="B4" s="1">
        <f>100000</f>
        <v>100000</v>
      </c>
      <c r="C4" s="45">
        <f t="shared" ref="C4:C9" si="0">(B4-B3)/B3</f>
        <v>1</v>
      </c>
    </row>
    <row r="5" spans="1:6" x14ac:dyDescent="0.35">
      <c r="A5" s="1">
        <v>2021</v>
      </c>
      <c r="B5" s="1">
        <v>102300</v>
      </c>
      <c r="C5" s="45">
        <f t="shared" si="0"/>
        <v>2.3E-2</v>
      </c>
    </row>
    <row r="6" spans="1:6" x14ac:dyDescent="0.35">
      <c r="A6" s="1">
        <v>2022</v>
      </c>
      <c r="B6" s="1">
        <v>103500</v>
      </c>
      <c r="C6" s="45">
        <f t="shared" si="0"/>
        <v>1.1730205278592375E-2</v>
      </c>
      <c r="E6" s="1" t="s">
        <v>194</v>
      </c>
      <c r="F6" s="1" t="s">
        <v>210</v>
      </c>
    </row>
    <row r="7" spans="1:6" x14ac:dyDescent="0.35">
      <c r="A7" s="1">
        <v>2023</v>
      </c>
      <c r="B7" s="1">
        <v>106600</v>
      </c>
      <c r="C7" s="45">
        <f t="shared" si="0"/>
        <v>2.9951690821256038E-2</v>
      </c>
      <c r="E7" s="46">
        <f>MEDIAN(C4:C9)</f>
        <v>0.12645487410819978</v>
      </c>
      <c r="F7" s="47">
        <f>MEDIAN(C5:C9)</f>
        <v>2.9951690821256038E-2</v>
      </c>
    </row>
    <row r="8" spans="1:6" x14ac:dyDescent="0.35">
      <c r="A8" s="1">
        <v>2024</v>
      </c>
      <c r="B8" s="1">
        <v>135900</v>
      </c>
      <c r="C8" s="45">
        <f t="shared" si="0"/>
        <v>0.27485928705440899</v>
      </c>
    </row>
    <row r="9" spans="1:6" x14ac:dyDescent="0.35">
      <c r="A9" s="1">
        <v>2025</v>
      </c>
      <c r="B9" s="1">
        <v>166200</v>
      </c>
      <c r="C9" s="45">
        <f t="shared" si="0"/>
        <v>0.22295805739514349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6B7F-EC28-43DF-AEC2-665EA1610B0E}">
  <sheetPr>
    <tabColor theme="4" tint="0.79998168889431442"/>
  </sheetPr>
  <dimension ref="B2:G10"/>
  <sheetViews>
    <sheetView workbookViewId="0">
      <selection activeCell="F4" sqref="F4"/>
    </sheetView>
  </sheetViews>
  <sheetFormatPr defaultColWidth="8.7265625" defaultRowHeight="14.5" x14ac:dyDescent="0.35"/>
  <cols>
    <col min="1" max="1" width="3.1796875" style="1" customWidth="1"/>
    <col min="2" max="2" width="18.1796875" style="1" bestFit="1" customWidth="1"/>
    <col min="3" max="6" width="13.81640625" style="1" bestFit="1" customWidth="1"/>
    <col min="7" max="16384" width="8.7265625" style="1"/>
  </cols>
  <sheetData>
    <row r="2" spans="2:7" x14ac:dyDescent="0.35">
      <c r="B2" t="s">
        <v>79</v>
      </c>
      <c r="C2" t="s">
        <v>75</v>
      </c>
      <c r="D2" t="s">
        <v>76</v>
      </c>
      <c r="E2" t="s">
        <v>77</v>
      </c>
      <c r="F2" t="s">
        <v>78</v>
      </c>
      <c r="G2" s="49" t="s">
        <v>81</v>
      </c>
    </row>
    <row r="3" spans="2:7" x14ac:dyDescent="0.35">
      <c r="B3" t="s">
        <v>72</v>
      </c>
      <c r="C3">
        <v>1</v>
      </c>
      <c r="D3">
        <v>0.8</v>
      </c>
      <c r="E3">
        <v>0.3</v>
      </c>
      <c r="F3">
        <v>0.6</v>
      </c>
      <c r="G3" s="49"/>
    </row>
    <row r="4" spans="2:7" x14ac:dyDescent="0.35">
      <c r="B4" t="s">
        <v>73</v>
      </c>
      <c r="C4" s="23">
        <v>7000000</v>
      </c>
      <c r="D4" s="23">
        <v>250000</v>
      </c>
      <c r="E4" s="23">
        <v>4000000</v>
      </c>
      <c r="F4" s="23">
        <v>300000</v>
      </c>
      <c r="G4" s="49"/>
    </row>
    <row r="5" spans="2:7" x14ac:dyDescent="0.35">
      <c r="B5" t="s">
        <v>74</v>
      </c>
      <c r="C5">
        <v>50</v>
      </c>
      <c r="D5">
        <v>5</v>
      </c>
      <c r="E5">
        <v>10</v>
      </c>
      <c r="F5">
        <v>15</v>
      </c>
      <c r="G5" s="49"/>
    </row>
    <row r="7" spans="2:7" x14ac:dyDescent="0.35">
      <c r="B7" t="s">
        <v>79</v>
      </c>
      <c r="C7" t="s">
        <v>75</v>
      </c>
      <c r="D7" t="s">
        <v>76</v>
      </c>
      <c r="E7" t="s">
        <v>77</v>
      </c>
      <c r="F7" t="s">
        <v>78</v>
      </c>
      <c r="G7" s="49" t="s">
        <v>80</v>
      </c>
    </row>
    <row r="8" spans="2:7" x14ac:dyDescent="0.35">
      <c r="B8" t="s">
        <v>72</v>
      </c>
      <c r="C8">
        <v>1</v>
      </c>
      <c r="D8">
        <v>0.45</v>
      </c>
      <c r="E8">
        <v>0.5</v>
      </c>
      <c r="F8">
        <v>0.57999999999999996</v>
      </c>
      <c r="G8" s="49"/>
    </row>
    <row r="9" spans="2:7" x14ac:dyDescent="0.35">
      <c r="B9" t="s">
        <v>73</v>
      </c>
      <c r="C9" s="23">
        <v>400000</v>
      </c>
      <c r="D9" s="23">
        <v>75000</v>
      </c>
      <c r="E9" s="23">
        <v>300000</v>
      </c>
      <c r="F9" s="23">
        <v>7500000</v>
      </c>
      <c r="G9" s="49"/>
    </row>
    <row r="10" spans="2:7" x14ac:dyDescent="0.35">
      <c r="B10" t="s">
        <v>74</v>
      </c>
      <c r="C10">
        <v>10</v>
      </c>
      <c r="D10">
        <v>30</v>
      </c>
      <c r="E10">
        <v>4</v>
      </c>
      <c r="F10">
        <v>18</v>
      </c>
      <c r="G10" s="49"/>
    </row>
  </sheetData>
  <mergeCells count="2">
    <mergeCell ref="G7:G10"/>
    <mergeCell ref="G2:G5"/>
  </mergeCells>
  <pageMargins left="0.7" right="0.7" top="0.75" bottom="0.75" header="0.3" footer="0.3"/>
  <drawing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B312-685C-41F1-A0B9-5F2CAAFC3BC3}">
  <dimension ref="A1:AZ9"/>
  <sheetViews>
    <sheetView topLeftCell="I1" workbookViewId="0">
      <selection activeCell="Z3" sqref="Z3"/>
    </sheetView>
  </sheetViews>
  <sheetFormatPr defaultRowHeight="14.5" x14ac:dyDescent="0.35"/>
  <cols>
    <col min="3" max="3" width="9.81640625" bestFit="1" customWidth="1"/>
  </cols>
  <sheetData>
    <row r="1" spans="1:52" x14ac:dyDescent="0.3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c r="AZ1" s="32" t="s">
        <v>167</v>
      </c>
    </row>
    <row r="2" spans="1:52" x14ac:dyDescent="0.35">
      <c r="A2" t="s">
        <v>163</v>
      </c>
      <c r="B2" s="28">
        <v>0.37330000000000002</v>
      </c>
      <c r="C2" s="28">
        <v>0.63</v>
      </c>
      <c r="D2" s="28">
        <v>0.57999999999999996</v>
      </c>
      <c r="E2" s="28">
        <v>0.56000000000000005</v>
      </c>
      <c r="F2" s="28">
        <v>0.57430000000000003</v>
      </c>
      <c r="G2" s="28">
        <v>0.59</v>
      </c>
      <c r="H2" s="28">
        <v>0.62380000000000002</v>
      </c>
      <c r="I2" s="28">
        <v>0.34339999999999998</v>
      </c>
      <c r="J2" s="28">
        <v>0.43430000000000002</v>
      </c>
      <c r="K2" s="28">
        <v>0.505</v>
      </c>
      <c r="L2" s="28">
        <v>0.56569999999999998</v>
      </c>
      <c r="M2" s="28">
        <v>0.62239999999999995</v>
      </c>
      <c r="N2" s="28">
        <v>0.66669999999999996</v>
      </c>
      <c r="O2" s="28">
        <v>0.68420000000000003</v>
      </c>
      <c r="P2" s="28">
        <v>0.72729999999999995</v>
      </c>
      <c r="Q2" s="28">
        <v>0.73680000000000001</v>
      </c>
      <c r="R2" s="28">
        <v>0.76290000000000002</v>
      </c>
      <c r="S2" s="28">
        <v>0.77780000000000005</v>
      </c>
      <c r="T2" s="28">
        <v>0.8</v>
      </c>
      <c r="U2" s="28">
        <v>0.78</v>
      </c>
      <c r="V2" s="28">
        <v>0.83509999999999995</v>
      </c>
      <c r="W2" s="28">
        <v>0.84379999999999999</v>
      </c>
      <c r="X2" s="28">
        <v>0.85419999999999996</v>
      </c>
      <c r="Y2" s="28">
        <v>0.86870000000000003</v>
      </c>
      <c r="Z2" s="28">
        <v>0.83330000000000004</v>
      </c>
      <c r="AA2" s="28">
        <v>1</v>
      </c>
      <c r="AB2" s="28">
        <v>1</v>
      </c>
      <c r="AC2" s="28">
        <v>1</v>
      </c>
      <c r="AD2" s="28">
        <v>1</v>
      </c>
      <c r="AE2" s="28">
        <v>1</v>
      </c>
      <c r="AF2" s="28">
        <v>1</v>
      </c>
      <c r="AG2" s="28">
        <v>1</v>
      </c>
      <c r="AH2" s="28">
        <v>1</v>
      </c>
      <c r="AI2" s="28">
        <v>1</v>
      </c>
      <c r="AJ2" s="28">
        <v>1</v>
      </c>
      <c r="AK2" s="28">
        <v>1</v>
      </c>
      <c r="AL2" s="28">
        <v>1</v>
      </c>
      <c r="AM2" s="28">
        <v>1</v>
      </c>
      <c r="AN2" s="28">
        <v>1</v>
      </c>
      <c r="AO2" s="28">
        <v>1</v>
      </c>
      <c r="AP2" s="28">
        <v>1</v>
      </c>
      <c r="AQ2" s="28">
        <v>1</v>
      </c>
      <c r="AR2" s="28">
        <v>1</v>
      </c>
      <c r="AS2" s="28">
        <v>1</v>
      </c>
      <c r="AT2" s="28">
        <v>1</v>
      </c>
      <c r="AU2" s="28">
        <v>1</v>
      </c>
      <c r="AV2" s="28">
        <v>1</v>
      </c>
      <c r="AW2" s="28">
        <v>1</v>
      </c>
      <c r="AX2" s="28">
        <v>1</v>
      </c>
      <c r="AY2" s="28">
        <v>1</v>
      </c>
      <c r="AZ2" s="28">
        <v>0</v>
      </c>
    </row>
    <row r="3" spans="1:52" x14ac:dyDescent="0.35">
      <c r="A3" t="s">
        <v>164</v>
      </c>
      <c r="B3" s="28">
        <v>0.17330000000000001</v>
      </c>
      <c r="C3" s="28">
        <v>0.36</v>
      </c>
      <c r="D3" s="28">
        <v>0.41</v>
      </c>
      <c r="E3" s="28">
        <v>0.43</v>
      </c>
      <c r="F3" s="28">
        <v>0.4158</v>
      </c>
      <c r="G3" s="28">
        <v>0.4</v>
      </c>
      <c r="H3" s="28">
        <v>0.36630000000000001</v>
      </c>
      <c r="I3" s="28">
        <v>0.64649999999999996</v>
      </c>
      <c r="J3" s="28">
        <v>0.55559999999999998</v>
      </c>
      <c r="K3" s="28">
        <v>0.48509999999999998</v>
      </c>
      <c r="L3" s="28">
        <v>0.43430000000000002</v>
      </c>
      <c r="M3" s="28">
        <v>0.37759999999999999</v>
      </c>
      <c r="N3" s="28">
        <v>0.33329999999999999</v>
      </c>
      <c r="O3" s="28">
        <v>0.31580000000000003</v>
      </c>
      <c r="P3" s="28">
        <v>0.2727</v>
      </c>
      <c r="Q3" s="28">
        <v>0.26319999999999999</v>
      </c>
      <c r="R3" s="28">
        <v>0.23710000000000001</v>
      </c>
      <c r="S3" s="28">
        <v>0.22220000000000001</v>
      </c>
      <c r="T3" s="28">
        <v>0.2</v>
      </c>
      <c r="U3" s="28">
        <v>0.22</v>
      </c>
      <c r="V3" s="28">
        <v>0.16489999999999999</v>
      </c>
      <c r="W3" s="28">
        <v>0.15620000000000001</v>
      </c>
      <c r="X3" s="28">
        <v>0.14580000000000001</v>
      </c>
      <c r="Y3" s="28">
        <v>0.1313</v>
      </c>
      <c r="Z3" s="28">
        <v>0.16669999999999999</v>
      </c>
      <c r="AA3" s="28">
        <v>0</v>
      </c>
      <c r="AB3" s="28">
        <v>0</v>
      </c>
      <c r="AC3" s="28">
        <v>0</v>
      </c>
      <c r="AD3" s="28">
        <v>0</v>
      </c>
      <c r="AE3" s="28">
        <v>0</v>
      </c>
      <c r="AF3" s="28">
        <v>0</v>
      </c>
      <c r="AG3" s="28">
        <v>0</v>
      </c>
      <c r="AH3" s="28">
        <v>0</v>
      </c>
      <c r="AI3" s="28">
        <v>0</v>
      </c>
      <c r="AJ3" s="28">
        <v>0</v>
      </c>
      <c r="AK3" s="28">
        <v>0</v>
      </c>
      <c r="AL3" s="28">
        <v>0</v>
      </c>
      <c r="AM3" s="28">
        <v>0</v>
      </c>
      <c r="AN3" s="28">
        <v>0</v>
      </c>
      <c r="AO3" s="28">
        <v>0</v>
      </c>
      <c r="AP3" s="28">
        <v>0</v>
      </c>
      <c r="AQ3" s="28">
        <v>0</v>
      </c>
      <c r="AR3" s="28">
        <v>0</v>
      </c>
      <c r="AS3" s="28">
        <v>0</v>
      </c>
      <c r="AT3" s="28">
        <v>0</v>
      </c>
      <c r="AU3" s="28">
        <v>0</v>
      </c>
      <c r="AV3" s="28">
        <v>0</v>
      </c>
      <c r="AW3" s="28">
        <v>0</v>
      </c>
      <c r="AX3" s="28">
        <v>0</v>
      </c>
      <c r="AY3" s="28">
        <v>0</v>
      </c>
      <c r="AZ3" s="28">
        <v>0</v>
      </c>
    </row>
    <row r="4" spans="1:52" x14ac:dyDescent="0.35">
      <c r="A4" t="s">
        <v>165</v>
      </c>
      <c r="B4" s="28">
        <v>0.45329999999999998</v>
      </c>
      <c r="C4" s="28">
        <v>0.01</v>
      </c>
      <c r="D4" s="28">
        <v>0.01</v>
      </c>
      <c r="E4" s="28">
        <v>0.01</v>
      </c>
      <c r="F4" s="28">
        <v>9.9000000000000008E-3</v>
      </c>
      <c r="G4" s="28">
        <v>0.01</v>
      </c>
      <c r="H4" s="28">
        <v>9.9000000000000008E-3</v>
      </c>
      <c r="I4" s="28">
        <v>1.01E-2</v>
      </c>
      <c r="J4" s="28">
        <v>1.01E-2</v>
      </c>
      <c r="K4" s="28">
        <v>9.9000000000000008E-3</v>
      </c>
      <c r="L4" s="28">
        <v>0</v>
      </c>
      <c r="M4" s="28">
        <v>0</v>
      </c>
      <c r="N4" s="28">
        <v>0</v>
      </c>
      <c r="O4" s="28">
        <v>0</v>
      </c>
      <c r="P4" s="28">
        <v>0</v>
      </c>
      <c r="Q4" s="28">
        <v>0</v>
      </c>
      <c r="R4" s="28">
        <v>0</v>
      </c>
      <c r="S4" s="28">
        <v>0</v>
      </c>
      <c r="T4" s="28">
        <v>0</v>
      </c>
      <c r="U4" s="28">
        <v>0</v>
      </c>
      <c r="V4" s="28">
        <v>0</v>
      </c>
      <c r="W4" s="28">
        <v>0</v>
      </c>
      <c r="X4" s="28">
        <v>0</v>
      </c>
      <c r="Y4" s="28">
        <v>0</v>
      </c>
      <c r="Z4" s="28">
        <v>0</v>
      </c>
      <c r="AA4" s="28">
        <v>0</v>
      </c>
      <c r="AB4" s="28">
        <v>0</v>
      </c>
      <c r="AC4" s="28">
        <v>0</v>
      </c>
      <c r="AD4" s="28">
        <v>0</v>
      </c>
      <c r="AE4" s="28">
        <v>0</v>
      </c>
      <c r="AF4" s="28">
        <v>0</v>
      </c>
      <c r="AG4" s="28">
        <v>0</v>
      </c>
      <c r="AH4" s="28">
        <v>0</v>
      </c>
      <c r="AI4" s="28">
        <v>0</v>
      </c>
      <c r="AJ4" s="28">
        <v>0</v>
      </c>
      <c r="AK4" s="28">
        <v>0</v>
      </c>
      <c r="AL4" s="28">
        <v>0</v>
      </c>
      <c r="AM4" s="28">
        <v>0</v>
      </c>
      <c r="AN4" s="28">
        <v>0</v>
      </c>
      <c r="AO4" s="28">
        <v>0</v>
      </c>
      <c r="AP4" s="28">
        <v>0</v>
      </c>
      <c r="AQ4" s="28">
        <v>0</v>
      </c>
      <c r="AR4" s="28">
        <v>0</v>
      </c>
      <c r="AS4" s="28">
        <v>0</v>
      </c>
      <c r="AT4" s="28">
        <v>0</v>
      </c>
      <c r="AU4" s="28">
        <v>0</v>
      </c>
      <c r="AV4" s="28">
        <v>0</v>
      </c>
      <c r="AW4" s="28">
        <v>0</v>
      </c>
      <c r="AX4" s="28">
        <v>0</v>
      </c>
      <c r="AY4" s="28">
        <v>0</v>
      </c>
      <c r="AZ4" s="28">
        <v>0</v>
      </c>
    </row>
    <row r="5" spans="1:52" x14ac:dyDescent="0.35">
      <c r="A5" t="s">
        <v>166</v>
      </c>
      <c r="B5" s="28">
        <v>0</v>
      </c>
      <c r="C5" s="28">
        <v>0</v>
      </c>
      <c r="D5" s="28">
        <v>0</v>
      </c>
      <c r="E5" s="28">
        <v>0</v>
      </c>
      <c r="F5" s="28">
        <v>0</v>
      </c>
      <c r="G5" s="28">
        <v>0</v>
      </c>
      <c r="H5" s="28">
        <v>0</v>
      </c>
      <c r="I5" s="28">
        <v>0</v>
      </c>
      <c r="J5" s="28">
        <v>0</v>
      </c>
      <c r="K5" s="28">
        <v>0</v>
      </c>
      <c r="L5" s="28">
        <v>0</v>
      </c>
      <c r="M5" s="28">
        <v>0</v>
      </c>
      <c r="N5" s="28">
        <v>0</v>
      </c>
      <c r="O5" s="28">
        <v>0</v>
      </c>
      <c r="P5" s="28">
        <v>0</v>
      </c>
      <c r="Q5" s="28">
        <v>0</v>
      </c>
      <c r="R5" s="28">
        <v>0</v>
      </c>
      <c r="S5" s="28">
        <v>0</v>
      </c>
      <c r="T5" s="28">
        <v>0</v>
      </c>
      <c r="U5" s="28">
        <v>0</v>
      </c>
      <c r="V5" s="28">
        <v>0</v>
      </c>
      <c r="W5" s="28">
        <v>0</v>
      </c>
      <c r="X5" s="28">
        <v>0</v>
      </c>
      <c r="Y5" s="28">
        <v>0</v>
      </c>
      <c r="Z5" s="28">
        <v>0</v>
      </c>
      <c r="AA5" s="28">
        <v>0</v>
      </c>
      <c r="AB5" s="28">
        <v>0</v>
      </c>
      <c r="AC5" s="28">
        <v>0</v>
      </c>
      <c r="AD5" s="28">
        <v>0</v>
      </c>
      <c r="AE5" s="28">
        <v>0</v>
      </c>
      <c r="AF5" s="28">
        <v>0</v>
      </c>
      <c r="AG5" s="28">
        <v>0</v>
      </c>
      <c r="AH5" s="28">
        <v>0</v>
      </c>
      <c r="AI5" s="28">
        <v>0</v>
      </c>
      <c r="AJ5" s="28">
        <v>0</v>
      </c>
      <c r="AK5" s="28">
        <v>0</v>
      </c>
      <c r="AL5" s="28">
        <v>0</v>
      </c>
      <c r="AM5" s="28">
        <v>0</v>
      </c>
      <c r="AN5" s="28">
        <v>0</v>
      </c>
      <c r="AO5" s="28">
        <v>0</v>
      </c>
      <c r="AP5" s="28">
        <v>0</v>
      </c>
      <c r="AQ5" s="28">
        <v>0</v>
      </c>
      <c r="AR5" s="28">
        <v>0</v>
      </c>
      <c r="AS5" s="28">
        <v>0</v>
      </c>
      <c r="AT5" s="28">
        <v>0</v>
      </c>
      <c r="AU5" s="28">
        <v>0</v>
      </c>
      <c r="AV5" s="28">
        <v>0</v>
      </c>
      <c r="AW5" s="28">
        <v>0</v>
      </c>
      <c r="AX5" s="28">
        <v>0</v>
      </c>
      <c r="AY5" s="28">
        <v>0</v>
      </c>
      <c r="AZ5" s="28">
        <v>0</v>
      </c>
    </row>
    <row r="9" spans="1:52" x14ac:dyDescent="0.35">
      <c r="C9" s="2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DA991-180B-4DDE-A51E-CBC35FF0F4F7}">
  <dimension ref="A1:AZ9"/>
  <sheetViews>
    <sheetView tabSelected="1" zoomScale="103" workbookViewId="0">
      <selection activeCell="C8" sqref="C8"/>
    </sheetView>
  </sheetViews>
  <sheetFormatPr defaultRowHeight="14.5" x14ac:dyDescent="0.35"/>
  <cols>
    <col min="2" max="2" width="15.453125" bestFit="1" customWidth="1"/>
    <col min="3" max="3" width="18.36328125" bestFit="1" customWidth="1"/>
    <col min="4" max="4" width="11.54296875" bestFit="1" customWidth="1"/>
    <col min="5" max="5" width="12" bestFit="1" customWidth="1"/>
    <col min="6" max="6" width="11.54296875" bestFit="1" customWidth="1"/>
    <col min="7" max="9" width="13.1796875" bestFit="1" customWidth="1"/>
    <col min="10" max="12" width="11.36328125" bestFit="1" customWidth="1"/>
    <col min="13" max="15" width="12.36328125" bestFit="1" customWidth="1"/>
    <col min="16" max="19" width="13.453125" bestFit="1" customWidth="1"/>
    <col min="20" max="22" width="14.453125" bestFit="1" customWidth="1"/>
    <col min="23" max="25" width="15.453125" bestFit="1" customWidth="1"/>
    <col min="26" max="28" width="16.453125" bestFit="1" customWidth="1"/>
    <col min="29" max="32" width="17.54296875" bestFit="1" customWidth="1"/>
    <col min="33" max="35" width="18.54296875" bestFit="1" customWidth="1"/>
    <col min="36" max="38" width="19.54296875" bestFit="1" customWidth="1"/>
    <col min="39" max="41" width="20.54296875" bestFit="1" customWidth="1"/>
    <col min="42" max="45" width="21.6328125" bestFit="1" customWidth="1"/>
    <col min="46" max="48" width="22.6328125" bestFit="1" customWidth="1"/>
    <col min="49" max="49" width="23.6328125" bestFit="1" customWidth="1"/>
    <col min="52" max="52" width="10.36328125" bestFit="1" customWidth="1"/>
  </cols>
  <sheetData>
    <row r="1" spans="1:52" x14ac:dyDescent="0.3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c r="AZ1" s="32" t="s">
        <v>167</v>
      </c>
    </row>
    <row r="2" spans="1:52" x14ac:dyDescent="0.35">
      <c r="A2" t="s">
        <v>81</v>
      </c>
      <c r="B2">
        <v>0</v>
      </c>
      <c r="C2">
        <v>55399.768304896177</v>
      </c>
      <c r="D2">
        <v>114307.77182833827</v>
      </c>
      <c r="E2">
        <v>181896.04447797136</v>
      </c>
      <c r="F2">
        <v>252938.81296131125</v>
      </c>
      <c r="G2">
        <v>327924.55163454579</v>
      </c>
      <c r="H2">
        <v>407032.3083131485</v>
      </c>
      <c r="I2">
        <v>484254.18706349412</v>
      </c>
      <c r="J2">
        <v>565868.62084257824</v>
      </c>
      <c r="K2">
        <v>652103.30218039546</v>
      </c>
      <c r="L2">
        <v>737996.09987693874</v>
      </c>
      <c r="M2">
        <v>834414.46125671349</v>
      </c>
      <c r="N2">
        <v>934912.94791451679</v>
      </c>
      <c r="O2">
        <v>1038914.3608981323</v>
      </c>
      <c r="P2">
        <v>1147490.2792554777</v>
      </c>
      <c r="Q2">
        <v>1267553.7510345606</v>
      </c>
      <c r="R2">
        <v>1392963.2263472516</v>
      </c>
      <c r="S2">
        <v>1522876.4652008261</v>
      </c>
      <c r="T2">
        <v>1658412.6692597421</v>
      </c>
      <c r="U2">
        <v>1807016.0186745105</v>
      </c>
      <c r="V2">
        <v>1962506.4898724984</v>
      </c>
      <c r="W2">
        <v>2123155.0544931153</v>
      </c>
      <c r="X2">
        <v>2289236.3669333747</v>
      </c>
      <c r="Y2">
        <v>2472646.2561587961</v>
      </c>
      <c r="Z2">
        <v>2359306.3771783374</v>
      </c>
      <c r="AA2">
        <v>2548429.8035304192</v>
      </c>
      <c r="AB2">
        <v>2746751.6745523522</v>
      </c>
      <c r="AC2">
        <v>2952348.6855961424</v>
      </c>
      <c r="AD2">
        <v>3162887.1696822746</v>
      </c>
      <c r="AE2">
        <v>3382311.1649215231</v>
      </c>
      <c r="AF2">
        <v>3607257.8526262757</v>
      </c>
      <c r="AG2">
        <v>3840559.4817236364</v>
      </c>
      <c r="AH2">
        <v>4079675.1288765064</v>
      </c>
      <c r="AI2">
        <v>4328342.5810625656</v>
      </c>
      <c r="AJ2">
        <v>4585050.7117906064</v>
      </c>
      <c r="AK2">
        <v>4850647.5889690677</v>
      </c>
      <c r="AL2">
        <v>5140695.9907967262</v>
      </c>
      <c r="AM2">
        <v>5439570.9362695683</v>
      </c>
      <c r="AN2">
        <v>5752563.5027775494</v>
      </c>
      <c r="AO2">
        <v>6071053.1447092947</v>
      </c>
      <c r="AP2">
        <v>6404744.9500594325</v>
      </c>
      <c r="AQ2">
        <v>6745628.0150179677</v>
      </c>
      <c r="AR2">
        <v>7060443.8198132068</v>
      </c>
      <c r="AS2">
        <v>7359525.8154189307</v>
      </c>
      <c r="AT2">
        <v>7589562.0680079097</v>
      </c>
      <c r="AU2">
        <v>7821891.5708250627</v>
      </c>
      <c r="AV2">
        <v>7897163.3188742027</v>
      </c>
      <c r="AW2">
        <v>7973348.75078802</v>
      </c>
      <c r="AX2">
        <v>8050165.7375944182</v>
      </c>
      <c r="AY2">
        <v>1127058.8122220263</v>
      </c>
      <c r="AZ2">
        <v>1141211.5840800861</v>
      </c>
    </row>
    <row r="3" spans="1:52" x14ac:dyDescent="0.35">
      <c r="A3" t="s">
        <v>80</v>
      </c>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0"/>
      <c r="AV3" s="40"/>
      <c r="AW3" s="40"/>
      <c r="AX3" s="40"/>
      <c r="AY3" s="40"/>
      <c r="AZ3" s="21"/>
    </row>
    <row r="4" spans="1:52" x14ac:dyDescent="0.35">
      <c r="B4" s="21"/>
      <c r="C4" s="48" t="e">
        <f>(C2-B2)/B2</f>
        <v>#DIV/0!</v>
      </c>
      <c r="D4" s="48">
        <f t="shared" ref="D4:AZ4" si="0">(D2-C2)/C2</f>
        <v>1.0633258103037204</v>
      </c>
      <c r="E4" s="48">
        <f t="shared" si="0"/>
        <v>0.59128326594567682</v>
      </c>
      <c r="F4" s="48">
        <f t="shared" si="0"/>
        <v>0.39056796802386529</v>
      </c>
      <c r="G4" s="48">
        <f t="shared" si="0"/>
        <v>0.296458016052697</v>
      </c>
      <c r="H4" s="48">
        <f t="shared" si="0"/>
        <v>0.24123767581380745</v>
      </c>
      <c r="I4" s="48">
        <f t="shared" si="0"/>
        <v>0.18971928560259471</v>
      </c>
      <c r="J4" s="48">
        <f t="shared" si="0"/>
        <v>0.16853635127863759</v>
      </c>
      <c r="K4" s="48">
        <f t="shared" si="0"/>
        <v>0.1523934676028047</v>
      </c>
      <c r="L4" s="48">
        <f t="shared" si="0"/>
        <v>0.13171655075100694</v>
      </c>
      <c r="M4" s="48">
        <f t="shared" si="0"/>
        <v>0.13064887659413454</v>
      </c>
      <c r="N4" s="48">
        <f t="shared" si="0"/>
        <v>0.12044192823125609</v>
      </c>
      <c r="O4" s="48">
        <f t="shared" si="0"/>
        <v>0.11124181477602645</v>
      </c>
      <c r="P4" s="48">
        <f t="shared" si="0"/>
        <v>0.10450901676196146</v>
      </c>
      <c r="Q4" s="48">
        <f t="shared" si="0"/>
        <v>0.10463136285301108</v>
      </c>
      <c r="R4" s="48">
        <f t="shared" si="0"/>
        <v>9.8938191149947993E-2</v>
      </c>
      <c r="S4" s="48">
        <f t="shared" si="0"/>
        <v>9.3263940064120865E-2</v>
      </c>
      <c r="T4" s="48">
        <f t="shared" si="0"/>
        <v>8.9000130447903752E-2</v>
      </c>
      <c r="U4" s="48">
        <f t="shared" si="0"/>
        <v>8.960577314034858E-2</v>
      </c>
      <c r="V4" s="48">
        <f t="shared" si="0"/>
        <v>8.6048197465368279E-2</v>
      </c>
      <c r="W4" s="48">
        <f t="shared" si="0"/>
        <v>8.1858870505469764E-2</v>
      </c>
      <c r="X4" s="48">
        <f t="shared" si="0"/>
        <v>7.8223826417571682E-2</v>
      </c>
      <c r="Y4" s="48">
        <f t="shared" si="0"/>
        <v>8.0118371293880192E-2</v>
      </c>
      <c r="Z4" s="48">
        <f t="shared" si="0"/>
        <v>-4.5837482291757263E-2</v>
      </c>
      <c r="AA4" s="48">
        <f t="shared" si="0"/>
        <v>8.0160604905526511E-2</v>
      </c>
      <c r="AB4" s="48">
        <f t="shared" si="0"/>
        <v>7.7821202195638844E-2</v>
      </c>
      <c r="AC4" s="48">
        <f t="shared" si="0"/>
        <v>7.4850964121937646E-2</v>
      </c>
      <c r="AD4" s="48">
        <f t="shared" si="0"/>
        <v>7.1312201405376988E-2</v>
      </c>
      <c r="AE4" s="48">
        <f t="shared" si="0"/>
        <v>6.937458830100808E-2</v>
      </c>
      <c r="AF4" s="48">
        <f t="shared" si="0"/>
        <v>6.6506798675920145E-2</v>
      </c>
      <c r="AG4" s="48">
        <f t="shared" si="0"/>
        <v>6.4675617499177288E-2</v>
      </c>
      <c r="AH4" s="48">
        <f t="shared" si="0"/>
        <v>6.2260628507582773E-2</v>
      </c>
      <c r="AI4" s="48">
        <f t="shared" si="0"/>
        <v>6.09527583277297E-2</v>
      </c>
      <c r="AJ4" s="48">
        <f t="shared" si="0"/>
        <v>5.9308644341414744E-2</v>
      </c>
      <c r="AK4" s="48">
        <f t="shared" si="0"/>
        <v>5.7926704386381228E-2</v>
      </c>
      <c r="AL4" s="48">
        <f t="shared" si="0"/>
        <v>5.9795810045500331E-2</v>
      </c>
      <c r="AM4" s="48">
        <f t="shared" si="0"/>
        <v>5.8139004136387611E-2</v>
      </c>
      <c r="AN4" s="48">
        <f t="shared" si="0"/>
        <v>5.7539936545552242E-2</v>
      </c>
      <c r="AO4" s="48">
        <f t="shared" si="0"/>
        <v>5.5364819836924303E-2</v>
      </c>
      <c r="AP4" s="48">
        <f t="shared" si="0"/>
        <v>5.496440195733393E-2</v>
      </c>
      <c r="AQ4" s="48">
        <f t="shared" si="0"/>
        <v>5.322351906540352E-2</v>
      </c>
      <c r="AR4" s="48">
        <f t="shared" si="0"/>
        <v>4.666960646130449E-2</v>
      </c>
      <c r="AS4" s="48">
        <f t="shared" si="0"/>
        <v>4.2360225962910718E-2</v>
      </c>
      <c r="AT4" s="48">
        <f t="shared" si="0"/>
        <v>3.1256939422242447E-2</v>
      </c>
      <c r="AU4" s="48">
        <f t="shared" si="0"/>
        <v>3.0611713921740717E-2</v>
      </c>
      <c r="AV4" s="48">
        <f t="shared" si="0"/>
        <v>9.6232154802422323E-3</v>
      </c>
      <c r="AW4" s="48">
        <f t="shared" si="0"/>
        <v>9.6471896094302984E-3</v>
      </c>
      <c r="AX4" s="48">
        <f t="shared" si="0"/>
        <v>9.6342188467306543E-3</v>
      </c>
      <c r="AY4" s="48">
        <f t="shared" si="0"/>
        <v>-0.85999557661792703</v>
      </c>
      <c r="AZ4" s="48">
        <f t="shared" si="0"/>
        <v>1.25572611691463E-2</v>
      </c>
    </row>
    <row r="5" spans="1:52" x14ac:dyDescent="0.35">
      <c r="B5" s="21"/>
      <c r="C5" s="21"/>
      <c r="D5" s="21"/>
      <c r="E5" s="21"/>
      <c r="F5" s="21"/>
      <c r="G5" s="21"/>
      <c r="H5" s="21"/>
      <c r="I5" s="21"/>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row>
    <row r="6" spans="1:52" x14ac:dyDescent="0.35">
      <c r="B6" s="21"/>
      <c r="C6" s="21"/>
      <c r="D6" s="21"/>
      <c r="E6" s="21"/>
      <c r="F6" s="21"/>
      <c r="G6" s="21"/>
      <c r="H6" s="21"/>
      <c r="I6" s="21"/>
    </row>
    <row r="7" spans="1:52" x14ac:dyDescent="0.35">
      <c r="B7" s="21"/>
      <c r="C7" s="21"/>
      <c r="D7" s="21"/>
      <c r="E7" s="21"/>
      <c r="F7" s="21"/>
      <c r="G7" s="21"/>
      <c r="H7" s="21"/>
      <c r="I7" s="21"/>
    </row>
    <row r="8" spans="1:52" x14ac:dyDescent="0.35">
      <c r="D8" s="40"/>
      <c r="E8" s="40"/>
      <c r="F8" s="40"/>
      <c r="G8" s="40"/>
    </row>
    <row r="9" spans="1:52" x14ac:dyDescent="0.35">
      <c r="C9" s="41"/>
      <c r="D9" s="41"/>
      <c r="E9" s="41"/>
      <c r="F9" s="41"/>
      <c r="G9" s="4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8528-0F7E-42C6-90C6-302918AB96EC}">
  <dimension ref="A1:AZ3"/>
  <sheetViews>
    <sheetView workbookViewId="0">
      <selection activeCell="C2" sqref="C2"/>
    </sheetView>
  </sheetViews>
  <sheetFormatPr defaultRowHeight="14.5" x14ac:dyDescent="0.35"/>
  <sheetData>
    <row r="1" spans="1:52" x14ac:dyDescent="0.35">
      <c r="A1" s="30"/>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c r="AZ1" s="32" t="s">
        <v>167</v>
      </c>
    </row>
    <row r="2" spans="1:52" x14ac:dyDescent="0.35">
      <c r="A2" t="s">
        <v>81</v>
      </c>
      <c r="B2">
        <v>0</v>
      </c>
      <c r="C2" cm="1">
        <f t="array" ref="C2:AV2">TRANSPOSE(TableIncome[InvestmentP1])</f>
        <v>52645.200000000004</v>
      </c>
      <c r="D2">
        <v>53171.652000000002</v>
      </c>
      <c r="E2">
        <v>59020.533719999999</v>
      </c>
      <c r="F2">
        <v>59610.7390572</v>
      </c>
      <c r="G2">
        <v>60206.846447771997</v>
      </c>
      <c r="H2">
        <v>60808.914912249718</v>
      </c>
      <c r="I2">
        <v>67497.895552597183</v>
      </c>
      <c r="J2">
        <v>68172.874508123146</v>
      </c>
      <c r="K2">
        <v>68854.603253204376</v>
      </c>
      <c r="L2">
        <v>69543.149285736421</v>
      </c>
      <c r="M2">
        <v>77192.895707167438</v>
      </c>
      <c r="N2">
        <v>77964.824664239117</v>
      </c>
      <c r="O2">
        <v>78744.472910881508</v>
      </c>
      <c r="P2">
        <v>79531.917639990323</v>
      </c>
      <c r="Q2">
        <v>88280.428580389256</v>
      </c>
      <c r="R2">
        <v>89163.232866193153</v>
      </c>
      <c r="S2">
        <v>90054.865194855098</v>
      </c>
      <c r="T2">
        <v>90955.413846803654</v>
      </c>
      <c r="U2">
        <v>100960.50936995204</v>
      </c>
      <c r="V2">
        <v>101970.11446365155</v>
      </c>
      <c r="W2">
        <v>102989.81560828809</v>
      </c>
      <c r="X2">
        <v>104019.71376437096</v>
      </c>
      <c r="Y2">
        <v>115461.88227845177</v>
      </c>
      <c r="Z2">
        <v>116616.50110123628</v>
      </c>
      <c r="AA2">
        <v>117782.66611224865</v>
      </c>
      <c r="AB2">
        <v>118960.49277337115</v>
      </c>
      <c r="AC2">
        <v>120150.09770110488</v>
      </c>
      <c r="AD2">
        <v>121351.5986781159</v>
      </c>
      <c r="AE2">
        <v>122565.11466489708</v>
      </c>
      <c r="AF2">
        <v>123790.76581154604</v>
      </c>
      <c r="AG2">
        <v>125028.6734696615</v>
      </c>
      <c r="AH2">
        <v>126278.96020435813</v>
      </c>
      <c r="AI2">
        <v>127541.7498064017</v>
      </c>
      <c r="AJ2">
        <v>128817.16730446572</v>
      </c>
      <c r="AK2">
        <v>130105.33897751037</v>
      </c>
      <c r="AL2">
        <v>144416.92626503651</v>
      </c>
      <c r="AM2">
        <v>145861.09552768685</v>
      </c>
      <c r="AN2">
        <v>147319.70648296372</v>
      </c>
      <c r="AO2">
        <v>148792.90354779336</v>
      </c>
      <c r="AP2">
        <v>150280.83258327132</v>
      </c>
      <c r="AQ2">
        <v>151783.64090910403</v>
      </c>
      <c r="AR2">
        <v>153301.47731819507</v>
      </c>
      <c r="AS2">
        <v>154834.49209137703</v>
      </c>
      <c r="AT2">
        <v>156382.83701229081</v>
      </c>
      <c r="AU2">
        <v>157946.66538241372</v>
      </c>
      <c r="AV2">
        <v>0</v>
      </c>
      <c r="AW2">
        <v>0</v>
      </c>
      <c r="AX2">
        <v>0</v>
      </c>
      <c r="AY2">
        <v>0</v>
      </c>
      <c r="AZ2">
        <v>0</v>
      </c>
    </row>
    <row r="3" spans="1:52" x14ac:dyDescent="0.35">
      <c r="A3" t="s">
        <v>80</v>
      </c>
      <c r="B3">
        <v>200000</v>
      </c>
      <c r="C3" cm="1">
        <f t="array" ref="C3:AV3">TRANSPOSE(TableIncome[InvestmentP2])</f>
        <v>76801.2</v>
      </c>
      <c r="D3">
        <v>77569.212</v>
      </c>
      <c r="E3">
        <v>78344.904120000007</v>
      </c>
      <c r="F3">
        <v>86962.843573200007</v>
      </c>
      <c r="G3">
        <v>87832.472008932018</v>
      </c>
      <c r="H3">
        <v>88710.796729021313</v>
      </c>
      <c r="I3">
        <v>89597.90469631154</v>
      </c>
      <c r="J3">
        <v>99453.674212905811</v>
      </c>
      <c r="K3">
        <v>100448.21095503487</v>
      </c>
      <c r="L3">
        <v>101452.69306458521</v>
      </c>
      <c r="M3">
        <v>102467.21999523108</v>
      </c>
      <c r="N3">
        <v>103491.89219518339</v>
      </c>
      <c r="O3">
        <v>104526.81111713522</v>
      </c>
      <c r="P3">
        <v>105572.07922830657</v>
      </c>
      <c r="Q3">
        <v>106627.80002058964</v>
      </c>
      <c r="R3">
        <v>107694.07802079554</v>
      </c>
      <c r="S3">
        <v>108771.01880100352</v>
      </c>
      <c r="T3">
        <v>109858.72898901354</v>
      </c>
      <c r="U3">
        <v>110957.31627890366</v>
      </c>
      <c r="V3">
        <v>112066.88944169272</v>
      </c>
      <c r="W3">
        <v>124394.2472802789</v>
      </c>
      <c r="X3">
        <v>125638.18975308171</v>
      </c>
      <c r="Y3">
        <v>126894.5716506125</v>
      </c>
      <c r="Z3">
        <v>128163.51736711862</v>
      </c>
      <c r="AA3">
        <v>129445.15254078983</v>
      </c>
      <c r="AB3">
        <v>130739.60406619772</v>
      </c>
      <c r="AC3">
        <v>132047.00010685969</v>
      </c>
      <c r="AD3">
        <v>133367.4701079283</v>
      </c>
      <c r="AE3">
        <v>134701.14480900762</v>
      </c>
      <c r="AF3">
        <v>136048.15625709767</v>
      </c>
      <c r="AG3">
        <v>0</v>
      </c>
      <c r="AH3">
        <v>0</v>
      </c>
      <c r="AI3">
        <v>0</v>
      </c>
      <c r="AJ3">
        <v>0</v>
      </c>
      <c r="AK3">
        <v>0</v>
      </c>
      <c r="AL3">
        <v>0</v>
      </c>
      <c r="AM3">
        <v>0</v>
      </c>
      <c r="AN3">
        <v>0</v>
      </c>
      <c r="AO3">
        <v>0</v>
      </c>
      <c r="AP3">
        <v>0</v>
      </c>
      <c r="AQ3">
        <v>0</v>
      </c>
      <c r="AR3">
        <v>0</v>
      </c>
      <c r="AS3">
        <v>0</v>
      </c>
      <c r="AT3">
        <v>0</v>
      </c>
      <c r="AU3">
        <v>0</v>
      </c>
      <c r="AV3">
        <v>0</v>
      </c>
      <c r="AW3">
        <v>0</v>
      </c>
      <c r="AX3">
        <v>0</v>
      </c>
      <c r="AY3">
        <v>0</v>
      </c>
      <c r="AZ3">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88ADD-DD1E-4AF8-A566-64852FAB7E7C}">
  <dimension ref="A1:AZ3"/>
  <sheetViews>
    <sheetView workbookViewId="0">
      <selection activeCell="L5" sqref="L5"/>
    </sheetView>
  </sheetViews>
  <sheetFormatPr defaultRowHeight="14.5" x14ac:dyDescent="0.35"/>
  <cols>
    <col min="2" max="2" width="10.54296875" bestFit="1" customWidth="1"/>
    <col min="3" max="12" width="11.26953125" bestFit="1" customWidth="1"/>
    <col min="13" max="13" width="13.26953125" bestFit="1" customWidth="1"/>
    <col min="14" max="15" width="12.7265625" bestFit="1" customWidth="1"/>
    <col min="16" max="51" width="12.81640625" bestFit="1" customWidth="1"/>
    <col min="52" max="52" width="13.26953125" bestFit="1" customWidth="1"/>
  </cols>
  <sheetData>
    <row r="1" spans="1:52" x14ac:dyDescent="0.3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c r="AZ1" s="31" t="s">
        <v>167</v>
      </c>
    </row>
    <row r="2" spans="1:52" x14ac:dyDescent="0.35">
      <c r="A2" t="s">
        <v>81</v>
      </c>
      <c r="B2" s="21">
        <f>SUMIF(TableIncome[Year], "&lt;=" &amp; B1, TableIncome[InvestmentP1])</f>
        <v>52645.200000000004</v>
      </c>
      <c r="C2" s="21">
        <f>SUMIF(TableIncome[Year], "&lt;=" &amp; C1, TableIncome[InvestmentP1])</f>
        <v>105816.85200000001</v>
      </c>
      <c r="D2" s="21">
        <f>SUMIF(TableIncome[Year], "&lt;=" &amp; D1, TableIncome[InvestmentP1])</f>
        <v>164837.38572000002</v>
      </c>
      <c r="E2" s="21">
        <f>SUMIF(TableIncome[Year], "&lt;=" &amp; E1, TableIncome[InvestmentP1])</f>
        <v>224448.12477720002</v>
      </c>
      <c r="F2" s="21">
        <f>SUMIF(TableIncome[Year], "&lt;=" &amp; F1, TableIncome[InvestmentP1])</f>
        <v>284654.97122497205</v>
      </c>
      <c r="G2" s="21">
        <f>SUMIF(TableIncome[Year], "&lt;=" &amp; G1, TableIncome[InvestmentP1])</f>
        <v>345463.88613722177</v>
      </c>
      <c r="H2" s="21">
        <f>SUMIF(TableIncome[Year], "&lt;=" &amp; H1, TableIncome[InvestmentP1])</f>
        <v>412961.78168981895</v>
      </c>
      <c r="I2" s="21">
        <f>SUMIF(TableIncome[Year], "&lt;=" &amp; I1, TableIncome[InvestmentP1])</f>
        <v>481134.65619794209</v>
      </c>
      <c r="J2" s="21">
        <f>SUMIF(TableIncome[Year], "&lt;=" &amp; J1, TableIncome[InvestmentP1])</f>
        <v>549989.25945114647</v>
      </c>
      <c r="K2" s="21">
        <f>SUMIF(TableIncome[Year], "&lt;=" &amp; K1, TableIncome[InvestmentP1])</f>
        <v>619532.40873688285</v>
      </c>
      <c r="L2" s="21">
        <f>SUMIF(TableIncome[Year], "&lt;=" &amp; L1, TableIncome[InvestmentP1])</f>
        <v>696725.3044440503</v>
      </c>
      <c r="M2" s="21">
        <f>SUMIF(TableIncome[Year], "&lt;=" &amp; M1, TableIncome[InvestmentP1])</f>
        <v>774690.12910828937</v>
      </c>
      <c r="N2" s="21">
        <f>SUMIF(TableIncome[Year], "&lt;=" &amp; N1, TableIncome[InvestmentP1])</f>
        <v>853434.60201917088</v>
      </c>
      <c r="O2" s="21">
        <f>SUMIF(TableIncome[Year], "&lt;=" &amp; O1, TableIncome[InvestmentP1])</f>
        <v>932966.51965916122</v>
      </c>
      <c r="P2" s="21">
        <f>SUMIF(TableIncome[Year], "&lt;=" &amp; P1, TableIncome[InvestmentP1])</f>
        <v>1021246.9482395505</v>
      </c>
      <c r="Q2" s="21">
        <f>SUMIF(TableIncome[Year], "&lt;=" &amp; Q1, TableIncome[InvestmentP1])</f>
        <v>1110410.1811057436</v>
      </c>
      <c r="R2" s="21">
        <f>SUMIF(TableIncome[Year], "&lt;=" &amp; R1, TableIncome[InvestmentP1])</f>
        <v>1200465.0463005987</v>
      </c>
      <c r="S2" s="21">
        <f>SUMIF(TableIncome[Year], "&lt;=" &amp; S1, TableIncome[InvestmentP1])</f>
        <v>1291420.4601474022</v>
      </c>
      <c r="T2" s="21">
        <f>SUMIF(TableIncome[Year], "&lt;=" &amp; T1, TableIncome[InvestmentP1])</f>
        <v>1392380.9695173544</v>
      </c>
      <c r="U2" s="21">
        <f>SUMIF(TableIncome[Year], "&lt;=" &amp; U1, TableIncome[InvestmentP1])</f>
        <v>1494351.0839810059</v>
      </c>
      <c r="V2" s="21">
        <f>SUMIF(TableIncome[Year], "&lt;=" &amp; V1, TableIncome[InvestmentP1])</f>
        <v>1597340.8995892941</v>
      </c>
      <c r="W2" s="21">
        <f>SUMIF(TableIncome[Year], "&lt;=" &amp; W1, TableIncome[InvestmentP1])</f>
        <v>1701360.613353665</v>
      </c>
      <c r="X2" s="21">
        <f>SUMIF(TableIncome[Year], "&lt;=" &amp; X1, TableIncome[InvestmentP1])</f>
        <v>1816822.4956321167</v>
      </c>
      <c r="Y2" s="21">
        <f>SUMIF(TableIncome[Year], "&lt;=" &amp; Y1, TableIncome[InvestmentP1])</f>
        <v>1933438.996733353</v>
      </c>
      <c r="Z2" s="21">
        <f>SUMIF(TableIncome[Year], "&lt;=" &amp; Z1, TableIncome[InvestmentP1])</f>
        <v>2051221.6628456016</v>
      </c>
      <c r="AA2" s="21">
        <f>SUMIF(TableIncome[Year], "&lt;=" &amp; AA1, TableIncome[InvestmentP1])</f>
        <v>2170182.1556189726</v>
      </c>
      <c r="AB2" s="21">
        <f>SUMIF(TableIncome[Year], "&lt;=" &amp; AB1, TableIncome[InvestmentP1])</f>
        <v>2290332.2533200774</v>
      </c>
      <c r="AC2" s="21">
        <f>SUMIF(TableIncome[Year], "&lt;=" &amp; AC1, TableIncome[InvestmentP1])</f>
        <v>2411683.8519981932</v>
      </c>
      <c r="AD2" s="21">
        <f>SUMIF(TableIncome[Year], "&lt;=" &amp; AD1, TableIncome[InvestmentP1])</f>
        <v>2534248.96666309</v>
      </c>
      <c r="AE2" s="21">
        <f>SUMIF(TableIncome[Year], "&lt;=" &amp; AE1, TableIncome[InvestmentP1])</f>
        <v>2658039.7324746363</v>
      </c>
      <c r="AF2" s="21">
        <f>SUMIF(TableIncome[Year], "&lt;=" &amp; AF1, TableIncome[InvestmentP1])</f>
        <v>2783068.405944298</v>
      </c>
      <c r="AG2" s="21">
        <f>SUMIF(TableIncome[Year], "&lt;=" &amp; AG1, TableIncome[InvestmentP1])</f>
        <v>2909347.3661486562</v>
      </c>
      <c r="AH2" s="21">
        <f>SUMIF(TableIncome[Year], "&lt;=" &amp; AH1, TableIncome[InvestmentP1])</f>
        <v>3036889.115955058</v>
      </c>
      <c r="AI2" s="21">
        <f>SUMIF(TableIncome[Year], "&lt;=" &amp; AI1, TableIncome[InvestmentP1])</f>
        <v>3165706.2832595236</v>
      </c>
      <c r="AJ2" s="21">
        <f>SUMIF(TableIncome[Year], "&lt;=" &amp; AJ1, TableIncome[InvestmentP1])</f>
        <v>3295811.6222370341</v>
      </c>
      <c r="AK2" s="21">
        <f>SUMIF(TableIncome[Year], "&lt;=" &amp; AK1, TableIncome[InvestmentP1])</f>
        <v>3440228.5485020708</v>
      </c>
      <c r="AL2" s="21">
        <f>SUMIF(TableIncome[Year], "&lt;=" &amp; AL1, TableIncome[InvestmentP1])</f>
        <v>3586089.6440297575</v>
      </c>
      <c r="AM2" s="21">
        <f>SUMIF(TableIncome[Year], "&lt;=" &amp; AM1, TableIncome[InvestmentP1])</f>
        <v>3733409.3505127211</v>
      </c>
      <c r="AN2" s="21">
        <f>SUMIF(TableIncome[Year], "&lt;=" &amp; AN1, TableIncome[InvestmentP1])</f>
        <v>3882202.2540605143</v>
      </c>
      <c r="AO2" s="21">
        <f>SUMIF(TableIncome[Year], "&lt;=" &amp; AO1, TableIncome[InvestmentP1])</f>
        <v>4032483.0866437857</v>
      </c>
      <c r="AP2" s="21">
        <f>SUMIF(TableIncome[Year], "&lt;=" &amp; AP1, TableIncome[InvestmentP1])</f>
        <v>4184266.7275528898</v>
      </c>
      <c r="AQ2" s="21">
        <f>SUMIF(TableIncome[Year], "&lt;=" &amp; AQ1, TableIncome[InvestmentP1])</f>
        <v>4337568.2048710845</v>
      </c>
      <c r="AR2" s="21">
        <f>SUMIF(TableIncome[Year], "&lt;=" &amp; AR1, TableIncome[InvestmentP1])</f>
        <v>4492402.6969624618</v>
      </c>
      <c r="AS2" s="21">
        <f>SUMIF(TableIncome[Year], "&lt;=" &amp; AS1, TableIncome[InvestmentP1])</f>
        <v>4648785.5339747528</v>
      </c>
      <c r="AT2" s="21">
        <f>SUMIF(TableIncome[Year], "&lt;=" &amp; AT1, TableIncome[InvestmentP1])</f>
        <v>4806732.1993571669</v>
      </c>
      <c r="AU2" s="21">
        <f>SUMIF(TableIncome[Year], "&lt;=" &amp; AU1, TableIncome[InvestmentP1])</f>
        <v>4806732.1993571669</v>
      </c>
      <c r="AV2" s="21">
        <f>SUMIF(TableIncome[Year], "&lt;=" &amp; AV1, TableIncome[InvestmentP1])</f>
        <v>4806732.1993571669</v>
      </c>
      <c r="AW2" s="21">
        <f>SUMIF(TableIncome[Year], "&lt;=" &amp; AW1, TableIncome[InvestmentP1])</f>
        <v>4806732.1993571669</v>
      </c>
      <c r="AX2" s="21">
        <f>SUMIF(TableIncome[Year], "&lt;=" &amp; AX1, TableIncome[InvestmentP1])</f>
        <v>4806732.1993571669</v>
      </c>
      <c r="AY2" s="21">
        <f>SUMIF(TableIncome[Year], "&lt;=" &amp; AY1, TableIncome[InvestmentP1])</f>
        <v>4806732.1993571669</v>
      </c>
      <c r="AZ2" s="21">
        <f>SUMIF(TableIncome[Year], "&lt;=" &amp; AZ1, TableIncome[InvestmentP1])</f>
        <v>4806732.1993571669</v>
      </c>
    </row>
    <row r="3" spans="1:52" x14ac:dyDescent="0.35">
      <c r="A3" t="s">
        <v>80</v>
      </c>
      <c r="B3" s="21">
        <f>SUMIF(TableIncome[Year], "&lt;=" &amp; B1, TableIncome[InvestmentP2])</f>
        <v>76801.2</v>
      </c>
      <c r="C3" s="21">
        <f>SUMIF(TableIncome[Year], "&lt;=" &amp; C1, TableIncome[InvestmentP2])</f>
        <v>154370.41200000001</v>
      </c>
      <c r="D3" s="21">
        <f>SUMIF(TableIncome[Year], "&lt;=" &amp; D1, TableIncome[InvestmentP2])</f>
        <v>232715.31612000003</v>
      </c>
      <c r="E3" s="21">
        <f>SUMIF(TableIncome[Year], "&lt;=" &amp; E1, TableIncome[InvestmentP2])</f>
        <v>319678.15969320002</v>
      </c>
      <c r="F3" s="21">
        <f>SUMIF(TableIncome[Year], "&lt;=" &amp; F1, TableIncome[InvestmentP2])</f>
        <v>407510.63170213206</v>
      </c>
      <c r="G3" s="21">
        <f>SUMIF(TableIncome[Year], "&lt;=" &amp; G1, TableIncome[InvestmentP2])</f>
        <v>496221.42843115336</v>
      </c>
      <c r="H3" s="21">
        <f>SUMIF(TableIncome[Year], "&lt;=" &amp; H1, TableIncome[InvestmentP2])</f>
        <v>585819.33312746487</v>
      </c>
      <c r="I3" s="21">
        <f>SUMIF(TableIncome[Year], "&lt;=" &amp; I1, TableIncome[InvestmentP2])</f>
        <v>685273.00734037068</v>
      </c>
      <c r="J3" s="21">
        <f>SUMIF(TableIncome[Year], "&lt;=" &amp; J1, TableIncome[InvestmentP2])</f>
        <v>785721.2182954055</v>
      </c>
      <c r="K3" s="21">
        <f>SUMIF(TableIncome[Year], "&lt;=" &amp; K1, TableIncome[InvestmentP2])</f>
        <v>887173.91135999071</v>
      </c>
      <c r="L3" s="21">
        <f>SUMIF(TableIncome[Year], "&lt;=" &amp; L1, TableIncome[InvestmentP2])</f>
        <v>989641.13135522185</v>
      </c>
      <c r="M3" s="21">
        <f>SUMIF(TableIncome[Year], "&lt;=" &amp; M1, TableIncome[InvestmentP2])</f>
        <v>1093133.0235504052</v>
      </c>
      <c r="N3" s="21">
        <f>SUMIF(TableIncome[Year], "&lt;=" &amp; N1, TableIncome[InvestmentP2])</f>
        <v>1197659.8346675404</v>
      </c>
      <c r="O3" s="21">
        <f>SUMIF(TableIncome[Year], "&lt;=" &amp; O1, TableIncome[InvestmentP2])</f>
        <v>1303231.913895847</v>
      </c>
      <c r="P3" s="21">
        <f>SUMIF(TableIncome[Year], "&lt;=" &amp; P1, TableIncome[InvestmentP2])</f>
        <v>1409859.7139164368</v>
      </c>
      <c r="Q3" s="21">
        <f>SUMIF(TableIncome[Year], "&lt;=" &amp; Q1, TableIncome[InvestmentP2])</f>
        <v>1517553.7919372323</v>
      </c>
      <c r="R3" s="21">
        <f>SUMIF(TableIncome[Year], "&lt;=" &amp; R1, TableIncome[InvestmentP2])</f>
        <v>1626324.8107382357</v>
      </c>
      <c r="S3" s="21">
        <f>SUMIF(TableIncome[Year], "&lt;=" &amp; S1, TableIncome[InvestmentP2])</f>
        <v>1736183.5397272492</v>
      </c>
      <c r="T3" s="21">
        <f>SUMIF(TableIncome[Year], "&lt;=" &amp; T1, TableIncome[InvestmentP2])</f>
        <v>1847140.8560061529</v>
      </c>
      <c r="U3" s="21">
        <f>SUMIF(TableIncome[Year], "&lt;=" &amp; U1, TableIncome[InvestmentP2])</f>
        <v>1959207.7454478457</v>
      </c>
      <c r="V3" s="21">
        <f>SUMIF(TableIncome[Year], "&lt;=" &amp; V1, TableIncome[InvestmentP2])</f>
        <v>2083601.9927281246</v>
      </c>
      <c r="W3" s="21">
        <f>SUMIF(TableIncome[Year], "&lt;=" &amp; W1, TableIncome[InvestmentP2])</f>
        <v>2209240.1824812065</v>
      </c>
      <c r="X3" s="21">
        <f>SUMIF(TableIncome[Year], "&lt;=" &amp; X1, TableIncome[InvestmentP2])</f>
        <v>2336134.7541318191</v>
      </c>
      <c r="Y3" s="21">
        <f>SUMIF(TableIncome[Year], "&lt;=" &amp; Y1, TableIncome[InvestmentP2])</f>
        <v>2464298.2714989376</v>
      </c>
      <c r="Z3" s="21">
        <f>SUMIF(TableIncome[Year], "&lt;=" &amp; Z1, TableIncome[InvestmentP2])</f>
        <v>2593743.4240397275</v>
      </c>
      <c r="AA3" s="21">
        <f>SUMIF(TableIncome[Year], "&lt;=" &amp; AA1, TableIncome[InvestmentP2])</f>
        <v>2724483.0281059253</v>
      </c>
      <c r="AB3" s="21">
        <f>SUMIF(TableIncome[Year], "&lt;=" &amp; AB1, TableIncome[InvestmentP2])</f>
        <v>2856530.0282127848</v>
      </c>
      <c r="AC3" s="21">
        <f>SUMIF(TableIncome[Year], "&lt;=" &amp; AC1, TableIncome[InvestmentP2])</f>
        <v>2989897.4983207132</v>
      </c>
      <c r="AD3" s="21">
        <f>SUMIF(TableIncome[Year], "&lt;=" &amp; AD1, TableIncome[InvestmentP2])</f>
        <v>3124598.6431297208</v>
      </c>
      <c r="AE3" s="21">
        <f>SUMIF(TableIncome[Year], "&lt;=" &amp; AE1, TableIncome[InvestmentP2])</f>
        <v>3260646.7993868184</v>
      </c>
      <c r="AF3" s="21">
        <f>SUMIF(TableIncome[Year], "&lt;=" &amp; AF1, TableIncome[InvestmentP2])</f>
        <v>3260646.7993868184</v>
      </c>
      <c r="AG3" s="21">
        <f>SUMIF(TableIncome[Year], "&lt;=" &amp; AG1, TableIncome[InvestmentP2])</f>
        <v>3260646.7993868184</v>
      </c>
      <c r="AH3" s="21">
        <f>SUMIF(TableIncome[Year], "&lt;=" &amp; AH1, TableIncome[InvestmentP2])</f>
        <v>3260646.7993868184</v>
      </c>
      <c r="AI3" s="21">
        <f>SUMIF(TableIncome[Year], "&lt;=" &amp; AI1, TableIncome[InvestmentP2])</f>
        <v>3260646.7993868184</v>
      </c>
      <c r="AJ3" s="21">
        <f>SUMIF(TableIncome[Year], "&lt;=" &amp; AJ1, TableIncome[InvestmentP2])</f>
        <v>3260646.7993868184</v>
      </c>
      <c r="AK3" s="21">
        <f>SUMIF(TableIncome[Year], "&lt;=" &amp; AK1, TableIncome[InvestmentP2])</f>
        <v>3260646.7993868184</v>
      </c>
      <c r="AL3" s="21">
        <f>SUMIF(TableIncome[Year], "&lt;=" &amp; AL1, TableIncome[InvestmentP2])</f>
        <v>3260646.7993868184</v>
      </c>
      <c r="AM3" s="21">
        <f>SUMIF(TableIncome[Year], "&lt;=" &amp; AM1, TableIncome[InvestmentP2])</f>
        <v>3260646.7993868184</v>
      </c>
      <c r="AN3" s="21">
        <f>SUMIF(TableIncome[Year], "&lt;=" &amp; AN1, TableIncome[InvestmentP2])</f>
        <v>3260646.7993868184</v>
      </c>
      <c r="AO3" s="21">
        <f>SUMIF(TableIncome[Year], "&lt;=" &amp; AO1, TableIncome[InvestmentP2])</f>
        <v>3260646.7993868184</v>
      </c>
      <c r="AP3" s="21">
        <f>SUMIF(TableIncome[Year], "&lt;=" &amp; AP1, TableIncome[InvestmentP2])</f>
        <v>3260646.7993868184</v>
      </c>
      <c r="AQ3" s="21">
        <f>SUMIF(TableIncome[Year], "&lt;=" &amp; AQ1, TableIncome[InvestmentP2])</f>
        <v>3260646.7993868184</v>
      </c>
      <c r="AR3" s="21">
        <f>SUMIF(TableIncome[Year], "&lt;=" &amp; AR1, TableIncome[InvestmentP2])</f>
        <v>3260646.7993868184</v>
      </c>
      <c r="AS3" s="21">
        <f>SUMIF(TableIncome[Year], "&lt;=" &amp; AS1, TableIncome[InvestmentP2])</f>
        <v>3260646.7993868184</v>
      </c>
      <c r="AT3" s="21">
        <f>SUMIF(TableIncome[Year], "&lt;=" &amp; AT1, TableIncome[InvestmentP2])</f>
        <v>3260646.7993868184</v>
      </c>
      <c r="AU3" s="21">
        <f>SUMIF(TableIncome[Year], "&lt;=" &amp; AU1, TableIncome[InvestmentP2])</f>
        <v>3260646.7993868184</v>
      </c>
      <c r="AV3" s="21">
        <f>SUMIF(TableIncome[Year], "&lt;=" &amp; AV1, TableIncome[InvestmentP2])</f>
        <v>3260646.7993868184</v>
      </c>
      <c r="AW3" s="21">
        <f>SUMIF(TableIncome[Year], "&lt;=" &amp; AW1, TableIncome[InvestmentP2])</f>
        <v>3260646.7993868184</v>
      </c>
      <c r="AX3" s="21">
        <f>SUMIF(TableIncome[Year], "&lt;=" &amp; AX1, TableIncome[InvestmentP2])</f>
        <v>3260646.7993868184</v>
      </c>
      <c r="AY3" s="21">
        <f>SUMIF(TableIncome[Year], "&lt;=" &amp; AY1, TableIncome[InvestmentP2])</f>
        <v>3260646.7993868184</v>
      </c>
      <c r="AZ3" s="21">
        <f>SUMIF(TableIncome[Year], "&lt;=" &amp; AZ1, TableIncome[InvestmentP2])</f>
        <v>3260646.7993868184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6B74A-2ABA-4A7C-A82B-67864F0DEA98}">
  <dimension ref="A1:AZ9"/>
  <sheetViews>
    <sheetView zoomScale="92" workbookViewId="0">
      <selection activeCell="G22" sqref="G22"/>
    </sheetView>
  </sheetViews>
  <sheetFormatPr defaultRowHeight="14.5" x14ac:dyDescent="0.35"/>
  <cols>
    <col min="1" max="1" width="32.6328125" bestFit="1" customWidth="1"/>
    <col min="3" max="3" width="8.81640625" bestFit="1" customWidth="1"/>
  </cols>
  <sheetData>
    <row r="1" spans="1:52" x14ac:dyDescent="0.3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c r="AZ1" s="32" t="s">
        <v>167</v>
      </c>
    </row>
    <row r="2" spans="1:52" x14ac:dyDescent="0.35">
      <c r="A2" t="s">
        <v>106</v>
      </c>
      <c r="B2" s="28">
        <v>9.4499999999999987E-2</v>
      </c>
      <c r="C2" s="28">
        <v>0.98030000000000006</v>
      </c>
      <c r="D2" s="28">
        <v>0.99219999999999997</v>
      </c>
      <c r="E2" s="28">
        <v>0.99319999999999997</v>
      </c>
      <c r="F2" s="28">
        <v>0.99319999999999997</v>
      </c>
      <c r="G2" s="28">
        <v>0.99150000000000005</v>
      </c>
      <c r="H2" s="28">
        <v>0.99049999999999994</v>
      </c>
      <c r="I2" s="28">
        <v>0.3382</v>
      </c>
      <c r="J2" s="28">
        <v>0.43259999999999998</v>
      </c>
      <c r="K2" s="28">
        <v>0.50719999999999998</v>
      </c>
      <c r="L2" s="28">
        <v>0.56569999999999998</v>
      </c>
      <c r="M2" s="28">
        <v>0.61</v>
      </c>
      <c r="N2" s="28">
        <v>0.66290000000000004</v>
      </c>
      <c r="O2" s="28">
        <v>0.66949999999999998</v>
      </c>
      <c r="P2" s="28">
        <v>0.72120000000000006</v>
      </c>
      <c r="Q2" s="28">
        <v>0.71019999999999994</v>
      </c>
      <c r="R2" s="28">
        <v>0.75309999999999999</v>
      </c>
      <c r="S2" s="28">
        <v>0.76329999999999998</v>
      </c>
      <c r="T2" s="28">
        <v>0.8</v>
      </c>
      <c r="U2" s="28">
        <v>0.77239999999999998</v>
      </c>
      <c r="V2" s="28">
        <v>0.81819999999999993</v>
      </c>
      <c r="W2" s="28">
        <v>0.81159999999999999</v>
      </c>
      <c r="X2" s="28">
        <v>0.82480000000000009</v>
      </c>
      <c r="Y2" s="28">
        <v>0.86870000000000003</v>
      </c>
      <c r="Z2" s="28">
        <v>0.8044</v>
      </c>
      <c r="AA2" s="28">
        <v>0.88840000000000008</v>
      </c>
      <c r="AB2" s="28">
        <v>0.9556</v>
      </c>
      <c r="AC2" s="28">
        <v>0.25670000000000004</v>
      </c>
      <c r="AD2" s="28">
        <v>0.2404</v>
      </c>
      <c r="AE2" s="28">
        <v>0.25619999999999998</v>
      </c>
      <c r="AF2" s="28">
        <v>0.23370000000000002</v>
      </c>
      <c r="AG2" s="28">
        <v>0.24739999999999998</v>
      </c>
      <c r="AH2" s="28">
        <v>0.23980000000000001</v>
      </c>
      <c r="AI2" s="28">
        <v>0.24510000000000001</v>
      </c>
      <c r="AJ2" s="28">
        <v>0.23780000000000001</v>
      </c>
      <c r="AK2" s="28">
        <v>0.2394</v>
      </c>
      <c r="AL2" s="28">
        <v>0.2465</v>
      </c>
      <c r="AM2" s="28">
        <v>0.24210000000000001</v>
      </c>
      <c r="AN2" s="28">
        <v>0.25</v>
      </c>
      <c r="AO2" s="28">
        <v>0.23350000000000001</v>
      </c>
      <c r="AP2" s="28">
        <v>0.2465</v>
      </c>
      <c r="AQ2" s="28">
        <v>0.23899999999999999</v>
      </c>
      <c r="AR2" s="28">
        <v>0.19170000000000001</v>
      </c>
      <c r="AS2" s="28">
        <v>0.16670000000000001</v>
      </c>
      <c r="AT2" s="28">
        <v>5.5000000000000005E-3</v>
      </c>
      <c r="AU2" s="28">
        <v>0</v>
      </c>
      <c r="AV2" s="28">
        <v>1.2999999999999999E-3</v>
      </c>
      <c r="AW2" s="28">
        <v>2.5999999999999999E-3</v>
      </c>
      <c r="AX2" s="28">
        <v>2.5999999999999999E-3</v>
      </c>
      <c r="AY2" s="28">
        <v>0</v>
      </c>
      <c r="AZ2" s="28">
        <v>2.5399999999999999E-2</v>
      </c>
    </row>
    <row r="3" spans="1:52" x14ac:dyDescent="0.35">
      <c r="A3" t="s">
        <v>107</v>
      </c>
      <c r="B3" s="28">
        <v>0.10710000000000001</v>
      </c>
      <c r="C3" s="28">
        <v>2.2000000000000001E-3</v>
      </c>
      <c r="D3" s="28">
        <v>7.000000000000001E-4</v>
      </c>
      <c r="E3" s="28">
        <v>1.2999999999999999E-3</v>
      </c>
      <c r="F3" s="28">
        <v>1.7000000000000001E-3</v>
      </c>
      <c r="G3" s="28">
        <v>2.5000000000000001E-3</v>
      </c>
      <c r="H3" s="28">
        <v>2.0999999999999999E-3</v>
      </c>
      <c r="I3" s="28">
        <v>1.2999999999999999E-3</v>
      </c>
      <c r="J3" s="28">
        <v>1.8E-3</v>
      </c>
      <c r="K3" s="28">
        <v>2.5999999999999999E-3</v>
      </c>
      <c r="L3" s="28">
        <v>0</v>
      </c>
      <c r="M3" s="28">
        <v>0</v>
      </c>
      <c r="N3" s="28">
        <v>2.0000000000000001E-4</v>
      </c>
      <c r="O3" s="28">
        <v>3.7000000000000002E-3</v>
      </c>
      <c r="P3" s="28">
        <v>1.9E-3</v>
      </c>
      <c r="Q3" s="28">
        <v>5.9999999999999995E-4</v>
      </c>
      <c r="R3" s="28">
        <v>4.7999999999999996E-3</v>
      </c>
      <c r="S3" s="28">
        <v>1.7000000000000001E-3</v>
      </c>
      <c r="T3" s="28">
        <v>0</v>
      </c>
      <c r="U3" s="28">
        <v>8.9999999999999998E-4</v>
      </c>
      <c r="V3" s="28">
        <v>0</v>
      </c>
      <c r="W3" s="28">
        <v>1.4000000000000002E-3</v>
      </c>
      <c r="X3" s="28">
        <v>3.4999999999999996E-3</v>
      </c>
      <c r="Y3" s="28">
        <v>0</v>
      </c>
      <c r="Z3" s="28">
        <v>6.4000000000000003E-3</v>
      </c>
      <c r="AA3" s="28">
        <v>2.3999999999999998E-3</v>
      </c>
      <c r="AB3" s="28">
        <v>5.4000000000000003E-3</v>
      </c>
      <c r="AC3" s="28">
        <v>0.71849999999999992</v>
      </c>
      <c r="AD3" s="28">
        <v>0.69640000000000002</v>
      </c>
      <c r="AE3" s="28">
        <v>0.71550000000000002</v>
      </c>
      <c r="AF3" s="28">
        <v>0.70530000000000004</v>
      </c>
      <c r="AG3" s="28">
        <v>0.70450000000000002</v>
      </c>
      <c r="AH3" s="28">
        <v>0.68</v>
      </c>
      <c r="AI3" s="28">
        <v>0.6956</v>
      </c>
      <c r="AJ3" s="28">
        <v>0.69599999999999995</v>
      </c>
      <c r="AK3" s="28">
        <v>0.69430000000000003</v>
      </c>
      <c r="AL3" s="28">
        <v>0.70920000000000005</v>
      </c>
      <c r="AM3" s="28">
        <v>0.69629999999999992</v>
      </c>
      <c r="AN3" s="28">
        <v>0.72489999999999999</v>
      </c>
      <c r="AO3" s="28">
        <v>0.68</v>
      </c>
      <c r="AP3" s="28">
        <v>0.70140000000000002</v>
      </c>
      <c r="AQ3" s="28">
        <v>0.65969999999999995</v>
      </c>
      <c r="AR3" s="28">
        <v>0.36829999999999996</v>
      </c>
      <c r="AS3" s="28">
        <v>0.21160000000000001</v>
      </c>
      <c r="AT3" s="28">
        <v>2.0000000000000001E-4</v>
      </c>
      <c r="AU3" s="28">
        <v>0</v>
      </c>
      <c r="AV3" s="28">
        <v>0</v>
      </c>
      <c r="AW3" s="28">
        <v>0</v>
      </c>
      <c r="AX3" s="28">
        <v>0</v>
      </c>
      <c r="AY3" s="28">
        <v>0</v>
      </c>
      <c r="AZ3" s="28">
        <v>5.8499999999999996E-2</v>
      </c>
    </row>
    <row r="4" spans="1:52" x14ac:dyDescent="0.35">
      <c r="A4" t="s">
        <v>161</v>
      </c>
      <c r="B4" s="28">
        <v>0.18390000000000001</v>
      </c>
      <c r="C4" s="28">
        <v>1.7000000000000001E-3</v>
      </c>
      <c r="D4" s="28">
        <v>1.8E-3</v>
      </c>
      <c r="E4" s="28">
        <v>3.0999999999999999E-3</v>
      </c>
      <c r="F4" s="28">
        <v>2.0999999999999999E-3</v>
      </c>
      <c r="G4" s="28">
        <v>2.2000000000000001E-3</v>
      </c>
      <c r="H4" s="28">
        <v>2.3999999999999998E-3</v>
      </c>
      <c r="I4" s="28">
        <v>1.4000000000000002E-3</v>
      </c>
      <c r="J4" s="28">
        <v>1.9E-3</v>
      </c>
      <c r="K4" s="28">
        <v>2.0999999999999999E-3</v>
      </c>
      <c r="L4" s="28">
        <v>0</v>
      </c>
      <c r="M4" s="28">
        <v>0</v>
      </c>
      <c r="N4" s="28">
        <v>1E-3</v>
      </c>
      <c r="O4" s="28">
        <v>6.5000000000000006E-3</v>
      </c>
      <c r="P4" s="28">
        <v>2E-3</v>
      </c>
      <c r="Q4" s="28">
        <v>1.9E-3</v>
      </c>
      <c r="R4" s="28">
        <v>2E-3</v>
      </c>
      <c r="S4" s="28">
        <v>2.5000000000000001E-3</v>
      </c>
      <c r="T4" s="28">
        <v>0</v>
      </c>
      <c r="U4" s="28">
        <v>1.8E-3</v>
      </c>
      <c r="V4" s="28">
        <v>0</v>
      </c>
      <c r="W4" s="28">
        <v>2E-3</v>
      </c>
      <c r="X4" s="28">
        <v>4.5000000000000005E-3</v>
      </c>
      <c r="Y4" s="28">
        <v>0</v>
      </c>
      <c r="Z4" s="28">
        <v>1.6000000000000001E-3</v>
      </c>
      <c r="AA4" s="28">
        <v>6.7000000000000002E-3</v>
      </c>
      <c r="AB4" s="28">
        <v>7.000000000000001E-4</v>
      </c>
      <c r="AC4" s="28">
        <v>8.199999999999999E-3</v>
      </c>
      <c r="AD4" s="28">
        <v>5.0000000000000001E-3</v>
      </c>
      <c r="AE4" s="28">
        <v>8.8000000000000005E-3</v>
      </c>
      <c r="AF4" s="28">
        <v>4.5000000000000005E-3</v>
      </c>
      <c r="AG4" s="28">
        <v>6.8000000000000005E-3</v>
      </c>
      <c r="AH4" s="28">
        <v>4.6999999999999993E-3</v>
      </c>
      <c r="AI4" s="28">
        <v>2.3999999999999998E-3</v>
      </c>
      <c r="AJ4" s="28">
        <v>3.7000000000000002E-3</v>
      </c>
      <c r="AK4" s="28">
        <v>9.1999999999999998E-3</v>
      </c>
      <c r="AL4" s="28">
        <v>5.0000000000000001E-4</v>
      </c>
      <c r="AM4" s="28">
        <v>0</v>
      </c>
      <c r="AN4" s="28">
        <v>2.8000000000000004E-3</v>
      </c>
      <c r="AO4" s="28">
        <v>2.7000000000000001E-3</v>
      </c>
      <c r="AP4" s="28">
        <v>0</v>
      </c>
      <c r="AQ4" s="28">
        <v>1.1999999999999999E-3</v>
      </c>
      <c r="AR4" s="28">
        <v>0</v>
      </c>
      <c r="AS4" s="28">
        <v>0</v>
      </c>
      <c r="AT4" s="28">
        <v>0</v>
      </c>
      <c r="AU4" s="28">
        <v>0</v>
      </c>
      <c r="AV4" s="28">
        <v>0</v>
      </c>
      <c r="AW4" s="28">
        <v>0</v>
      </c>
      <c r="AX4" s="28">
        <v>0</v>
      </c>
      <c r="AY4" s="28">
        <v>0</v>
      </c>
      <c r="AZ4" s="28">
        <v>5.7800000000000004E-2</v>
      </c>
    </row>
    <row r="5" spans="1:52" x14ac:dyDescent="0.35">
      <c r="A5" t="s">
        <v>160</v>
      </c>
      <c r="B5" s="28">
        <v>6.0700000000000004E-2</v>
      </c>
      <c r="C5" s="28">
        <v>4.0000000000000002E-4</v>
      </c>
      <c r="D5" s="28">
        <v>1.1000000000000001E-3</v>
      </c>
      <c r="E5" s="28">
        <v>1E-3</v>
      </c>
      <c r="F5" s="28">
        <v>2.9999999999999997E-4</v>
      </c>
      <c r="G5" s="28">
        <v>1.6000000000000001E-3</v>
      </c>
      <c r="H5" s="28">
        <v>2.0000000000000001E-4</v>
      </c>
      <c r="I5" s="28">
        <v>1.5E-3</v>
      </c>
      <c r="J5" s="28">
        <v>2.3999999999999998E-3</v>
      </c>
      <c r="K5" s="28">
        <v>2.8999999999999998E-3</v>
      </c>
      <c r="L5" s="28">
        <v>0</v>
      </c>
      <c r="M5" s="28">
        <v>0</v>
      </c>
      <c r="N5" s="28">
        <v>1.6000000000000001E-3</v>
      </c>
      <c r="O5" s="28">
        <v>1.6000000000000001E-3</v>
      </c>
      <c r="P5" s="28">
        <v>1.5E-3</v>
      </c>
      <c r="Q5" s="28">
        <v>1E-4</v>
      </c>
      <c r="R5" s="28">
        <v>5.9999999999999995E-4</v>
      </c>
      <c r="S5" s="28">
        <v>1E-4</v>
      </c>
      <c r="T5" s="28">
        <v>0</v>
      </c>
      <c r="U5" s="28">
        <v>2.8999999999999998E-3</v>
      </c>
      <c r="V5" s="28">
        <v>0</v>
      </c>
      <c r="W5" s="28">
        <v>1.4000000000000002E-3</v>
      </c>
      <c r="X5" s="28">
        <v>1.4000000000000002E-3</v>
      </c>
      <c r="Y5" s="28">
        <v>0</v>
      </c>
      <c r="Z5" s="28">
        <v>5.4000000000000003E-3</v>
      </c>
      <c r="AA5" s="28">
        <v>1.7299999999999999E-2</v>
      </c>
      <c r="AB5" s="28">
        <v>2.3E-3</v>
      </c>
      <c r="AC5" s="28">
        <v>5.1999999999999998E-3</v>
      </c>
      <c r="AD5" s="28">
        <v>4.0000000000000002E-4</v>
      </c>
      <c r="AE5" s="28">
        <v>4.4000000000000003E-3</v>
      </c>
      <c r="AF5" s="28">
        <v>5.3E-3</v>
      </c>
      <c r="AG5" s="28">
        <v>9.300000000000001E-3</v>
      </c>
      <c r="AH5" s="28">
        <v>1.8E-3</v>
      </c>
      <c r="AI5" s="28">
        <v>5.9999999999999995E-4</v>
      </c>
      <c r="AJ5" s="28">
        <v>4.5999999999999999E-3</v>
      </c>
      <c r="AK5" s="28">
        <v>0</v>
      </c>
      <c r="AL5" s="28">
        <v>3.4000000000000002E-3</v>
      </c>
      <c r="AM5" s="28">
        <v>2.9999999999999997E-4</v>
      </c>
      <c r="AN5" s="28">
        <v>2.3999999999999998E-3</v>
      </c>
      <c r="AO5" s="28">
        <v>1E-3</v>
      </c>
      <c r="AP5" s="28">
        <v>0</v>
      </c>
      <c r="AQ5" s="28">
        <v>1E-3</v>
      </c>
      <c r="AR5" s="28">
        <v>4.0000000000000002E-4</v>
      </c>
      <c r="AS5" s="28">
        <v>0</v>
      </c>
      <c r="AT5" s="28">
        <v>0</v>
      </c>
      <c r="AU5" s="28">
        <v>0</v>
      </c>
      <c r="AV5" s="28">
        <v>0</v>
      </c>
      <c r="AW5" s="28">
        <v>0</v>
      </c>
      <c r="AX5" s="28">
        <v>0</v>
      </c>
      <c r="AY5" s="28">
        <v>0</v>
      </c>
      <c r="AZ5" s="28">
        <v>7.5300000000000006E-2</v>
      </c>
    </row>
    <row r="6" spans="1:52" x14ac:dyDescent="0.35">
      <c r="A6" t="s">
        <v>159</v>
      </c>
      <c r="B6" s="28">
        <v>0.18559999999999999</v>
      </c>
      <c r="C6" s="28">
        <v>3.5999999999999999E-3</v>
      </c>
      <c r="D6" s="28">
        <v>2.8000000000000004E-3</v>
      </c>
      <c r="E6" s="28">
        <v>8.9999999999999998E-4</v>
      </c>
      <c r="F6" s="28">
        <v>2E-3</v>
      </c>
      <c r="G6" s="28">
        <v>2.9999999999999997E-4</v>
      </c>
      <c r="H6" s="28">
        <v>2.2000000000000001E-3</v>
      </c>
      <c r="I6" s="28">
        <v>3.7000000000000002E-3</v>
      </c>
      <c r="J6" s="28">
        <v>1E-3</v>
      </c>
      <c r="K6" s="28">
        <v>0</v>
      </c>
      <c r="L6" s="28">
        <v>0</v>
      </c>
      <c r="M6" s="28">
        <v>0</v>
      </c>
      <c r="N6" s="28">
        <v>2.5999999999999999E-3</v>
      </c>
      <c r="O6" s="28">
        <v>5.3E-3</v>
      </c>
      <c r="P6" s="28">
        <v>2.5000000000000001E-3</v>
      </c>
      <c r="Q6" s="28">
        <v>4.0999999999999995E-3</v>
      </c>
      <c r="R6" s="28">
        <v>5.7999999999999996E-3</v>
      </c>
      <c r="S6" s="28">
        <v>2.5000000000000001E-3</v>
      </c>
      <c r="T6" s="28">
        <v>0</v>
      </c>
      <c r="U6" s="28">
        <v>2.3E-3</v>
      </c>
      <c r="V6" s="28">
        <v>0</v>
      </c>
      <c r="W6" s="28">
        <v>5.0000000000000001E-4</v>
      </c>
      <c r="X6" s="28">
        <v>4.0999999999999995E-3</v>
      </c>
      <c r="Y6" s="28">
        <v>0</v>
      </c>
      <c r="Z6" s="28">
        <v>7.1999999999999998E-3</v>
      </c>
      <c r="AA6" s="28">
        <v>3.5200000000000002E-2</v>
      </c>
      <c r="AB6" s="28">
        <v>6.0000000000000001E-3</v>
      </c>
      <c r="AC6" s="28">
        <v>1.0800000000000001E-2</v>
      </c>
      <c r="AD6" s="28">
        <v>5.6999999999999993E-3</v>
      </c>
      <c r="AE6" s="28">
        <v>1.7000000000000001E-3</v>
      </c>
      <c r="AF6" s="28">
        <v>1.6399999999999998E-2</v>
      </c>
      <c r="AG6" s="28">
        <v>1.04E-2</v>
      </c>
      <c r="AH6" s="28">
        <v>5.5000000000000005E-3</v>
      </c>
      <c r="AI6" s="28">
        <v>1.8500000000000003E-2</v>
      </c>
      <c r="AJ6" s="28">
        <v>7.9000000000000008E-3</v>
      </c>
      <c r="AK6" s="28">
        <v>5.3E-3</v>
      </c>
      <c r="AL6" s="28">
        <v>2.1099999999999997E-2</v>
      </c>
      <c r="AM6" s="28">
        <v>1.1000000000000001E-2</v>
      </c>
      <c r="AN6" s="28">
        <v>1.1299999999999999E-2</v>
      </c>
      <c r="AO6" s="28">
        <v>6.1999999999999998E-3</v>
      </c>
      <c r="AP6" s="28">
        <v>1.01E-2</v>
      </c>
      <c r="AQ6" s="28">
        <v>4.5000000000000005E-3</v>
      </c>
      <c r="AR6" s="28">
        <v>6.7000000000000002E-3</v>
      </c>
      <c r="AS6" s="28">
        <v>2.3399999999999997E-2</v>
      </c>
      <c r="AT6" s="28">
        <v>6.1999999999999998E-3</v>
      </c>
      <c r="AU6" s="28">
        <v>0</v>
      </c>
      <c r="AV6" s="28">
        <v>4.5000000000000005E-3</v>
      </c>
      <c r="AW6" s="28">
        <v>2.8999999999999998E-3</v>
      </c>
      <c r="AX6" s="28">
        <v>2.3E-3</v>
      </c>
      <c r="AY6" s="28">
        <v>0</v>
      </c>
      <c r="AZ6" s="28">
        <v>7.3399999999999993E-2</v>
      </c>
    </row>
    <row r="7" spans="1:52" x14ac:dyDescent="0.35">
      <c r="A7" t="s">
        <v>158</v>
      </c>
      <c r="B7" s="28">
        <v>0.36829999999999996</v>
      </c>
      <c r="C7" s="28">
        <v>1.1699999999999999E-2</v>
      </c>
      <c r="D7" s="28">
        <v>1.5E-3</v>
      </c>
      <c r="E7" s="28">
        <v>4.0000000000000002E-4</v>
      </c>
      <c r="F7" s="28">
        <v>8.0000000000000004E-4</v>
      </c>
      <c r="G7" s="28">
        <v>1.9E-3</v>
      </c>
      <c r="H7" s="28">
        <v>2.5999999999999999E-3</v>
      </c>
      <c r="I7" s="28">
        <v>0.65390000000000004</v>
      </c>
      <c r="J7" s="28">
        <v>0.56030000000000002</v>
      </c>
      <c r="K7" s="28">
        <v>0.48520000000000002</v>
      </c>
      <c r="L7" s="28">
        <v>0.43430000000000002</v>
      </c>
      <c r="M7" s="28">
        <v>0.39</v>
      </c>
      <c r="N7" s="28">
        <v>0.33179999999999998</v>
      </c>
      <c r="O7" s="28">
        <v>0.31340000000000001</v>
      </c>
      <c r="P7" s="28">
        <v>0.27089999999999997</v>
      </c>
      <c r="Q7" s="28">
        <v>0.28300000000000003</v>
      </c>
      <c r="R7" s="28">
        <v>0.23370000000000002</v>
      </c>
      <c r="S7" s="28">
        <v>0.22989999999999999</v>
      </c>
      <c r="T7" s="28">
        <v>0.2</v>
      </c>
      <c r="U7" s="28">
        <v>0.21969999999999998</v>
      </c>
      <c r="V7" s="28">
        <v>0.18179999999999999</v>
      </c>
      <c r="W7" s="28">
        <v>0.18309999999999998</v>
      </c>
      <c r="X7" s="28">
        <v>0.16170000000000001</v>
      </c>
      <c r="Y7" s="28">
        <v>0.1313</v>
      </c>
      <c r="Z7" s="28">
        <v>0.17499999999999999</v>
      </c>
      <c r="AA7" s="28">
        <v>0.05</v>
      </c>
      <c r="AB7" s="28">
        <v>0.03</v>
      </c>
      <c r="AC7" s="28">
        <v>5.9999999999999995E-4</v>
      </c>
      <c r="AD7" s="28">
        <v>5.2000000000000005E-2</v>
      </c>
      <c r="AE7" s="28">
        <v>1.3500000000000002E-2</v>
      </c>
      <c r="AF7" s="28">
        <v>3.4799999999999998E-2</v>
      </c>
      <c r="AG7" s="28">
        <v>2.1600000000000001E-2</v>
      </c>
      <c r="AH7" s="28">
        <v>6.8199999999999997E-2</v>
      </c>
      <c r="AI7" s="28">
        <v>3.78E-2</v>
      </c>
      <c r="AJ7" s="28">
        <v>4.99E-2</v>
      </c>
      <c r="AK7" s="28">
        <v>5.1699999999999996E-2</v>
      </c>
      <c r="AL7" s="28">
        <v>1.9299999999999998E-2</v>
      </c>
      <c r="AM7" s="28">
        <v>5.0199999999999995E-2</v>
      </c>
      <c r="AN7" s="28">
        <v>8.6E-3</v>
      </c>
      <c r="AO7" s="28">
        <v>7.6600000000000001E-2</v>
      </c>
      <c r="AP7" s="28">
        <v>4.2099999999999999E-2</v>
      </c>
      <c r="AQ7" s="28">
        <v>9.4499999999999987E-2</v>
      </c>
      <c r="AR7" s="28">
        <v>0.43290000000000001</v>
      </c>
      <c r="AS7" s="28">
        <v>0.59819999999999995</v>
      </c>
      <c r="AT7" s="28">
        <v>0.98799999999999999</v>
      </c>
      <c r="AU7" s="28">
        <v>1</v>
      </c>
      <c r="AV7" s="28">
        <v>0.99430000000000007</v>
      </c>
      <c r="AW7" s="28">
        <v>0.99450000000000005</v>
      </c>
      <c r="AX7" s="28">
        <v>0.99519999999999997</v>
      </c>
      <c r="AY7" s="28">
        <v>1</v>
      </c>
      <c r="AZ7" s="28">
        <v>0.7095999999999999</v>
      </c>
    </row>
    <row r="8" spans="1:52" x14ac:dyDescent="0.35">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row>
    <row r="9" spans="1:52" x14ac:dyDescent="0.35">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E133A-777A-45BD-A5DC-28656BDD3694}">
  <dimension ref="A1:AZ7"/>
  <sheetViews>
    <sheetView workbookViewId="0">
      <selection activeCell="C18" sqref="C18"/>
    </sheetView>
  </sheetViews>
  <sheetFormatPr defaultRowHeight="14.5" x14ac:dyDescent="0.35"/>
  <cols>
    <col min="1" max="1" width="31.453125" bestFit="1" customWidth="1"/>
  </cols>
  <sheetData>
    <row r="1" spans="1:52" x14ac:dyDescent="0.3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c r="AZ1" s="32" t="s">
        <v>167</v>
      </c>
    </row>
    <row r="2" spans="1:52" x14ac:dyDescent="0.35">
      <c r="A2" t="s">
        <v>106</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row>
    <row r="3" spans="1:52" x14ac:dyDescent="0.35">
      <c r="A3" t="s">
        <v>107</v>
      </c>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c r="AY3" s="28"/>
      <c r="AZ3" s="28"/>
    </row>
    <row r="4" spans="1:52" x14ac:dyDescent="0.35">
      <c r="A4" t="s">
        <v>161</v>
      </c>
      <c r="B4" s="28"/>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row>
    <row r="5" spans="1:52" x14ac:dyDescent="0.35">
      <c r="A5" t="s">
        <v>160</v>
      </c>
      <c r="B5" s="28"/>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row>
    <row r="6" spans="1:52" x14ac:dyDescent="0.35">
      <c r="A6" t="s">
        <v>159</v>
      </c>
      <c r="B6" s="28"/>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row>
    <row r="7" spans="1:52" x14ac:dyDescent="0.35">
      <c r="A7" t="s">
        <v>158</v>
      </c>
      <c r="B7" s="28"/>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9C3E-0E80-409B-AAEE-45E767677B6E}">
  <dimension ref="B3:U57"/>
  <sheetViews>
    <sheetView workbookViewId="0">
      <selection activeCell="B18" sqref="B18"/>
    </sheetView>
  </sheetViews>
  <sheetFormatPr defaultColWidth="9.1796875" defaultRowHeight="14.5" x14ac:dyDescent="0.35"/>
  <cols>
    <col min="1" max="1" width="9.1796875" style="1"/>
    <col min="2" max="2" width="134.7265625" style="1" customWidth="1"/>
    <col min="3" max="12" width="9.1796875" style="1"/>
    <col min="13" max="13" width="18.7265625" style="1" customWidth="1"/>
    <col min="14" max="14" width="15.453125" style="1" customWidth="1"/>
    <col min="15" max="16384" width="9.1796875" style="1"/>
  </cols>
  <sheetData>
    <row r="3" spans="2:2" x14ac:dyDescent="0.35">
      <c r="B3" s="1" t="s">
        <v>85</v>
      </c>
    </row>
    <row r="4" spans="2:2" x14ac:dyDescent="0.35">
      <c r="B4" s="1" t="s">
        <v>86</v>
      </c>
    </row>
    <row r="5" spans="2:2" x14ac:dyDescent="0.35">
      <c r="B5" s="1" t="s">
        <v>87</v>
      </c>
    </row>
    <row r="6" spans="2:2" x14ac:dyDescent="0.35">
      <c r="B6" s="1" t="s">
        <v>92</v>
      </c>
    </row>
    <row r="7" spans="2:2" x14ac:dyDescent="0.35">
      <c r="B7" s="1" t="s">
        <v>88</v>
      </c>
    </row>
    <row r="9" spans="2:2" x14ac:dyDescent="0.35">
      <c r="B9" s="1" t="s">
        <v>89</v>
      </c>
    </row>
    <row r="13" spans="2:2" x14ac:dyDescent="0.35">
      <c r="B13" s="1" t="s">
        <v>90</v>
      </c>
    </row>
    <row r="14" spans="2:2" x14ac:dyDescent="0.35">
      <c r="B14" s="1" t="s">
        <v>91</v>
      </c>
    </row>
    <row r="18" spans="2:2" x14ac:dyDescent="0.35">
      <c r="B18" s="1" t="s">
        <v>93</v>
      </c>
    </row>
    <row r="37" spans="2:14" x14ac:dyDescent="0.35">
      <c r="B37" s="1" t="s">
        <v>94</v>
      </c>
    </row>
    <row r="41" spans="2:14" x14ac:dyDescent="0.35">
      <c r="C41" s="1" t="s">
        <v>95</v>
      </c>
    </row>
    <row r="42" spans="2:14" x14ac:dyDescent="0.35">
      <c r="D42" s="1" t="s">
        <v>98</v>
      </c>
      <c r="E42" s="1" t="s">
        <v>99</v>
      </c>
    </row>
    <row r="43" spans="2:14" x14ac:dyDescent="0.35">
      <c r="C43" s="1" t="s">
        <v>96</v>
      </c>
      <c r="D43" s="26">
        <v>0.03</v>
      </c>
      <c r="E43" s="26">
        <v>0.01</v>
      </c>
      <c r="H43" s="1">
        <v>2025</v>
      </c>
      <c r="I43" s="1">
        <v>2026</v>
      </c>
      <c r="J43" s="1">
        <v>2027</v>
      </c>
      <c r="M43" s="50" t="s">
        <v>100</v>
      </c>
      <c r="N43" s="51" t="s">
        <v>101</v>
      </c>
    </row>
    <row r="44" spans="2:14" x14ac:dyDescent="0.35">
      <c r="C44" s="1" t="s">
        <v>97</v>
      </c>
      <c r="D44" s="26">
        <v>0.1</v>
      </c>
      <c r="E44" s="26">
        <v>0.03</v>
      </c>
      <c r="H44" s="26">
        <v>0.03</v>
      </c>
      <c r="I44" s="26">
        <v>0.04</v>
      </c>
      <c r="J44" s="26">
        <v>0.06</v>
      </c>
      <c r="K44" s="26">
        <v>7.0000000000000007E-2</v>
      </c>
      <c r="L44" s="26">
        <v>0.1</v>
      </c>
      <c r="M44" s="50"/>
      <c r="N44" s="51"/>
    </row>
    <row r="45" spans="2:14" x14ac:dyDescent="0.35">
      <c r="M45" s="50"/>
      <c r="N45" s="51"/>
    </row>
    <row r="46" spans="2:14" x14ac:dyDescent="0.35">
      <c r="H46" s="26">
        <f>AVERAGE(H44:L44)</f>
        <v>6.0000000000000012E-2</v>
      </c>
      <c r="I46" s="26">
        <f>AVERAGE(I44:L44)</f>
        <v>6.7500000000000004E-2</v>
      </c>
      <c r="M46" s="50"/>
      <c r="N46" s="51"/>
    </row>
    <row r="51" spans="2:21" x14ac:dyDescent="0.35">
      <c r="J51" s="1" t="s">
        <v>102</v>
      </c>
      <c r="L51" s="1" t="s">
        <v>103</v>
      </c>
    </row>
    <row r="53" spans="2:21" x14ac:dyDescent="0.35">
      <c r="J53" s="1">
        <v>2025</v>
      </c>
      <c r="K53" s="1">
        <v>2026</v>
      </c>
      <c r="L53" s="1">
        <v>2027</v>
      </c>
      <c r="M53" s="1">
        <v>2028</v>
      </c>
      <c r="N53" s="1">
        <v>2029</v>
      </c>
      <c r="O53" s="1">
        <v>2030</v>
      </c>
      <c r="P53" s="1">
        <v>2031</v>
      </c>
      <c r="Q53" s="1">
        <v>2032</v>
      </c>
      <c r="R53" s="1">
        <v>2033</v>
      </c>
      <c r="S53" s="1">
        <v>2034</v>
      </c>
      <c r="U53" s="1" t="s">
        <v>104</v>
      </c>
    </row>
    <row r="54" spans="2:21" x14ac:dyDescent="0.35">
      <c r="J54" s="27">
        <f t="shared" ref="J54:S54" si="0">$U$54*10%</f>
        <v>200000</v>
      </c>
      <c r="K54" s="27">
        <f t="shared" si="0"/>
        <v>200000</v>
      </c>
      <c r="L54" s="27">
        <f t="shared" si="0"/>
        <v>200000</v>
      </c>
      <c r="M54" s="27">
        <f t="shared" si="0"/>
        <v>200000</v>
      </c>
      <c r="N54" s="27">
        <f t="shared" si="0"/>
        <v>200000</v>
      </c>
      <c r="O54" s="27">
        <f t="shared" si="0"/>
        <v>200000</v>
      </c>
      <c r="P54" s="27">
        <f t="shared" si="0"/>
        <v>200000</v>
      </c>
      <c r="Q54" s="27">
        <f t="shared" si="0"/>
        <v>200000</v>
      </c>
      <c r="R54" s="27">
        <f t="shared" si="0"/>
        <v>200000</v>
      </c>
      <c r="S54" s="27">
        <f t="shared" si="0"/>
        <v>200000</v>
      </c>
      <c r="T54" s="27"/>
      <c r="U54" s="1">
        <v>2000000</v>
      </c>
    </row>
    <row r="57" spans="2:21" x14ac:dyDescent="0.35">
      <c r="B57" s="27" t="s">
        <v>105</v>
      </c>
    </row>
  </sheetData>
  <mergeCells count="2">
    <mergeCell ref="M43:M46"/>
    <mergeCell ref="N43:N4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CF605-A567-418D-810B-893BBCEAF35A}">
  <dimension ref="A1:AZ5"/>
  <sheetViews>
    <sheetView workbookViewId="0">
      <selection activeCell="B1" sqref="B1:AZ1"/>
    </sheetView>
  </sheetViews>
  <sheetFormatPr defaultRowHeight="14.5" x14ac:dyDescent="0.35"/>
  <sheetData>
    <row r="1" spans="1:52" x14ac:dyDescent="0.3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c r="AZ1" s="32" t="s">
        <v>167</v>
      </c>
    </row>
    <row r="2" spans="1:52" x14ac:dyDescent="0.35">
      <c r="A2" t="s">
        <v>163</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row>
    <row r="3" spans="1:52" x14ac:dyDescent="0.35">
      <c r="A3" t="s">
        <v>164</v>
      </c>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c r="AY3" s="28"/>
      <c r="AZ3" s="28"/>
    </row>
    <row r="4" spans="1:52" x14ac:dyDescent="0.35">
      <c r="A4" t="s">
        <v>165</v>
      </c>
      <c r="B4" s="28"/>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row>
    <row r="5" spans="1:52" x14ac:dyDescent="0.35">
      <c r="A5" t="s">
        <v>166</v>
      </c>
      <c r="B5" s="28"/>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2F22-C8A5-407A-93D2-23C238A2F808}">
  <dimension ref="A1:AZ7"/>
  <sheetViews>
    <sheetView workbookViewId="0">
      <selection activeCell="A11" sqref="A11"/>
    </sheetView>
  </sheetViews>
  <sheetFormatPr defaultRowHeight="14.5" x14ac:dyDescent="0.35"/>
  <cols>
    <col min="1" max="1" width="31.453125" bestFit="1" customWidth="1"/>
    <col min="2" max="2" width="12.453125" bestFit="1" customWidth="1"/>
    <col min="3" max="3" width="11.81640625" bestFit="1" customWidth="1"/>
    <col min="4" max="11" width="12.453125" bestFit="1" customWidth="1"/>
    <col min="12" max="12" width="11.81640625" bestFit="1" customWidth="1"/>
    <col min="13" max="20" width="12.453125" bestFit="1" customWidth="1"/>
    <col min="21" max="21" width="11.81640625" bestFit="1" customWidth="1"/>
    <col min="22" max="22" width="12.453125" bestFit="1" customWidth="1"/>
    <col min="23" max="23" width="11.81640625" bestFit="1" customWidth="1"/>
    <col min="24" max="26" width="12.453125" bestFit="1" customWidth="1"/>
    <col min="27" max="27" width="11.81640625" bestFit="1" customWidth="1"/>
    <col min="28" max="31" width="12.453125" bestFit="1" customWidth="1"/>
    <col min="32" max="32" width="11.81640625" bestFit="1" customWidth="1"/>
    <col min="33" max="34" width="12.453125" bestFit="1" customWidth="1"/>
    <col min="35" max="36" width="11.81640625" bestFit="1" customWidth="1"/>
    <col min="37" max="43" width="12.453125" bestFit="1" customWidth="1"/>
    <col min="44" max="46" width="11.81640625" bestFit="1" customWidth="1"/>
    <col min="47" max="47" width="12.453125" bestFit="1" customWidth="1"/>
    <col min="48" max="49" width="11.81640625" bestFit="1" customWidth="1"/>
    <col min="50" max="50" width="12.453125" bestFit="1" customWidth="1"/>
    <col min="51" max="51" width="11.81640625" bestFit="1" customWidth="1"/>
  </cols>
  <sheetData>
    <row r="1" spans="1:52" x14ac:dyDescent="0.3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c r="AZ1" s="32" t="s">
        <v>167</v>
      </c>
    </row>
    <row r="2" spans="1:52" x14ac:dyDescent="0.35">
      <c r="A2" t="s">
        <v>106</v>
      </c>
      <c r="B2" s="36">
        <f>8.6%-_xlfn.XLOOKUP(A2,BasisPointCost!$A:$A,BasisPointCost!$B:$B)</f>
        <v>8.3999999999999991E-2</v>
      </c>
      <c r="C2" s="36">
        <f>B2</f>
        <v>8.3999999999999991E-2</v>
      </c>
      <c r="D2" s="36">
        <f t="shared" ref="D2:K2" si="0">C2</f>
        <v>8.3999999999999991E-2</v>
      </c>
      <c r="E2" s="36">
        <f t="shared" si="0"/>
        <v>8.3999999999999991E-2</v>
      </c>
      <c r="F2" s="36">
        <f t="shared" si="0"/>
        <v>8.3999999999999991E-2</v>
      </c>
      <c r="G2" s="36">
        <f t="shared" si="0"/>
        <v>8.3999999999999991E-2</v>
      </c>
      <c r="H2" s="36">
        <f t="shared" si="0"/>
        <v>8.3999999999999991E-2</v>
      </c>
      <c r="I2" s="36">
        <f t="shared" si="0"/>
        <v>8.3999999999999991E-2</v>
      </c>
      <c r="J2" s="36">
        <f t="shared" si="0"/>
        <v>8.3999999999999991E-2</v>
      </c>
      <c r="K2" s="36">
        <f t="shared" si="0"/>
        <v>8.3999999999999991E-2</v>
      </c>
      <c r="L2" s="37">
        <f>6.5%-0.2%</f>
        <v>6.3E-2</v>
      </c>
      <c r="M2" s="36">
        <f t="shared" ref="C2:M7" si="1">L2</f>
        <v>6.3E-2</v>
      </c>
      <c r="N2" s="36">
        <f t="shared" ref="N2:N7" si="2">M2</f>
        <v>6.3E-2</v>
      </c>
      <c r="O2" s="36">
        <f t="shared" ref="O2:O7" si="3">N2</f>
        <v>6.3E-2</v>
      </c>
      <c r="P2" s="36">
        <f t="shared" ref="P2:P7" si="4">O2</f>
        <v>6.3E-2</v>
      </c>
      <c r="Q2" s="36">
        <f t="shared" ref="Q2:Q7" si="5">P2</f>
        <v>6.3E-2</v>
      </c>
      <c r="R2" s="36">
        <f t="shared" ref="R2:R7" si="6">Q2</f>
        <v>6.3E-2</v>
      </c>
      <c r="S2" s="36">
        <f t="shared" ref="S2:S7" si="7">R2</f>
        <v>6.3E-2</v>
      </c>
      <c r="T2" s="36">
        <f t="shared" ref="T2:T7" si="8">S2</f>
        <v>6.3E-2</v>
      </c>
      <c r="U2" s="36">
        <f t="shared" ref="U2:U7" si="9">T2</f>
        <v>6.3E-2</v>
      </c>
      <c r="V2" s="36">
        <f t="shared" ref="V2:V7" si="10">U2</f>
        <v>6.3E-2</v>
      </c>
      <c r="W2" s="36">
        <f t="shared" ref="W2:W7" si="11">V2</f>
        <v>6.3E-2</v>
      </c>
      <c r="X2" s="36">
        <f t="shared" ref="X2:X7" si="12">W2</f>
        <v>6.3E-2</v>
      </c>
      <c r="Y2" s="36">
        <f t="shared" ref="Y2:Y7" si="13">X2</f>
        <v>6.3E-2</v>
      </c>
      <c r="Z2" s="36">
        <f t="shared" ref="Z2:Z7" si="14">Y2</f>
        <v>6.3E-2</v>
      </c>
      <c r="AA2" s="36">
        <f t="shared" ref="AA2:AA7" si="15">Z2</f>
        <v>6.3E-2</v>
      </c>
      <c r="AB2" s="36">
        <f t="shared" ref="AB2:AB7" si="16">AA2</f>
        <v>6.3E-2</v>
      </c>
      <c r="AC2" s="36">
        <f t="shared" ref="AC2:AC7" si="17">AB2</f>
        <v>6.3E-2</v>
      </c>
      <c r="AD2" s="36">
        <f t="shared" ref="AD2:AD7" si="18">AC2</f>
        <v>6.3E-2</v>
      </c>
      <c r="AE2" s="36">
        <f t="shared" ref="AE2:AE7" si="19">AD2</f>
        <v>6.3E-2</v>
      </c>
      <c r="AF2" s="36">
        <f t="shared" ref="AF2:AF7" si="20">AE2</f>
        <v>6.3E-2</v>
      </c>
      <c r="AG2" s="36">
        <f t="shared" ref="AG2:AG7" si="21">AF2</f>
        <v>6.3E-2</v>
      </c>
      <c r="AH2" s="36">
        <f t="shared" ref="AH2:AH7" si="22">AG2</f>
        <v>6.3E-2</v>
      </c>
      <c r="AI2" s="36">
        <f t="shared" ref="AI2:AI7" si="23">AH2</f>
        <v>6.3E-2</v>
      </c>
      <c r="AJ2" s="36">
        <f t="shared" ref="AJ2:AJ7" si="24">AI2</f>
        <v>6.3E-2</v>
      </c>
      <c r="AK2" s="36">
        <f t="shared" ref="AK2:AK7" si="25">AJ2</f>
        <v>6.3E-2</v>
      </c>
      <c r="AL2" s="36">
        <f t="shared" ref="AL2:AL7" si="26">AK2</f>
        <v>6.3E-2</v>
      </c>
      <c r="AM2" s="36">
        <f t="shared" ref="AM2:AM7" si="27">AL2</f>
        <v>6.3E-2</v>
      </c>
      <c r="AN2" s="36">
        <f t="shared" ref="AN2:AN7" si="28">AM2</f>
        <v>6.3E-2</v>
      </c>
      <c r="AO2" s="36">
        <f t="shared" ref="AO2:AO7" si="29">AN2</f>
        <v>6.3E-2</v>
      </c>
      <c r="AP2" s="36">
        <f t="shared" ref="AP2:AP7" si="30">AO2</f>
        <v>6.3E-2</v>
      </c>
      <c r="AQ2" s="36">
        <f t="shared" ref="AQ2:AQ7" si="31">AP2</f>
        <v>6.3E-2</v>
      </c>
      <c r="AR2" s="36">
        <f t="shared" ref="AR2:AR7" si="32">AQ2</f>
        <v>6.3E-2</v>
      </c>
      <c r="AS2" s="36">
        <f t="shared" ref="AS2:AS7" si="33">AR2</f>
        <v>6.3E-2</v>
      </c>
      <c r="AT2" s="36">
        <f t="shared" ref="AT2:AT7" si="34">AS2</f>
        <v>6.3E-2</v>
      </c>
      <c r="AU2" s="36">
        <f t="shared" ref="AU2:AU7" si="35">AT2</f>
        <v>6.3E-2</v>
      </c>
      <c r="AV2" s="36">
        <f t="shared" ref="AV2:AV7" si="36">AU2</f>
        <v>6.3E-2</v>
      </c>
      <c r="AW2" s="36">
        <f t="shared" ref="AW2:AW7" si="37">AV2</f>
        <v>6.3E-2</v>
      </c>
      <c r="AX2" s="36">
        <f t="shared" ref="AX2:AX7" si="38">AW2</f>
        <v>6.3E-2</v>
      </c>
      <c r="AY2" s="36">
        <f t="shared" ref="AY2:AY7" si="39">AX2</f>
        <v>6.3E-2</v>
      </c>
      <c r="AZ2" s="36">
        <f t="shared" ref="AZ2:AZ7" si="40">AY2</f>
        <v>6.3E-2</v>
      </c>
    </row>
    <row r="3" spans="1:52" x14ac:dyDescent="0.35">
      <c r="A3" t="s">
        <v>107</v>
      </c>
      <c r="B3" s="36">
        <f>7%-_xlfn.XLOOKUP(A3,BasisPointCost!$A:$A,BasisPointCost!$B:$B)</f>
        <v>6.8000000000000005E-2</v>
      </c>
      <c r="C3" s="36">
        <f>B3</f>
        <v>6.8000000000000005E-2</v>
      </c>
      <c r="D3" s="36">
        <f t="shared" ref="D3:K3" si="41">C3</f>
        <v>6.8000000000000005E-2</v>
      </c>
      <c r="E3" s="36">
        <f t="shared" si="41"/>
        <v>6.8000000000000005E-2</v>
      </c>
      <c r="F3" s="36">
        <f t="shared" si="41"/>
        <v>6.8000000000000005E-2</v>
      </c>
      <c r="G3" s="36">
        <f t="shared" si="41"/>
        <v>6.8000000000000005E-2</v>
      </c>
      <c r="H3" s="36">
        <f t="shared" si="41"/>
        <v>6.8000000000000005E-2</v>
      </c>
      <c r="I3" s="36">
        <f t="shared" si="41"/>
        <v>6.8000000000000005E-2</v>
      </c>
      <c r="J3" s="36">
        <f t="shared" si="41"/>
        <v>6.8000000000000005E-2</v>
      </c>
      <c r="K3" s="36">
        <f t="shared" si="41"/>
        <v>6.8000000000000005E-2</v>
      </c>
      <c r="L3" s="37">
        <f>6.5%-0.2%</f>
        <v>6.3E-2</v>
      </c>
      <c r="M3" s="36">
        <f t="shared" si="1"/>
        <v>6.3E-2</v>
      </c>
      <c r="N3" s="36">
        <f t="shared" si="2"/>
        <v>6.3E-2</v>
      </c>
      <c r="O3" s="36">
        <f t="shared" si="3"/>
        <v>6.3E-2</v>
      </c>
      <c r="P3" s="36">
        <f t="shared" si="4"/>
        <v>6.3E-2</v>
      </c>
      <c r="Q3" s="36">
        <f t="shared" si="5"/>
        <v>6.3E-2</v>
      </c>
      <c r="R3" s="36">
        <f t="shared" si="6"/>
        <v>6.3E-2</v>
      </c>
      <c r="S3" s="36">
        <f t="shared" si="7"/>
        <v>6.3E-2</v>
      </c>
      <c r="T3" s="36">
        <f t="shared" si="8"/>
        <v>6.3E-2</v>
      </c>
      <c r="U3" s="36">
        <f t="shared" si="9"/>
        <v>6.3E-2</v>
      </c>
      <c r="V3" s="36">
        <f t="shared" si="10"/>
        <v>6.3E-2</v>
      </c>
      <c r="W3" s="36">
        <f t="shared" si="11"/>
        <v>6.3E-2</v>
      </c>
      <c r="X3" s="36">
        <f t="shared" si="12"/>
        <v>6.3E-2</v>
      </c>
      <c r="Y3" s="36">
        <f t="shared" si="13"/>
        <v>6.3E-2</v>
      </c>
      <c r="Z3" s="36">
        <f t="shared" si="14"/>
        <v>6.3E-2</v>
      </c>
      <c r="AA3" s="36">
        <f t="shared" si="15"/>
        <v>6.3E-2</v>
      </c>
      <c r="AB3" s="36">
        <f t="shared" si="16"/>
        <v>6.3E-2</v>
      </c>
      <c r="AC3" s="36">
        <f t="shared" si="17"/>
        <v>6.3E-2</v>
      </c>
      <c r="AD3" s="36">
        <f t="shared" si="18"/>
        <v>6.3E-2</v>
      </c>
      <c r="AE3" s="36">
        <f t="shared" si="19"/>
        <v>6.3E-2</v>
      </c>
      <c r="AF3" s="36">
        <f t="shared" si="20"/>
        <v>6.3E-2</v>
      </c>
      <c r="AG3" s="36">
        <f t="shared" si="21"/>
        <v>6.3E-2</v>
      </c>
      <c r="AH3" s="36">
        <f t="shared" si="22"/>
        <v>6.3E-2</v>
      </c>
      <c r="AI3" s="36">
        <f t="shared" si="23"/>
        <v>6.3E-2</v>
      </c>
      <c r="AJ3" s="36">
        <f t="shared" si="24"/>
        <v>6.3E-2</v>
      </c>
      <c r="AK3" s="36">
        <f t="shared" si="25"/>
        <v>6.3E-2</v>
      </c>
      <c r="AL3" s="36">
        <f t="shared" si="26"/>
        <v>6.3E-2</v>
      </c>
      <c r="AM3" s="36">
        <f t="shared" si="27"/>
        <v>6.3E-2</v>
      </c>
      <c r="AN3" s="36">
        <f t="shared" si="28"/>
        <v>6.3E-2</v>
      </c>
      <c r="AO3" s="36">
        <f t="shared" si="29"/>
        <v>6.3E-2</v>
      </c>
      <c r="AP3" s="36">
        <f t="shared" si="30"/>
        <v>6.3E-2</v>
      </c>
      <c r="AQ3" s="36">
        <f t="shared" si="31"/>
        <v>6.3E-2</v>
      </c>
      <c r="AR3" s="36">
        <f t="shared" si="32"/>
        <v>6.3E-2</v>
      </c>
      <c r="AS3" s="36">
        <f t="shared" si="33"/>
        <v>6.3E-2</v>
      </c>
      <c r="AT3" s="36">
        <f t="shared" si="34"/>
        <v>6.3E-2</v>
      </c>
      <c r="AU3" s="36">
        <f t="shared" si="35"/>
        <v>6.3E-2</v>
      </c>
      <c r="AV3" s="36">
        <f t="shared" si="36"/>
        <v>6.3E-2</v>
      </c>
      <c r="AW3" s="36">
        <f t="shared" si="37"/>
        <v>6.3E-2</v>
      </c>
      <c r="AX3" s="36">
        <f t="shared" si="38"/>
        <v>6.3E-2</v>
      </c>
      <c r="AY3" s="36">
        <f t="shared" si="39"/>
        <v>6.3E-2</v>
      </c>
      <c r="AZ3" s="36">
        <f t="shared" si="40"/>
        <v>6.3E-2</v>
      </c>
    </row>
    <row r="4" spans="1:52" x14ac:dyDescent="0.35">
      <c r="A4" t="s">
        <v>161</v>
      </c>
      <c r="B4" s="36">
        <f>4.9%-_xlfn.XLOOKUP(A4,BasisPointCost!$A:$A,BasisPointCost!$B:$B)</f>
        <v>4.8300000000000003E-2</v>
      </c>
      <c r="C4" s="36">
        <f t="shared" si="1"/>
        <v>4.8300000000000003E-2</v>
      </c>
      <c r="D4" s="36">
        <f t="shared" si="1"/>
        <v>4.8300000000000003E-2</v>
      </c>
      <c r="E4" s="36">
        <f t="shared" si="1"/>
        <v>4.8300000000000003E-2</v>
      </c>
      <c r="F4" s="36">
        <f t="shared" si="1"/>
        <v>4.8300000000000003E-2</v>
      </c>
      <c r="G4" s="36">
        <f t="shared" si="1"/>
        <v>4.8300000000000003E-2</v>
      </c>
      <c r="H4" s="36">
        <f t="shared" si="1"/>
        <v>4.8300000000000003E-2</v>
      </c>
      <c r="I4" s="36">
        <f t="shared" si="1"/>
        <v>4.8300000000000003E-2</v>
      </c>
      <c r="J4" s="36">
        <f t="shared" si="1"/>
        <v>4.8300000000000003E-2</v>
      </c>
      <c r="K4" s="36">
        <f t="shared" si="1"/>
        <v>4.8300000000000003E-2</v>
      </c>
      <c r="L4" s="37">
        <f>3.5%-0.07%</f>
        <v>3.4300000000000004E-2</v>
      </c>
      <c r="M4" s="36">
        <f t="shared" si="1"/>
        <v>3.4300000000000004E-2</v>
      </c>
      <c r="N4" s="36">
        <f t="shared" si="2"/>
        <v>3.4300000000000004E-2</v>
      </c>
      <c r="O4" s="36">
        <f t="shared" si="3"/>
        <v>3.4300000000000004E-2</v>
      </c>
      <c r="P4" s="36">
        <f t="shared" si="4"/>
        <v>3.4300000000000004E-2</v>
      </c>
      <c r="Q4" s="36">
        <f t="shared" si="5"/>
        <v>3.4300000000000004E-2</v>
      </c>
      <c r="R4" s="36">
        <f t="shared" si="6"/>
        <v>3.4300000000000004E-2</v>
      </c>
      <c r="S4" s="36">
        <f t="shared" si="7"/>
        <v>3.4300000000000004E-2</v>
      </c>
      <c r="T4" s="36">
        <f t="shared" si="8"/>
        <v>3.4300000000000004E-2</v>
      </c>
      <c r="U4" s="36">
        <f t="shared" si="9"/>
        <v>3.4300000000000004E-2</v>
      </c>
      <c r="V4" s="36">
        <f t="shared" si="10"/>
        <v>3.4300000000000004E-2</v>
      </c>
      <c r="W4" s="36">
        <f t="shared" si="11"/>
        <v>3.4300000000000004E-2</v>
      </c>
      <c r="X4" s="36">
        <f t="shared" si="12"/>
        <v>3.4300000000000004E-2</v>
      </c>
      <c r="Y4" s="36">
        <f t="shared" si="13"/>
        <v>3.4300000000000004E-2</v>
      </c>
      <c r="Z4" s="36">
        <f t="shared" si="14"/>
        <v>3.4300000000000004E-2</v>
      </c>
      <c r="AA4" s="36">
        <f t="shared" si="15"/>
        <v>3.4300000000000004E-2</v>
      </c>
      <c r="AB4" s="36">
        <f t="shared" si="16"/>
        <v>3.4300000000000004E-2</v>
      </c>
      <c r="AC4" s="36">
        <f t="shared" si="17"/>
        <v>3.4300000000000004E-2</v>
      </c>
      <c r="AD4" s="36">
        <f t="shared" si="18"/>
        <v>3.4300000000000004E-2</v>
      </c>
      <c r="AE4" s="36">
        <f t="shared" si="19"/>
        <v>3.4300000000000004E-2</v>
      </c>
      <c r="AF4" s="36">
        <f t="shared" si="20"/>
        <v>3.4300000000000004E-2</v>
      </c>
      <c r="AG4" s="36">
        <f t="shared" si="21"/>
        <v>3.4300000000000004E-2</v>
      </c>
      <c r="AH4" s="36">
        <f t="shared" si="22"/>
        <v>3.4300000000000004E-2</v>
      </c>
      <c r="AI4" s="36">
        <f t="shared" si="23"/>
        <v>3.4300000000000004E-2</v>
      </c>
      <c r="AJ4" s="36">
        <f t="shared" si="24"/>
        <v>3.4300000000000004E-2</v>
      </c>
      <c r="AK4" s="36">
        <f t="shared" si="25"/>
        <v>3.4300000000000004E-2</v>
      </c>
      <c r="AL4" s="36">
        <f t="shared" si="26"/>
        <v>3.4300000000000004E-2</v>
      </c>
      <c r="AM4" s="36">
        <f t="shared" si="27"/>
        <v>3.4300000000000004E-2</v>
      </c>
      <c r="AN4" s="36">
        <f t="shared" si="28"/>
        <v>3.4300000000000004E-2</v>
      </c>
      <c r="AO4" s="36">
        <f t="shared" si="29"/>
        <v>3.4300000000000004E-2</v>
      </c>
      <c r="AP4" s="36">
        <f t="shared" si="30"/>
        <v>3.4300000000000004E-2</v>
      </c>
      <c r="AQ4" s="36">
        <f t="shared" si="31"/>
        <v>3.4300000000000004E-2</v>
      </c>
      <c r="AR4" s="36">
        <f t="shared" si="32"/>
        <v>3.4300000000000004E-2</v>
      </c>
      <c r="AS4" s="36">
        <f t="shared" si="33"/>
        <v>3.4300000000000004E-2</v>
      </c>
      <c r="AT4" s="36">
        <f t="shared" si="34"/>
        <v>3.4300000000000004E-2</v>
      </c>
      <c r="AU4" s="36">
        <f t="shared" si="35"/>
        <v>3.4300000000000004E-2</v>
      </c>
      <c r="AV4" s="36">
        <f t="shared" si="36"/>
        <v>3.4300000000000004E-2</v>
      </c>
      <c r="AW4" s="36">
        <f t="shared" si="37"/>
        <v>3.4300000000000004E-2</v>
      </c>
      <c r="AX4" s="36">
        <f t="shared" si="38"/>
        <v>3.4300000000000004E-2</v>
      </c>
      <c r="AY4" s="36">
        <f t="shared" si="39"/>
        <v>3.4300000000000004E-2</v>
      </c>
      <c r="AZ4" s="36">
        <f t="shared" si="40"/>
        <v>3.4300000000000004E-2</v>
      </c>
    </row>
    <row r="5" spans="1:52" x14ac:dyDescent="0.35">
      <c r="A5" t="s">
        <v>160</v>
      </c>
      <c r="B5" s="36">
        <f>5%-_xlfn.XLOOKUP(A5,BasisPointCost!$A:$A,BasisPointCost!$B:$B)</f>
        <v>4.9300000000000004E-2</v>
      </c>
      <c r="C5" s="36">
        <f t="shared" si="1"/>
        <v>4.9300000000000004E-2</v>
      </c>
      <c r="D5" s="36">
        <f t="shared" si="1"/>
        <v>4.9300000000000004E-2</v>
      </c>
      <c r="E5" s="36">
        <f t="shared" si="1"/>
        <v>4.9300000000000004E-2</v>
      </c>
      <c r="F5" s="36">
        <f t="shared" si="1"/>
        <v>4.9300000000000004E-2</v>
      </c>
      <c r="G5" s="36">
        <f t="shared" si="1"/>
        <v>4.9300000000000004E-2</v>
      </c>
      <c r="H5" s="36">
        <f t="shared" si="1"/>
        <v>4.9300000000000004E-2</v>
      </c>
      <c r="I5" s="36">
        <f t="shared" si="1"/>
        <v>4.9300000000000004E-2</v>
      </c>
      <c r="J5" s="36">
        <f t="shared" si="1"/>
        <v>4.9300000000000004E-2</v>
      </c>
      <c r="K5" s="36">
        <f t="shared" si="1"/>
        <v>4.9300000000000004E-2</v>
      </c>
      <c r="L5" s="37">
        <f>3.5%-0.07%</f>
        <v>3.4300000000000004E-2</v>
      </c>
      <c r="M5" s="36">
        <f t="shared" si="1"/>
        <v>3.4300000000000004E-2</v>
      </c>
      <c r="N5" s="36">
        <f t="shared" si="2"/>
        <v>3.4300000000000004E-2</v>
      </c>
      <c r="O5" s="36">
        <f t="shared" si="3"/>
        <v>3.4300000000000004E-2</v>
      </c>
      <c r="P5" s="36">
        <f t="shared" si="4"/>
        <v>3.4300000000000004E-2</v>
      </c>
      <c r="Q5" s="36">
        <f t="shared" si="5"/>
        <v>3.4300000000000004E-2</v>
      </c>
      <c r="R5" s="36">
        <f t="shared" si="6"/>
        <v>3.4300000000000004E-2</v>
      </c>
      <c r="S5" s="36">
        <f t="shared" si="7"/>
        <v>3.4300000000000004E-2</v>
      </c>
      <c r="T5" s="36">
        <f t="shared" si="8"/>
        <v>3.4300000000000004E-2</v>
      </c>
      <c r="U5" s="36">
        <f t="shared" si="9"/>
        <v>3.4300000000000004E-2</v>
      </c>
      <c r="V5" s="36">
        <f t="shared" si="10"/>
        <v>3.4300000000000004E-2</v>
      </c>
      <c r="W5" s="36">
        <f t="shared" si="11"/>
        <v>3.4300000000000004E-2</v>
      </c>
      <c r="X5" s="36">
        <f t="shared" si="12"/>
        <v>3.4300000000000004E-2</v>
      </c>
      <c r="Y5" s="36">
        <f t="shared" si="13"/>
        <v>3.4300000000000004E-2</v>
      </c>
      <c r="Z5" s="36">
        <f t="shared" si="14"/>
        <v>3.4300000000000004E-2</v>
      </c>
      <c r="AA5" s="36">
        <f t="shared" si="15"/>
        <v>3.4300000000000004E-2</v>
      </c>
      <c r="AB5" s="36">
        <f t="shared" si="16"/>
        <v>3.4300000000000004E-2</v>
      </c>
      <c r="AC5" s="36">
        <f t="shared" si="17"/>
        <v>3.4300000000000004E-2</v>
      </c>
      <c r="AD5" s="36">
        <f t="shared" si="18"/>
        <v>3.4300000000000004E-2</v>
      </c>
      <c r="AE5" s="36">
        <f t="shared" si="19"/>
        <v>3.4300000000000004E-2</v>
      </c>
      <c r="AF5" s="36">
        <f t="shared" si="20"/>
        <v>3.4300000000000004E-2</v>
      </c>
      <c r="AG5" s="36">
        <f t="shared" si="21"/>
        <v>3.4300000000000004E-2</v>
      </c>
      <c r="AH5" s="36">
        <f t="shared" si="22"/>
        <v>3.4300000000000004E-2</v>
      </c>
      <c r="AI5" s="36">
        <f t="shared" si="23"/>
        <v>3.4300000000000004E-2</v>
      </c>
      <c r="AJ5" s="36">
        <f t="shared" si="24"/>
        <v>3.4300000000000004E-2</v>
      </c>
      <c r="AK5" s="36">
        <f t="shared" si="25"/>
        <v>3.4300000000000004E-2</v>
      </c>
      <c r="AL5" s="36">
        <f t="shared" si="26"/>
        <v>3.4300000000000004E-2</v>
      </c>
      <c r="AM5" s="36">
        <f t="shared" si="27"/>
        <v>3.4300000000000004E-2</v>
      </c>
      <c r="AN5" s="36">
        <f t="shared" si="28"/>
        <v>3.4300000000000004E-2</v>
      </c>
      <c r="AO5" s="36">
        <f t="shared" si="29"/>
        <v>3.4300000000000004E-2</v>
      </c>
      <c r="AP5" s="36">
        <f t="shared" si="30"/>
        <v>3.4300000000000004E-2</v>
      </c>
      <c r="AQ5" s="36">
        <f t="shared" si="31"/>
        <v>3.4300000000000004E-2</v>
      </c>
      <c r="AR5" s="36">
        <f t="shared" si="32"/>
        <v>3.4300000000000004E-2</v>
      </c>
      <c r="AS5" s="36">
        <f t="shared" si="33"/>
        <v>3.4300000000000004E-2</v>
      </c>
      <c r="AT5" s="36">
        <f t="shared" si="34"/>
        <v>3.4300000000000004E-2</v>
      </c>
      <c r="AU5" s="36">
        <f t="shared" si="35"/>
        <v>3.4300000000000004E-2</v>
      </c>
      <c r="AV5" s="36">
        <f t="shared" si="36"/>
        <v>3.4300000000000004E-2</v>
      </c>
      <c r="AW5" s="36">
        <f t="shared" si="37"/>
        <v>3.4300000000000004E-2</v>
      </c>
      <c r="AX5" s="36">
        <f t="shared" si="38"/>
        <v>3.4300000000000004E-2</v>
      </c>
      <c r="AY5" s="36">
        <f t="shared" si="39"/>
        <v>3.4300000000000004E-2</v>
      </c>
      <c r="AZ5" s="36">
        <f t="shared" si="40"/>
        <v>3.4300000000000004E-2</v>
      </c>
    </row>
    <row r="6" spans="1:52" x14ac:dyDescent="0.35">
      <c r="A6" t="s">
        <v>159</v>
      </c>
      <c r="B6" s="36">
        <f>3.7%-_xlfn.XLOOKUP(A6,BasisPointCost!$A:$A,BasisPointCost!$B:$B)</f>
        <v>3.6300000000000006E-2</v>
      </c>
      <c r="C6" s="36">
        <f t="shared" si="1"/>
        <v>3.6300000000000006E-2</v>
      </c>
      <c r="D6" s="36">
        <f t="shared" si="1"/>
        <v>3.6300000000000006E-2</v>
      </c>
      <c r="E6" s="36">
        <f t="shared" si="1"/>
        <v>3.6300000000000006E-2</v>
      </c>
      <c r="F6" s="36">
        <f t="shared" si="1"/>
        <v>3.6300000000000006E-2</v>
      </c>
      <c r="G6" s="36">
        <f t="shared" si="1"/>
        <v>3.6300000000000006E-2</v>
      </c>
      <c r="H6" s="36">
        <f t="shared" si="1"/>
        <v>3.6300000000000006E-2</v>
      </c>
      <c r="I6" s="36">
        <f t="shared" si="1"/>
        <v>3.6300000000000006E-2</v>
      </c>
      <c r="J6" s="36">
        <f t="shared" si="1"/>
        <v>3.6300000000000006E-2</v>
      </c>
      <c r="K6" s="36">
        <f t="shared" si="1"/>
        <v>3.6300000000000006E-2</v>
      </c>
      <c r="L6" s="37">
        <f>3.5%-0.07%</f>
        <v>3.4300000000000004E-2</v>
      </c>
      <c r="M6" s="36">
        <f t="shared" si="1"/>
        <v>3.4300000000000004E-2</v>
      </c>
      <c r="N6" s="36">
        <f t="shared" si="2"/>
        <v>3.4300000000000004E-2</v>
      </c>
      <c r="O6" s="36">
        <f t="shared" si="3"/>
        <v>3.4300000000000004E-2</v>
      </c>
      <c r="P6" s="36">
        <f t="shared" si="4"/>
        <v>3.4300000000000004E-2</v>
      </c>
      <c r="Q6" s="36">
        <f t="shared" si="5"/>
        <v>3.4300000000000004E-2</v>
      </c>
      <c r="R6" s="36">
        <f t="shared" si="6"/>
        <v>3.4300000000000004E-2</v>
      </c>
      <c r="S6" s="36">
        <f t="shared" si="7"/>
        <v>3.4300000000000004E-2</v>
      </c>
      <c r="T6" s="36">
        <f t="shared" si="8"/>
        <v>3.4300000000000004E-2</v>
      </c>
      <c r="U6" s="36">
        <f t="shared" si="9"/>
        <v>3.4300000000000004E-2</v>
      </c>
      <c r="V6" s="36">
        <f t="shared" si="10"/>
        <v>3.4300000000000004E-2</v>
      </c>
      <c r="W6" s="36">
        <f t="shared" si="11"/>
        <v>3.4300000000000004E-2</v>
      </c>
      <c r="X6" s="36">
        <f t="shared" si="12"/>
        <v>3.4300000000000004E-2</v>
      </c>
      <c r="Y6" s="36">
        <f t="shared" si="13"/>
        <v>3.4300000000000004E-2</v>
      </c>
      <c r="Z6" s="36">
        <f t="shared" si="14"/>
        <v>3.4300000000000004E-2</v>
      </c>
      <c r="AA6" s="36">
        <f t="shared" si="15"/>
        <v>3.4300000000000004E-2</v>
      </c>
      <c r="AB6" s="36">
        <f t="shared" si="16"/>
        <v>3.4300000000000004E-2</v>
      </c>
      <c r="AC6" s="36">
        <f t="shared" si="17"/>
        <v>3.4300000000000004E-2</v>
      </c>
      <c r="AD6" s="36">
        <f t="shared" si="18"/>
        <v>3.4300000000000004E-2</v>
      </c>
      <c r="AE6" s="36">
        <f t="shared" si="19"/>
        <v>3.4300000000000004E-2</v>
      </c>
      <c r="AF6" s="36">
        <f t="shared" si="20"/>
        <v>3.4300000000000004E-2</v>
      </c>
      <c r="AG6" s="36">
        <f t="shared" si="21"/>
        <v>3.4300000000000004E-2</v>
      </c>
      <c r="AH6" s="36">
        <f t="shared" si="22"/>
        <v>3.4300000000000004E-2</v>
      </c>
      <c r="AI6" s="36">
        <f t="shared" si="23"/>
        <v>3.4300000000000004E-2</v>
      </c>
      <c r="AJ6" s="36">
        <f t="shared" si="24"/>
        <v>3.4300000000000004E-2</v>
      </c>
      <c r="AK6" s="36">
        <f t="shared" si="25"/>
        <v>3.4300000000000004E-2</v>
      </c>
      <c r="AL6" s="36">
        <f t="shared" si="26"/>
        <v>3.4300000000000004E-2</v>
      </c>
      <c r="AM6" s="36">
        <f t="shared" si="27"/>
        <v>3.4300000000000004E-2</v>
      </c>
      <c r="AN6" s="36">
        <f t="shared" si="28"/>
        <v>3.4300000000000004E-2</v>
      </c>
      <c r="AO6" s="36">
        <f t="shared" si="29"/>
        <v>3.4300000000000004E-2</v>
      </c>
      <c r="AP6" s="36">
        <f t="shared" si="30"/>
        <v>3.4300000000000004E-2</v>
      </c>
      <c r="AQ6" s="36">
        <f t="shared" si="31"/>
        <v>3.4300000000000004E-2</v>
      </c>
      <c r="AR6" s="36">
        <f t="shared" si="32"/>
        <v>3.4300000000000004E-2</v>
      </c>
      <c r="AS6" s="36">
        <f t="shared" si="33"/>
        <v>3.4300000000000004E-2</v>
      </c>
      <c r="AT6" s="36">
        <f t="shared" si="34"/>
        <v>3.4300000000000004E-2</v>
      </c>
      <c r="AU6" s="36">
        <f t="shared" si="35"/>
        <v>3.4300000000000004E-2</v>
      </c>
      <c r="AV6" s="36">
        <f t="shared" si="36"/>
        <v>3.4300000000000004E-2</v>
      </c>
      <c r="AW6" s="36">
        <f t="shared" si="37"/>
        <v>3.4300000000000004E-2</v>
      </c>
      <c r="AX6" s="36">
        <f t="shared" si="38"/>
        <v>3.4300000000000004E-2</v>
      </c>
      <c r="AY6" s="36">
        <f t="shared" si="39"/>
        <v>3.4300000000000004E-2</v>
      </c>
      <c r="AZ6" s="36">
        <f t="shared" si="40"/>
        <v>3.4300000000000004E-2</v>
      </c>
    </row>
    <row r="7" spans="1:52" x14ac:dyDescent="0.35">
      <c r="A7" t="s">
        <v>158</v>
      </c>
      <c r="B7" s="36">
        <f>2.9%-_xlfn.XLOOKUP($A7,BasisPointCost!$A:$A,BasisPointCost!$B:$B)</f>
        <v>2.8299999999999999E-2</v>
      </c>
      <c r="C7" s="36">
        <f t="shared" si="1"/>
        <v>2.8299999999999999E-2</v>
      </c>
      <c r="D7" s="36">
        <f t="shared" si="1"/>
        <v>2.8299999999999999E-2</v>
      </c>
      <c r="E7" s="36">
        <f t="shared" si="1"/>
        <v>2.8299999999999999E-2</v>
      </c>
      <c r="F7" s="36">
        <f t="shared" si="1"/>
        <v>2.8299999999999999E-2</v>
      </c>
      <c r="G7" s="36">
        <f t="shared" si="1"/>
        <v>2.8299999999999999E-2</v>
      </c>
      <c r="H7" s="36">
        <f t="shared" si="1"/>
        <v>2.8299999999999999E-2</v>
      </c>
      <c r="I7" s="36">
        <f t="shared" si="1"/>
        <v>2.8299999999999999E-2</v>
      </c>
      <c r="J7" s="36">
        <f t="shared" si="1"/>
        <v>2.8299999999999999E-2</v>
      </c>
      <c r="K7" s="36">
        <f t="shared" si="1"/>
        <v>2.8299999999999999E-2</v>
      </c>
      <c r="L7" s="37">
        <f>3.5%-0.07%</f>
        <v>3.4300000000000004E-2</v>
      </c>
      <c r="M7" s="36">
        <f t="shared" si="1"/>
        <v>3.4300000000000004E-2</v>
      </c>
      <c r="N7" s="36">
        <f t="shared" si="2"/>
        <v>3.4300000000000004E-2</v>
      </c>
      <c r="O7" s="36">
        <f t="shared" si="3"/>
        <v>3.4300000000000004E-2</v>
      </c>
      <c r="P7" s="36">
        <f t="shared" si="4"/>
        <v>3.4300000000000004E-2</v>
      </c>
      <c r="Q7" s="36">
        <f t="shared" si="5"/>
        <v>3.4300000000000004E-2</v>
      </c>
      <c r="R7" s="36">
        <f t="shared" si="6"/>
        <v>3.4300000000000004E-2</v>
      </c>
      <c r="S7" s="36">
        <f t="shared" si="7"/>
        <v>3.4300000000000004E-2</v>
      </c>
      <c r="T7" s="36">
        <f t="shared" si="8"/>
        <v>3.4300000000000004E-2</v>
      </c>
      <c r="U7" s="36">
        <f t="shared" si="9"/>
        <v>3.4300000000000004E-2</v>
      </c>
      <c r="V7" s="36">
        <f t="shared" si="10"/>
        <v>3.4300000000000004E-2</v>
      </c>
      <c r="W7" s="36">
        <f t="shared" si="11"/>
        <v>3.4300000000000004E-2</v>
      </c>
      <c r="X7" s="36">
        <f t="shared" si="12"/>
        <v>3.4300000000000004E-2</v>
      </c>
      <c r="Y7" s="36">
        <f t="shared" si="13"/>
        <v>3.4300000000000004E-2</v>
      </c>
      <c r="Z7" s="36">
        <f t="shared" si="14"/>
        <v>3.4300000000000004E-2</v>
      </c>
      <c r="AA7" s="36">
        <f t="shared" si="15"/>
        <v>3.4300000000000004E-2</v>
      </c>
      <c r="AB7" s="36">
        <f t="shared" si="16"/>
        <v>3.4300000000000004E-2</v>
      </c>
      <c r="AC7" s="36">
        <f t="shared" si="17"/>
        <v>3.4300000000000004E-2</v>
      </c>
      <c r="AD7" s="36">
        <f t="shared" si="18"/>
        <v>3.4300000000000004E-2</v>
      </c>
      <c r="AE7" s="36">
        <f t="shared" si="19"/>
        <v>3.4300000000000004E-2</v>
      </c>
      <c r="AF7" s="36">
        <f t="shared" si="20"/>
        <v>3.4300000000000004E-2</v>
      </c>
      <c r="AG7" s="36">
        <f t="shared" si="21"/>
        <v>3.4300000000000004E-2</v>
      </c>
      <c r="AH7" s="36">
        <f t="shared" si="22"/>
        <v>3.4300000000000004E-2</v>
      </c>
      <c r="AI7" s="36">
        <f t="shared" si="23"/>
        <v>3.4300000000000004E-2</v>
      </c>
      <c r="AJ7" s="36">
        <f t="shared" si="24"/>
        <v>3.4300000000000004E-2</v>
      </c>
      <c r="AK7" s="36">
        <f t="shared" si="25"/>
        <v>3.4300000000000004E-2</v>
      </c>
      <c r="AL7" s="36">
        <f t="shared" si="26"/>
        <v>3.4300000000000004E-2</v>
      </c>
      <c r="AM7" s="36">
        <f t="shared" si="27"/>
        <v>3.4300000000000004E-2</v>
      </c>
      <c r="AN7" s="36">
        <f t="shared" si="28"/>
        <v>3.4300000000000004E-2</v>
      </c>
      <c r="AO7" s="36">
        <f t="shared" si="29"/>
        <v>3.4300000000000004E-2</v>
      </c>
      <c r="AP7" s="36">
        <f t="shared" si="30"/>
        <v>3.4300000000000004E-2</v>
      </c>
      <c r="AQ7" s="36">
        <f t="shared" si="31"/>
        <v>3.4300000000000004E-2</v>
      </c>
      <c r="AR7" s="36">
        <f t="shared" si="32"/>
        <v>3.4300000000000004E-2</v>
      </c>
      <c r="AS7" s="36">
        <f t="shared" si="33"/>
        <v>3.4300000000000004E-2</v>
      </c>
      <c r="AT7" s="36">
        <f t="shared" si="34"/>
        <v>3.4300000000000004E-2</v>
      </c>
      <c r="AU7" s="36">
        <f t="shared" si="35"/>
        <v>3.4300000000000004E-2</v>
      </c>
      <c r="AV7" s="36">
        <f t="shared" si="36"/>
        <v>3.4300000000000004E-2</v>
      </c>
      <c r="AW7" s="36">
        <f t="shared" si="37"/>
        <v>3.4300000000000004E-2</v>
      </c>
      <c r="AX7" s="36">
        <f t="shared" si="38"/>
        <v>3.4300000000000004E-2</v>
      </c>
      <c r="AY7" s="36">
        <f t="shared" si="39"/>
        <v>3.4300000000000004E-2</v>
      </c>
      <c r="AZ7" s="36">
        <f t="shared" si="40"/>
        <v>3.4300000000000004E-2</v>
      </c>
    </row>
  </sheetData>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376BD-1041-4368-81BD-154460E3C655}">
  <dimension ref="A1:C7"/>
  <sheetViews>
    <sheetView workbookViewId="0">
      <selection activeCell="A18" sqref="A18"/>
    </sheetView>
  </sheetViews>
  <sheetFormatPr defaultRowHeight="14.5" x14ac:dyDescent="0.35"/>
  <cols>
    <col min="1" max="1" width="31.453125" bestFit="1" customWidth="1"/>
    <col min="2" max="2" width="15.26953125" bestFit="1" customWidth="1"/>
  </cols>
  <sheetData>
    <row r="1" spans="1:3" x14ac:dyDescent="0.35">
      <c r="A1" t="s">
        <v>168</v>
      </c>
      <c r="B1" t="s">
        <v>169</v>
      </c>
      <c r="C1" t="s">
        <v>170</v>
      </c>
    </row>
    <row r="2" spans="1:3" x14ac:dyDescent="0.35">
      <c r="A2" t="s">
        <v>106</v>
      </c>
      <c r="B2" s="34">
        <f>0.2%</f>
        <v>2E-3</v>
      </c>
    </row>
    <row r="3" spans="1:3" x14ac:dyDescent="0.35">
      <c r="A3" t="s">
        <v>107</v>
      </c>
      <c r="B3" s="34">
        <f>0.2%</f>
        <v>2E-3</v>
      </c>
    </row>
    <row r="4" spans="1:3" x14ac:dyDescent="0.35">
      <c r="A4" t="s">
        <v>161</v>
      </c>
      <c r="B4" s="34">
        <f>0.07%</f>
        <v>7.000000000000001E-4</v>
      </c>
    </row>
    <row r="5" spans="1:3" x14ac:dyDescent="0.35">
      <c r="A5" t="s">
        <v>160</v>
      </c>
      <c r="B5" s="34">
        <f>0.07%</f>
        <v>7.000000000000001E-4</v>
      </c>
    </row>
    <row r="6" spans="1:3" x14ac:dyDescent="0.35">
      <c r="A6" t="s">
        <v>159</v>
      </c>
      <c r="B6" s="34">
        <f>0.07%</f>
        <v>7.000000000000001E-4</v>
      </c>
    </row>
    <row r="7" spans="1:3" x14ac:dyDescent="0.35">
      <c r="A7" t="s">
        <v>158</v>
      </c>
      <c r="B7" s="34">
        <f>0.07%</f>
        <v>7.000000000000001E-4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5CA3-DE5D-422A-9220-CA76503F3C0E}">
  <dimension ref="A1:AP7"/>
  <sheetViews>
    <sheetView workbookViewId="0">
      <selection activeCell="B3" sqref="B3"/>
    </sheetView>
  </sheetViews>
  <sheetFormatPr defaultRowHeight="14.5" x14ac:dyDescent="0.35"/>
  <cols>
    <col min="1" max="1" width="31.453125" bestFit="1" customWidth="1"/>
    <col min="2" max="2" width="12.453125" bestFit="1" customWidth="1"/>
    <col min="3" max="3" width="11.81640625" bestFit="1" customWidth="1"/>
    <col min="4" max="11" width="12.453125" bestFit="1" customWidth="1"/>
    <col min="12" max="12" width="11.81640625" bestFit="1" customWidth="1"/>
    <col min="13" max="20" width="12.453125" bestFit="1" customWidth="1"/>
    <col min="21" max="21" width="11.81640625" bestFit="1" customWidth="1"/>
    <col min="22" max="22" width="12.453125" bestFit="1" customWidth="1"/>
    <col min="23" max="23" width="11.81640625" bestFit="1" customWidth="1"/>
    <col min="24" max="26" width="12.453125" bestFit="1" customWidth="1"/>
    <col min="27" max="27" width="11.81640625" bestFit="1" customWidth="1"/>
    <col min="28" max="31" width="12.453125" bestFit="1" customWidth="1"/>
    <col min="32" max="32" width="11.81640625" bestFit="1" customWidth="1"/>
    <col min="33" max="34" width="12.453125" bestFit="1" customWidth="1"/>
    <col min="35" max="36" width="11.81640625" bestFit="1" customWidth="1"/>
    <col min="37" max="43" width="12.453125" bestFit="1" customWidth="1"/>
    <col min="44" max="46" width="11.81640625" bestFit="1" customWidth="1"/>
    <col min="47" max="47" width="12.453125" bestFit="1" customWidth="1"/>
    <col min="48" max="49" width="11.81640625" bestFit="1" customWidth="1"/>
    <col min="50" max="50" width="12.453125" bestFit="1" customWidth="1"/>
    <col min="51" max="51" width="11.81640625" bestFit="1" customWidth="1"/>
  </cols>
  <sheetData>
    <row r="1" spans="1:42" x14ac:dyDescent="0.35">
      <c r="B1" t="s">
        <v>118</v>
      </c>
      <c r="C1" t="s">
        <v>119</v>
      </c>
      <c r="D1" t="s">
        <v>120</v>
      </c>
      <c r="E1" t="s">
        <v>121</v>
      </c>
      <c r="F1" t="s">
        <v>122</v>
      </c>
      <c r="G1" t="s">
        <v>123</v>
      </c>
      <c r="H1" t="s">
        <v>124</v>
      </c>
      <c r="I1" t="s">
        <v>125</v>
      </c>
      <c r="J1" t="s">
        <v>126</v>
      </c>
      <c r="K1" t="s">
        <v>127</v>
      </c>
      <c r="L1" t="s">
        <v>128</v>
      </c>
      <c r="M1" t="s">
        <v>129</v>
      </c>
      <c r="N1" t="s">
        <v>130</v>
      </c>
      <c r="O1" t="s">
        <v>131</v>
      </c>
      <c r="P1" t="s">
        <v>132</v>
      </c>
      <c r="Q1" t="s">
        <v>133</v>
      </c>
      <c r="R1" t="s">
        <v>134</v>
      </c>
      <c r="S1" t="s">
        <v>135</v>
      </c>
      <c r="T1" t="s">
        <v>136</v>
      </c>
      <c r="U1" t="s">
        <v>137</v>
      </c>
      <c r="V1" t="s">
        <v>138</v>
      </c>
      <c r="W1" t="s">
        <v>139</v>
      </c>
      <c r="X1" t="s">
        <v>140</v>
      </c>
      <c r="Y1" t="s">
        <v>141</v>
      </c>
      <c r="Z1" t="s">
        <v>142</v>
      </c>
      <c r="AA1" t="s">
        <v>143</v>
      </c>
      <c r="AB1" t="s">
        <v>144</v>
      </c>
      <c r="AC1" t="s">
        <v>145</v>
      </c>
      <c r="AD1" t="s">
        <v>146</v>
      </c>
      <c r="AE1" t="s">
        <v>147</v>
      </c>
      <c r="AF1" t="s">
        <v>148</v>
      </c>
      <c r="AG1" t="s">
        <v>149</v>
      </c>
      <c r="AH1" t="s">
        <v>150</v>
      </c>
      <c r="AI1" t="s">
        <v>151</v>
      </c>
      <c r="AJ1" t="s">
        <v>152</v>
      </c>
      <c r="AK1" t="s">
        <v>153</v>
      </c>
      <c r="AL1" t="s">
        <v>154</v>
      </c>
      <c r="AM1" t="s">
        <v>155</v>
      </c>
      <c r="AN1" t="s">
        <v>156</v>
      </c>
      <c r="AO1" t="s">
        <v>157</v>
      </c>
      <c r="AP1" s="32" t="s">
        <v>167</v>
      </c>
    </row>
    <row r="2" spans="1:42" x14ac:dyDescent="0.35">
      <c r="A2" t="s">
        <v>171</v>
      </c>
      <c r="B2" s="35">
        <f>6.5%-0.2%</f>
        <v>6.3E-2</v>
      </c>
      <c r="C2" s="35">
        <f>B2</f>
        <v>6.3E-2</v>
      </c>
      <c r="D2" s="35">
        <f t="shared" ref="D2:S3" si="0">C2</f>
        <v>6.3E-2</v>
      </c>
      <c r="E2" s="35">
        <f t="shared" si="0"/>
        <v>6.3E-2</v>
      </c>
      <c r="F2" s="35">
        <f t="shared" si="0"/>
        <v>6.3E-2</v>
      </c>
      <c r="G2" s="35">
        <f t="shared" si="0"/>
        <v>6.3E-2</v>
      </c>
      <c r="H2" s="35">
        <f t="shared" si="0"/>
        <v>6.3E-2</v>
      </c>
      <c r="I2" s="35">
        <f t="shared" si="0"/>
        <v>6.3E-2</v>
      </c>
      <c r="J2" s="35">
        <f t="shared" si="0"/>
        <v>6.3E-2</v>
      </c>
      <c r="K2" s="35">
        <f t="shared" si="0"/>
        <v>6.3E-2</v>
      </c>
      <c r="L2" s="35">
        <f t="shared" si="0"/>
        <v>6.3E-2</v>
      </c>
      <c r="M2" s="35">
        <f t="shared" si="0"/>
        <v>6.3E-2</v>
      </c>
      <c r="N2" s="35">
        <f t="shared" si="0"/>
        <v>6.3E-2</v>
      </c>
      <c r="O2" s="35">
        <f t="shared" si="0"/>
        <v>6.3E-2</v>
      </c>
      <c r="P2" s="35">
        <f t="shared" si="0"/>
        <v>6.3E-2</v>
      </c>
      <c r="Q2" s="35">
        <f t="shared" si="0"/>
        <v>6.3E-2</v>
      </c>
      <c r="R2" s="35">
        <f t="shared" si="0"/>
        <v>6.3E-2</v>
      </c>
      <c r="S2" s="35">
        <f t="shared" si="0"/>
        <v>6.3E-2</v>
      </c>
      <c r="T2" s="35">
        <f t="shared" ref="T2:AO3" si="1">S2</f>
        <v>6.3E-2</v>
      </c>
      <c r="U2" s="35">
        <f t="shared" si="1"/>
        <v>6.3E-2</v>
      </c>
      <c r="V2" s="35">
        <f t="shared" si="1"/>
        <v>6.3E-2</v>
      </c>
      <c r="W2" s="35">
        <f t="shared" si="1"/>
        <v>6.3E-2</v>
      </c>
      <c r="X2" s="35">
        <f t="shared" si="1"/>
        <v>6.3E-2</v>
      </c>
      <c r="Y2" s="35">
        <f t="shared" si="1"/>
        <v>6.3E-2</v>
      </c>
      <c r="Z2" s="35">
        <f t="shared" si="1"/>
        <v>6.3E-2</v>
      </c>
      <c r="AA2" s="35">
        <f t="shared" si="1"/>
        <v>6.3E-2</v>
      </c>
      <c r="AB2" s="35">
        <f t="shared" si="1"/>
        <v>6.3E-2</v>
      </c>
      <c r="AC2" s="35">
        <f t="shared" si="1"/>
        <v>6.3E-2</v>
      </c>
      <c r="AD2" s="35">
        <f t="shared" si="1"/>
        <v>6.3E-2</v>
      </c>
      <c r="AE2" s="35">
        <f t="shared" si="1"/>
        <v>6.3E-2</v>
      </c>
      <c r="AF2" s="35">
        <f t="shared" si="1"/>
        <v>6.3E-2</v>
      </c>
      <c r="AG2" s="35">
        <f t="shared" si="1"/>
        <v>6.3E-2</v>
      </c>
      <c r="AH2" s="35">
        <f t="shared" si="1"/>
        <v>6.3E-2</v>
      </c>
      <c r="AI2" s="35">
        <f t="shared" si="1"/>
        <v>6.3E-2</v>
      </c>
      <c r="AJ2" s="35">
        <f t="shared" si="1"/>
        <v>6.3E-2</v>
      </c>
      <c r="AK2" s="35">
        <f t="shared" si="1"/>
        <v>6.3E-2</v>
      </c>
      <c r="AL2" s="35">
        <f t="shared" si="1"/>
        <v>6.3E-2</v>
      </c>
      <c r="AM2" s="35">
        <f t="shared" si="1"/>
        <v>6.3E-2</v>
      </c>
      <c r="AN2" s="35">
        <f t="shared" si="1"/>
        <v>6.3E-2</v>
      </c>
      <c r="AO2" s="35">
        <f t="shared" si="1"/>
        <v>6.3E-2</v>
      </c>
      <c r="AP2" s="35">
        <f t="shared" ref="AP2" si="2">AO2</f>
        <v>6.3E-2</v>
      </c>
    </row>
    <row r="3" spans="1:42" x14ac:dyDescent="0.35">
      <c r="A3" t="s">
        <v>172</v>
      </c>
      <c r="B3" s="35">
        <f>3.5%-0.07%</f>
        <v>3.4300000000000004E-2</v>
      </c>
      <c r="C3" s="35">
        <f>B3</f>
        <v>3.4300000000000004E-2</v>
      </c>
      <c r="D3" s="35">
        <f t="shared" si="0"/>
        <v>3.4300000000000004E-2</v>
      </c>
      <c r="E3" s="35">
        <f t="shared" si="0"/>
        <v>3.4300000000000004E-2</v>
      </c>
      <c r="F3" s="35">
        <f t="shared" si="0"/>
        <v>3.4300000000000004E-2</v>
      </c>
      <c r="G3" s="35">
        <f t="shared" si="0"/>
        <v>3.4300000000000004E-2</v>
      </c>
      <c r="H3" s="35">
        <f t="shared" si="0"/>
        <v>3.4300000000000004E-2</v>
      </c>
      <c r="I3" s="35">
        <f t="shared" si="0"/>
        <v>3.4300000000000004E-2</v>
      </c>
      <c r="J3" s="35">
        <f t="shared" si="0"/>
        <v>3.4300000000000004E-2</v>
      </c>
      <c r="K3" s="35">
        <f t="shared" si="0"/>
        <v>3.4300000000000004E-2</v>
      </c>
      <c r="L3" s="35">
        <f t="shared" si="0"/>
        <v>3.4300000000000004E-2</v>
      </c>
      <c r="M3" s="35">
        <f t="shared" si="0"/>
        <v>3.4300000000000004E-2</v>
      </c>
      <c r="N3" s="35">
        <f t="shared" si="0"/>
        <v>3.4300000000000004E-2</v>
      </c>
      <c r="O3" s="35">
        <f t="shared" si="0"/>
        <v>3.4300000000000004E-2</v>
      </c>
      <c r="P3" s="35">
        <f t="shared" si="0"/>
        <v>3.4300000000000004E-2</v>
      </c>
      <c r="Q3" s="35">
        <f t="shared" si="0"/>
        <v>3.4300000000000004E-2</v>
      </c>
      <c r="R3" s="35">
        <f t="shared" si="0"/>
        <v>3.4300000000000004E-2</v>
      </c>
      <c r="S3" s="35">
        <f t="shared" si="0"/>
        <v>3.4300000000000004E-2</v>
      </c>
      <c r="T3" s="35">
        <f t="shared" si="1"/>
        <v>3.4300000000000004E-2</v>
      </c>
      <c r="U3" s="35">
        <f t="shared" si="1"/>
        <v>3.4300000000000004E-2</v>
      </c>
      <c r="V3" s="35">
        <f t="shared" si="1"/>
        <v>3.4300000000000004E-2</v>
      </c>
      <c r="W3" s="35">
        <f t="shared" si="1"/>
        <v>3.4300000000000004E-2</v>
      </c>
      <c r="X3" s="35">
        <f t="shared" si="1"/>
        <v>3.4300000000000004E-2</v>
      </c>
      <c r="Y3" s="35">
        <f t="shared" si="1"/>
        <v>3.4300000000000004E-2</v>
      </c>
      <c r="Z3" s="35">
        <f t="shared" si="1"/>
        <v>3.4300000000000004E-2</v>
      </c>
      <c r="AA3" s="35">
        <f t="shared" si="1"/>
        <v>3.4300000000000004E-2</v>
      </c>
      <c r="AB3" s="35">
        <f t="shared" si="1"/>
        <v>3.4300000000000004E-2</v>
      </c>
      <c r="AC3" s="35">
        <f t="shared" si="1"/>
        <v>3.4300000000000004E-2</v>
      </c>
      <c r="AD3" s="35">
        <f t="shared" si="1"/>
        <v>3.4300000000000004E-2</v>
      </c>
      <c r="AE3" s="35">
        <f t="shared" si="1"/>
        <v>3.4300000000000004E-2</v>
      </c>
      <c r="AF3" s="35">
        <f t="shared" si="1"/>
        <v>3.4300000000000004E-2</v>
      </c>
      <c r="AG3" s="35">
        <f t="shared" si="1"/>
        <v>3.4300000000000004E-2</v>
      </c>
      <c r="AH3" s="35">
        <f t="shared" si="1"/>
        <v>3.4300000000000004E-2</v>
      </c>
      <c r="AI3" s="35">
        <f t="shared" si="1"/>
        <v>3.4300000000000004E-2</v>
      </c>
      <c r="AJ3" s="35">
        <f t="shared" si="1"/>
        <v>3.4300000000000004E-2</v>
      </c>
      <c r="AK3" s="35">
        <f t="shared" si="1"/>
        <v>3.4300000000000004E-2</v>
      </c>
      <c r="AL3" s="35">
        <f t="shared" si="1"/>
        <v>3.4300000000000004E-2</v>
      </c>
      <c r="AM3" s="35">
        <f t="shared" si="1"/>
        <v>3.4300000000000004E-2</v>
      </c>
      <c r="AN3" s="35">
        <f t="shared" si="1"/>
        <v>3.4300000000000004E-2</v>
      </c>
      <c r="AO3" s="35">
        <f t="shared" si="1"/>
        <v>3.4300000000000004E-2</v>
      </c>
      <c r="AP3" s="35">
        <f t="shared" ref="AP3" si="3">AO3</f>
        <v>3.4300000000000004E-2</v>
      </c>
    </row>
    <row r="4" spans="1:42" x14ac:dyDescent="0.35">
      <c r="B4" s="33"/>
      <c r="C4" s="33"/>
      <c r="D4" s="33"/>
      <c r="E4" s="33"/>
      <c r="F4" s="33"/>
      <c r="G4" s="33"/>
      <c r="H4" s="33"/>
      <c r="I4" s="33"/>
      <c r="J4" s="33"/>
      <c r="K4" s="33"/>
    </row>
    <row r="5" spans="1:42" x14ac:dyDescent="0.35">
      <c r="B5" s="33"/>
      <c r="C5" s="33"/>
      <c r="D5" s="33"/>
      <c r="E5" s="33"/>
      <c r="F5" s="33"/>
      <c r="G5" s="33"/>
      <c r="H5" s="33"/>
      <c r="I5" s="33"/>
      <c r="J5" s="33"/>
      <c r="K5" s="33"/>
    </row>
    <row r="6" spans="1:42" x14ac:dyDescent="0.35">
      <c r="B6" s="33"/>
      <c r="C6" s="33"/>
      <c r="D6" s="33"/>
      <c r="E6" s="33"/>
      <c r="F6" s="33"/>
      <c r="G6" s="33"/>
      <c r="H6" s="33"/>
      <c r="I6" s="33"/>
      <c r="J6" s="33"/>
      <c r="K6" s="33"/>
    </row>
    <row r="7" spans="1:42" x14ac:dyDescent="0.35">
      <c r="B7" s="33"/>
      <c r="C7" s="33"/>
      <c r="D7" s="33"/>
      <c r="E7" s="33"/>
      <c r="F7" s="33"/>
      <c r="G7" s="33"/>
      <c r="H7" s="33"/>
      <c r="I7" s="33"/>
      <c r="J7" s="33"/>
      <c r="K7" s="3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FE45-F3C8-4B14-93F1-88A34142D148}">
  <dimension ref="A1:B7"/>
  <sheetViews>
    <sheetView workbookViewId="0">
      <selection activeCell="C8" sqref="C8:C15"/>
    </sheetView>
  </sheetViews>
  <sheetFormatPr defaultColWidth="8.7265625" defaultRowHeight="14.5" x14ac:dyDescent="0.35"/>
  <cols>
    <col min="1" max="1" width="31.453125" style="1" bestFit="1" customWidth="1"/>
    <col min="2" max="2" width="29.7265625" style="1" bestFit="1" customWidth="1"/>
    <col min="3" max="16384" width="8.7265625" style="1"/>
  </cols>
  <sheetData>
    <row r="1" spans="1:2" x14ac:dyDescent="0.35">
      <c r="B1" s="1" t="s">
        <v>162</v>
      </c>
    </row>
    <row r="2" spans="1:2" x14ac:dyDescent="0.35">
      <c r="A2" s="1" t="s">
        <v>106</v>
      </c>
      <c r="B2" s="1">
        <v>8.5999999999999993E-2</v>
      </c>
    </row>
    <row r="3" spans="1:2" x14ac:dyDescent="0.35">
      <c r="A3" s="1" t="s">
        <v>107</v>
      </c>
      <c r="B3" s="1">
        <v>7.0000000000000007E-2</v>
      </c>
    </row>
    <row r="4" spans="1:2" x14ac:dyDescent="0.35">
      <c r="A4" s="1" t="s">
        <v>161</v>
      </c>
      <c r="B4" s="1">
        <v>4.9000000000000002E-2</v>
      </c>
    </row>
    <row r="5" spans="1:2" x14ac:dyDescent="0.35">
      <c r="A5" s="1" t="s">
        <v>160</v>
      </c>
      <c r="B5" s="1">
        <v>0.05</v>
      </c>
    </row>
    <row r="6" spans="1:2" x14ac:dyDescent="0.35">
      <c r="A6" s="1" t="s">
        <v>159</v>
      </c>
      <c r="B6" s="1">
        <v>3.6999999999999998E-2</v>
      </c>
    </row>
    <row r="7" spans="1:2" x14ac:dyDescent="0.35">
      <c r="A7" s="1" t="s">
        <v>158</v>
      </c>
      <c r="B7" s="1">
        <v>2.9000000000000001E-2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362A-7ACB-4E20-9C77-3DAC52A0B042}">
  <dimension ref="A1:B3"/>
  <sheetViews>
    <sheetView workbookViewId="0">
      <selection activeCell="B4" sqref="B4"/>
    </sheetView>
  </sheetViews>
  <sheetFormatPr defaultColWidth="8.7265625" defaultRowHeight="14.5" x14ac:dyDescent="0.35"/>
  <cols>
    <col min="1" max="1" width="31.453125" style="1" bestFit="1" customWidth="1"/>
    <col min="2" max="2" width="29.7265625" style="1" bestFit="1" customWidth="1"/>
    <col min="3" max="16384" width="8.7265625" style="1"/>
  </cols>
  <sheetData>
    <row r="1" spans="1:2" x14ac:dyDescent="0.35">
      <c r="B1" s="1" t="s">
        <v>162</v>
      </c>
    </row>
    <row r="2" spans="1:2" x14ac:dyDescent="0.35">
      <c r="A2" s="1" t="s">
        <v>171</v>
      </c>
      <c r="B2" s="1">
        <v>0.18</v>
      </c>
    </row>
    <row r="3" spans="1:2" x14ac:dyDescent="0.35">
      <c r="A3" s="1" t="s">
        <v>172</v>
      </c>
      <c r="B3" s="1">
        <v>0.08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A200-A429-4284-9EC3-C8CE8923F868}">
  <dimension ref="A1:G7"/>
  <sheetViews>
    <sheetView workbookViewId="0">
      <selection activeCell="C11" sqref="C11"/>
    </sheetView>
  </sheetViews>
  <sheetFormatPr defaultRowHeight="14.5" x14ac:dyDescent="0.35"/>
  <cols>
    <col min="1" max="1" width="31.453125" bestFit="1" customWidth="1"/>
    <col min="2" max="2" width="29.54296875" bestFit="1" customWidth="1"/>
    <col min="3" max="3" width="31.453125" bestFit="1" customWidth="1"/>
    <col min="4" max="4" width="24.81640625" bestFit="1" customWidth="1"/>
    <col min="5" max="5" width="30.81640625" bestFit="1" customWidth="1"/>
    <col min="6" max="6" width="24.453125" bestFit="1" customWidth="1"/>
    <col min="7" max="7" width="23.26953125" bestFit="1" customWidth="1"/>
  </cols>
  <sheetData>
    <row r="1" spans="1:7" x14ac:dyDescent="0.35">
      <c r="B1" t="s">
        <v>158</v>
      </c>
      <c r="C1" t="s">
        <v>159</v>
      </c>
      <c r="D1" t="s">
        <v>160</v>
      </c>
      <c r="E1" t="s">
        <v>161</v>
      </c>
      <c r="F1" t="s">
        <v>107</v>
      </c>
      <c r="G1" t="s">
        <v>106</v>
      </c>
    </row>
    <row r="2" spans="1:7" x14ac:dyDescent="0.35">
      <c r="A2" t="s">
        <v>158</v>
      </c>
      <c r="B2">
        <v>1</v>
      </c>
      <c r="C2">
        <v>0.6</v>
      </c>
      <c r="D2">
        <v>0.2</v>
      </c>
      <c r="E2">
        <v>0.4</v>
      </c>
      <c r="F2">
        <v>0</v>
      </c>
      <c r="G2">
        <v>0</v>
      </c>
    </row>
    <row r="3" spans="1:7" x14ac:dyDescent="0.35">
      <c r="A3" t="s">
        <v>159</v>
      </c>
      <c r="B3">
        <v>0.6</v>
      </c>
      <c r="C3">
        <v>1</v>
      </c>
      <c r="D3">
        <v>0.7</v>
      </c>
      <c r="E3">
        <v>0.6</v>
      </c>
      <c r="F3">
        <v>0.3</v>
      </c>
      <c r="G3">
        <v>0.3</v>
      </c>
    </row>
    <row r="4" spans="1:7" x14ac:dyDescent="0.35">
      <c r="A4" t="s">
        <v>160</v>
      </c>
      <c r="B4">
        <v>0.2</v>
      </c>
      <c r="C4">
        <v>0.7</v>
      </c>
      <c r="D4">
        <v>1</v>
      </c>
      <c r="E4">
        <v>0.7</v>
      </c>
      <c r="F4">
        <v>0.7</v>
      </c>
      <c r="G4">
        <v>0.6</v>
      </c>
    </row>
    <row r="5" spans="1:7" x14ac:dyDescent="0.35">
      <c r="A5" t="s">
        <v>161</v>
      </c>
      <c r="B5">
        <v>0.4</v>
      </c>
      <c r="C5">
        <v>0.6</v>
      </c>
      <c r="D5">
        <v>0.7</v>
      </c>
      <c r="E5">
        <v>1</v>
      </c>
      <c r="F5">
        <v>0.5</v>
      </c>
      <c r="G5">
        <v>0.7</v>
      </c>
    </row>
    <row r="6" spans="1:7" x14ac:dyDescent="0.35">
      <c r="A6" t="s">
        <v>107</v>
      </c>
      <c r="B6">
        <v>0</v>
      </c>
      <c r="C6">
        <v>0.3</v>
      </c>
      <c r="D6">
        <v>0.7</v>
      </c>
      <c r="E6">
        <v>0.5</v>
      </c>
      <c r="F6">
        <v>1</v>
      </c>
      <c r="G6">
        <v>0.7</v>
      </c>
    </row>
    <row r="7" spans="1:7" x14ac:dyDescent="0.35">
      <c r="A7" t="s">
        <v>106</v>
      </c>
      <c r="B7">
        <v>0</v>
      </c>
      <c r="C7">
        <v>0.3</v>
      </c>
      <c r="D7">
        <v>0.6</v>
      </c>
      <c r="E7">
        <v>0.7</v>
      </c>
      <c r="F7">
        <v>0.7</v>
      </c>
      <c r="G7">
        <v>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7A95-B188-4DD8-8CC8-933010413F8F}">
  <dimension ref="A1:C3"/>
  <sheetViews>
    <sheetView workbookViewId="0">
      <selection activeCell="D16" sqref="D16"/>
    </sheetView>
  </sheetViews>
  <sheetFormatPr defaultRowHeight="14.5" x14ac:dyDescent="0.35"/>
  <cols>
    <col min="1" max="1" width="31.453125" bestFit="1" customWidth="1"/>
    <col min="2" max="2" width="29.54296875" bestFit="1" customWidth="1"/>
    <col min="3" max="3" width="31.453125" bestFit="1" customWidth="1"/>
    <col min="4" max="4" width="24.81640625" bestFit="1" customWidth="1"/>
    <col min="5" max="5" width="30.81640625" bestFit="1" customWidth="1"/>
    <col min="6" max="6" width="24.453125" bestFit="1" customWidth="1"/>
    <col min="7" max="7" width="23.26953125" bestFit="1" customWidth="1"/>
  </cols>
  <sheetData>
    <row r="1" spans="1:3" x14ac:dyDescent="0.35">
      <c r="B1" t="s">
        <v>172</v>
      </c>
      <c r="C1" t="s">
        <v>171</v>
      </c>
    </row>
    <row r="2" spans="1:3" x14ac:dyDescent="0.35">
      <c r="A2" t="str" cm="1">
        <f t="array" ref="A2:A3">TRANSPOSE(B1:C1)</f>
        <v>Obligations</v>
      </c>
      <c r="B2">
        <v>1</v>
      </c>
      <c r="C2">
        <v>0</v>
      </c>
    </row>
    <row r="3" spans="1:3" x14ac:dyDescent="0.35">
      <c r="A3" t="str">
        <v>Equities</v>
      </c>
      <c r="B3">
        <v>0</v>
      </c>
      <c r="C3">
        <v>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19F4-A05D-45D0-B8F0-DC7FDC307651}">
  <sheetPr>
    <tabColor theme="7" tint="0.79998168889431442"/>
  </sheetPr>
  <dimension ref="B2:P48"/>
  <sheetViews>
    <sheetView topLeftCell="A2" zoomScale="115" zoomScaleNormal="115" workbookViewId="0">
      <selection activeCell="E6" sqref="E6"/>
    </sheetView>
  </sheetViews>
  <sheetFormatPr defaultColWidth="8.7265625" defaultRowHeight="14.5" x14ac:dyDescent="0.35"/>
  <cols>
    <col min="1" max="1" width="3.453125" style="1" customWidth="1"/>
    <col min="2" max="2" width="13.1796875" style="1" customWidth="1"/>
    <col min="3" max="3" width="16.26953125" style="1" customWidth="1"/>
    <col min="4" max="4" width="18.26953125" style="1" bestFit="1" customWidth="1"/>
    <col min="5" max="6" width="18.26953125" style="1" customWidth="1"/>
    <col min="7" max="7" width="14.453125" style="1" customWidth="1"/>
    <col min="8" max="8" width="34.81640625" style="1" bestFit="1" customWidth="1"/>
    <col min="9" max="11" width="8.7265625" style="1"/>
    <col min="12" max="12" width="11.453125" style="1" bestFit="1" customWidth="1"/>
    <col min="13" max="14" width="21.54296875" style="1" customWidth="1"/>
    <col min="15" max="16" width="14.1796875" style="1" bestFit="1" customWidth="1"/>
    <col min="17" max="16384" width="8.7265625" style="1"/>
  </cols>
  <sheetData>
    <row r="2" spans="2:16" x14ac:dyDescent="0.35">
      <c r="B2" s="2" t="s">
        <v>1</v>
      </c>
      <c r="C2" s="2" t="s">
        <v>5</v>
      </c>
      <c r="D2" s="2" t="s">
        <v>6</v>
      </c>
      <c r="E2" s="2" t="s">
        <v>83</v>
      </c>
      <c r="F2" s="2" t="s">
        <v>84</v>
      </c>
      <c r="G2" s="22"/>
      <c r="H2" s="18" t="s">
        <v>68</v>
      </c>
      <c r="I2" s="19">
        <v>0.04</v>
      </c>
      <c r="M2" s="5" t="s">
        <v>7</v>
      </c>
      <c r="N2" s="5" t="s">
        <v>8</v>
      </c>
      <c r="O2" s="5" t="s">
        <v>62</v>
      </c>
      <c r="P2" s="5" t="s">
        <v>63</v>
      </c>
    </row>
    <row r="3" spans="2:16" x14ac:dyDescent="0.35">
      <c r="B3" s="2">
        <v>2025</v>
      </c>
      <c r="C3" s="3">
        <f>(TableIncomeCalculations[[#This Row],[GrossMonthlySalaryP1]]*12)</f>
        <v>526452</v>
      </c>
      <c r="D3" s="24">
        <f>(TableIncomeCalculations[[#This Row],[GrossMonthlySalaryP2]]*12)</f>
        <v>768012</v>
      </c>
      <c r="E3" s="3">
        <f>TableIncome[[#This Row],[SalaryP1]]*$I$6</f>
        <v>52645.200000000004</v>
      </c>
      <c r="F3" s="3">
        <f>TableIncome[[#This Row],[SalaryP2]]*$I$6</f>
        <v>76801.2</v>
      </c>
      <c r="G3" s="22"/>
      <c r="H3" s="18" t="s">
        <v>69</v>
      </c>
      <c r="I3" s="19">
        <v>0.05</v>
      </c>
      <c r="M3" s="21">
        <v>43871</v>
      </c>
      <c r="N3" s="20">
        <v>64001</v>
      </c>
      <c r="O3" t="str">
        <f>_xlfn.XLOOKUP(_xlfn.XLOOKUP(TableIncome[[#This Row],[Year]],Loop!C:C,Loop!D:D),'Job Hopping'!B:B,'Job Hopping'!F:F)</f>
        <v>N</v>
      </c>
      <c r="P3" t="str">
        <f>_xlfn.XLOOKUP(_xlfn.XLOOKUP(TableIncome[[#This Row],[Year]],Loop!C:C,Loop!E:E),'Job Hopping'!B:B,'Job Hopping'!G:G)</f>
        <v>N</v>
      </c>
    </row>
    <row r="4" spans="2:16" x14ac:dyDescent="0.35">
      <c r="B4" s="2">
        <v>2026</v>
      </c>
      <c r="C4" s="4">
        <f>(TableIncomeCalculations[[#This Row],[GrossMonthlySalaryP1]]*12)</f>
        <v>531716.52</v>
      </c>
      <c r="D4" s="24">
        <f>(TableIncomeCalculations[[#This Row],[GrossMonthlySalaryP2]]*12)</f>
        <v>775692.12</v>
      </c>
      <c r="E4" s="3">
        <f>TableIncome[[#This Row],[SalaryP1]]*$I$6</f>
        <v>53171.652000000002</v>
      </c>
      <c r="F4" s="3">
        <f>TableIncome[[#This Row],[SalaryP2]]*$I$6</f>
        <v>77569.212</v>
      </c>
      <c r="G4" s="22"/>
      <c r="H4" s="18" t="s">
        <v>71</v>
      </c>
      <c r="I4" s="19">
        <f>I3-I2</f>
        <v>1.0000000000000002E-2</v>
      </c>
      <c r="M4" s="21">
        <f>IF(_xlfn.XLOOKUP(TableIncome[[#This Row],[Year]],Loop!C:C,Loop!D:D)&lt;70,(M3*(1+$I$4))+IF(TableIncomeCalculations[[#This Row],[SwitchP1]]="Y",M3*$I$5,0),0)</f>
        <v>44309.71</v>
      </c>
      <c r="N4" s="21">
        <f>IF(_xlfn.XLOOKUP(TableIncome[[#This Row],[Year]],Loop!C:C,Loop!E:E)&lt;70,(N3*(1+$I$4))+IF(TableIncomeCalculations[[#This Row],[SwitchP2]]="Y",N3*$I$5,0),0)</f>
        <v>64641.01</v>
      </c>
      <c r="O4" t="str">
        <f>_xlfn.XLOOKUP(_xlfn.XLOOKUP(TableIncome[[#This Row],[Year]],Loop!C:C,Loop!D:D),'Job Hopping'!B:B,'Job Hopping'!F:F)</f>
        <v>N</v>
      </c>
      <c r="P4" t="str">
        <f>_xlfn.XLOOKUP(_xlfn.XLOOKUP(TableIncome[[#This Row],[Year]],Loop!C:C,Loop!E:E),'Job Hopping'!B:B,'Job Hopping'!G:G)</f>
        <v>N</v>
      </c>
    </row>
    <row r="5" spans="2:16" x14ac:dyDescent="0.35">
      <c r="B5" s="2">
        <v>2027</v>
      </c>
      <c r="C5" s="4">
        <f>(TableIncomeCalculations[[#This Row],[GrossMonthlySalaryP1]]*12)</f>
        <v>590205.33719999995</v>
      </c>
      <c r="D5" s="24">
        <f>(TableIncomeCalculations[[#This Row],[GrossMonthlySalaryP2]]*12)</f>
        <v>783449.04120000009</v>
      </c>
      <c r="E5" s="3">
        <f>TableIncome[[#This Row],[SalaryP1]]*$I$6</f>
        <v>59020.533719999999</v>
      </c>
      <c r="F5" s="3">
        <f>TableIncome[[#This Row],[SalaryP2]]*$I$6</f>
        <v>78344.904120000007</v>
      </c>
      <c r="G5" s="22"/>
      <c r="H5" s="18" t="s">
        <v>70</v>
      </c>
      <c r="I5" s="19">
        <v>0.1</v>
      </c>
      <c r="M5" s="21">
        <f>IF(_xlfn.XLOOKUP(TableIncome[[#This Row],[Year]],Loop!C:C,Loop!D:D)&lt;70,(M4*(1+$I$4))+IF(TableIncomeCalculations[[#This Row],[SwitchP1]]="Y",M4*$I$5,0),0)</f>
        <v>49183.778099999996</v>
      </c>
      <c r="N5" s="21">
        <f>IF(_xlfn.XLOOKUP(TableIncome[[#This Row],[Year]],Loop!C:C,Loop!E:E)&lt;70,(N4*(1+$I$4))+IF(TableIncomeCalculations[[#This Row],[SwitchP2]]="Y",N4*$I$5,0),0)</f>
        <v>65287.420100000003</v>
      </c>
      <c r="O5" t="str">
        <f>_xlfn.XLOOKUP(_xlfn.XLOOKUP(TableIncome[[#This Row],[Year]],Loop!C:C,Loop!D:D),'Job Hopping'!B:B,'Job Hopping'!F:F)</f>
        <v>Y</v>
      </c>
      <c r="P5" t="str">
        <f>_xlfn.XLOOKUP(_xlfn.XLOOKUP(TableIncome[[#This Row],[Year]],Loop!C:C,Loop!E:E),'Job Hopping'!B:B,'Job Hopping'!G:G)</f>
        <v>N</v>
      </c>
    </row>
    <row r="6" spans="2:16" x14ac:dyDescent="0.35">
      <c r="B6" s="2">
        <v>2028</v>
      </c>
      <c r="C6" s="4">
        <f>(TableIncomeCalculations[[#This Row],[GrossMonthlySalaryP1]]*12)</f>
        <v>596107.39057199995</v>
      </c>
      <c r="D6" s="24">
        <f>(TableIncomeCalculations[[#This Row],[GrossMonthlySalaryP2]]*12)</f>
        <v>869628.43573200004</v>
      </c>
      <c r="E6" s="3">
        <f>TableIncome[[#This Row],[SalaryP1]]*$I$6</f>
        <v>59610.7390572</v>
      </c>
      <c r="F6" s="3">
        <f>TableIncome[[#This Row],[SalaryP2]]*$I$6</f>
        <v>86962.843573200007</v>
      </c>
      <c r="G6" s="22"/>
      <c r="H6" s="18" t="s">
        <v>82</v>
      </c>
      <c r="I6" s="19">
        <v>0.1</v>
      </c>
      <c r="M6" s="21">
        <f>IF(_xlfn.XLOOKUP(TableIncome[[#This Row],[Year]],Loop!C:C,Loop!D:D)&lt;70,(M5*(1+$I$4))+IF(TableIncomeCalculations[[#This Row],[SwitchP1]]="Y",M5*$I$5,0),0)</f>
        <v>49675.615880999998</v>
      </c>
      <c r="N6" s="21">
        <f>IF(_xlfn.XLOOKUP(TableIncome[[#This Row],[Year]],Loop!C:C,Loop!E:E)&lt;70,(N5*(1+$I$4))+IF(TableIncomeCalculations[[#This Row],[SwitchP2]]="Y",N5*$I$5,0),0)</f>
        <v>72469.036311000003</v>
      </c>
      <c r="O6" t="str">
        <f>_xlfn.XLOOKUP(_xlfn.XLOOKUP(TableIncome[[#This Row],[Year]],Loop!C:C,Loop!D:D),'Job Hopping'!B:B,'Job Hopping'!F:F)</f>
        <v>N</v>
      </c>
      <c r="P6" t="str">
        <f>_xlfn.XLOOKUP(_xlfn.XLOOKUP(TableIncome[[#This Row],[Year]],Loop!C:C,Loop!E:E),'Job Hopping'!B:B,'Job Hopping'!G:G)</f>
        <v>Y</v>
      </c>
    </row>
    <row r="7" spans="2:16" x14ac:dyDescent="0.35">
      <c r="B7" s="2">
        <v>2029</v>
      </c>
      <c r="C7" s="4">
        <f>(TableIncomeCalculations[[#This Row],[GrossMonthlySalaryP1]]*12)</f>
        <v>602068.46447771997</v>
      </c>
      <c r="D7" s="24">
        <f>(TableIncomeCalculations[[#This Row],[GrossMonthlySalaryP2]]*12)</f>
        <v>878324.72008932009</v>
      </c>
      <c r="E7" s="3">
        <f>TableIncome[[#This Row],[SalaryP1]]*$I$6</f>
        <v>60206.846447771997</v>
      </c>
      <c r="F7" s="3">
        <f>TableIncome[[#This Row],[SalaryP2]]*$I$6</f>
        <v>87832.472008932018</v>
      </c>
      <c r="G7" s="22"/>
      <c r="H7" s="25"/>
      <c r="M7" s="21">
        <f>IF(_xlfn.XLOOKUP(TableIncome[[#This Row],[Year]],Loop!C:C,Loop!D:D)&lt;70,(M6*(1+$I$4))+IF(TableIncomeCalculations[[#This Row],[SwitchP1]]="Y",M6*$I$5,0),0)</f>
        <v>50172.372039809998</v>
      </c>
      <c r="N7" s="21">
        <f>IF(_xlfn.XLOOKUP(TableIncome[[#This Row],[Year]],Loop!C:C,Loop!E:E)&lt;70,(N6*(1+$I$4))+IF(TableIncomeCalculations[[#This Row],[SwitchP2]]="Y",N6*$I$5,0),0)</f>
        <v>73193.726674110003</v>
      </c>
      <c r="O7" t="str">
        <f>_xlfn.XLOOKUP(_xlfn.XLOOKUP(TableIncome[[#This Row],[Year]],Loop!C:C,Loop!D:D),'Job Hopping'!B:B,'Job Hopping'!F:F)</f>
        <v>N</v>
      </c>
      <c r="P7" t="str">
        <f>_xlfn.XLOOKUP(_xlfn.XLOOKUP(TableIncome[[#This Row],[Year]],Loop!C:C,Loop!E:E),'Job Hopping'!B:B,'Job Hopping'!G:G)</f>
        <v>N</v>
      </c>
    </row>
    <row r="8" spans="2:16" x14ac:dyDescent="0.35">
      <c r="B8" s="2">
        <v>2030</v>
      </c>
      <c r="C8" s="4">
        <f>(TableIncomeCalculations[[#This Row],[GrossMonthlySalaryP1]]*12)</f>
        <v>608089.14912249718</v>
      </c>
      <c r="D8" s="24">
        <f>(TableIncomeCalculations[[#This Row],[GrossMonthlySalaryP2]]*12)</f>
        <v>887107.9672902131</v>
      </c>
      <c r="E8" s="3">
        <f>TableIncome[[#This Row],[SalaryP1]]*$I$6</f>
        <v>60808.914912249718</v>
      </c>
      <c r="F8" s="3">
        <f>TableIncome[[#This Row],[SalaryP2]]*$I$6</f>
        <v>88710.796729021313</v>
      </c>
      <c r="G8" s="22"/>
      <c r="M8" s="21">
        <f>IF(_xlfn.XLOOKUP(TableIncome[[#This Row],[Year]],Loop!C:C,Loop!D:D)&lt;70,(M7*(1+$I$4))+IF(TableIncomeCalculations[[#This Row],[SwitchP1]]="Y",M7*$I$5,0),0)</f>
        <v>50674.095760208096</v>
      </c>
      <c r="N8" s="21">
        <f>IF(_xlfn.XLOOKUP(TableIncome[[#This Row],[Year]],Loop!C:C,Loop!E:E)&lt;70,(N7*(1+$I$4))+IF(TableIncomeCalculations[[#This Row],[SwitchP2]]="Y",N7*$I$5,0),0)</f>
        <v>73925.663940851096</v>
      </c>
      <c r="O8" t="str">
        <f>_xlfn.XLOOKUP(_xlfn.XLOOKUP(TableIncome[[#This Row],[Year]],Loop!C:C,Loop!D:D),'Job Hopping'!B:B,'Job Hopping'!F:F)</f>
        <v>N</v>
      </c>
      <c r="P8" t="str">
        <f>_xlfn.XLOOKUP(_xlfn.XLOOKUP(TableIncome[[#This Row],[Year]],Loop!C:C,Loop!E:E),'Job Hopping'!B:B,'Job Hopping'!G:G)</f>
        <v>N</v>
      </c>
    </row>
    <row r="9" spans="2:16" x14ac:dyDescent="0.35">
      <c r="B9" s="2">
        <v>2031</v>
      </c>
      <c r="C9" s="4">
        <f>(TableIncomeCalculations[[#This Row],[GrossMonthlySalaryP1]]*12)</f>
        <v>674978.95552597183</v>
      </c>
      <c r="D9" s="24">
        <f>(TableIncomeCalculations[[#This Row],[GrossMonthlySalaryP2]]*12)</f>
        <v>895979.04696311534</v>
      </c>
      <c r="E9" s="3">
        <f>TableIncome[[#This Row],[SalaryP1]]*$I$6</f>
        <v>67497.895552597183</v>
      </c>
      <c r="F9" s="3">
        <f>TableIncome[[#This Row],[SalaryP2]]*$I$6</f>
        <v>89597.90469631154</v>
      </c>
      <c r="G9" s="22"/>
      <c r="M9" s="21">
        <f>IF(_xlfn.XLOOKUP(TableIncome[[#This Row],[Year]],Loop!C:C,Loop!D:D)&lt;70,(M8*(1+$I$4))+IF(TableIncomeCalculations[[#This Row],[SwitchP1]]="Y",M8*$I$5,0),0)</f>
        <v>56248.246293830984</v>
      </c>
      <c r="N9" s="21">
        <f>IF(_xlfn.XLOOKUP(TableIncome[[#This Row],[Year]],Loop!C:C,Loop!E:E)&lt;70,(N8*(1+$I$4))+IF(TableIncomeCalculations[[#This Row],[SwitchP2]]="Y",N8*$I$5,0),0)</f>
        <v>74664.920580259612</v>
      </c>
      <c r="O9" t="str">
        <f>_xlfn.XLOOKUP(_xlfn.XLOOKUP(TableIncome[[#This Row],[Year]],Loop!C:C,Loop!D:D),'Job Hopping'!B:B,'Job Hopping'!F:F)</f>
        <v>Y</v>
      </c>
      <c r="P9" t="str">
        <f>_xlfn.XLOOKUP(_xlfn.XLOOKUP(TableIncome[[#This Row],[Year]],Loop!C:C,Loop!E:E),'Job Hopping'!B:B,'Job Hopping'!G:G)</f>
        <v>N</v>
      </c>
    </row>
    <row r="10" spans="2:16" x14ac:dyDescent="0.35">
      <c r="B10" s="2">
        <v>2032</v>
      </c>
      <c r="C10" s="4">
        <f>(TableIncomeCalculations[[#This Row],[GrossMonthlySalaryP1]]*12)</f>
        <v>681728.74508123146</v>
      </c>
      <c r="D10" s="24">
        <f>(TableIncomeCalculations[[#This Row],[GrossMonthlySalaryP2]]*12)</f>
        <v>994536.742129058</v>
      </c>
      <c r="E10" s="3">
        <f>TableIncome[[#This Row],[SalaryP1]]*$I$6</f>
        <v>68172.874508123146</v>
      </c>
      <c r="F10" s="3">
        <f>TableIncome[[#This Row],[SalaryP2]]*$I$6</f>
        <v>99453.674212905811</v>
      </c>
      <c r="G10" s="22"/>
      <c r="M10" s="21">
        <f>IF(_xlfn.XLOOKUP(TableIncome[[#This Row],[Year]],Loop!C:C,Loop!D:D)&lt;70,(M9*(1+$I$4))+IF(TableIncomeCalculations[[#This Row],[SwitchP1]]="Y",M9*$I$5,0),0)</f>
        <v>56810.728756769291</v>
      </c>
      <c r="N10" s="21">
        <f>IF(_xlfn.XLOOKUP(TableIncome[[#This Row],[Year]],Loop!C:C,Loop!E:E)&lt;70,(N9*(1+$I$4))+IF(TableIncomeCalculations[[#This Row],[SwitchP2]]="Y",N9*$I$5,0),0)</f>
        <v>82878.061844088166</v>
      </c>
      <c r="O10" t="str">
        <f>_xlfn.XLOOKUP(_xlfn.XLOOKUP(TableIncome[[#This Row],[Year]],Loop!C:C,Loop!D:D),'Job Hopping'!B:B,'Job Hopping'!F:F)</f>
        <v>N</v>
      </c>
      <c r="P10" t="str">
        <f>_xlfn.XLOOKUP(_xlfn.XLOOKUP(TableIncome[[#This Row],[Year]],Loop!C:C,Loop!E:E),'Job Hopping'!B:B,'Job Hopping'!G:G)</f>
        <v>Y</v>
      </c>
    </row>
    <row r="11" spans="2:16" x14ac:dyDescent="0.35">
      <c r="B11" s="2">
        <v>2033</v>
      </c>
      <c r="C11" s="4">
        <f>(TableIncomeCalculations[[#This Row],[GrossMonthlySalaryP1]]*12)</f>
        <v>688546.03253204376</v>
      </c>
      <c r="D11" s="24">
        <f>(TableIncomeCalculations[[#This Row],[GrossMonthlySalaryP2]]*12)</f>
        <v>1004482.1095503486</v>
      </c>
      <c r="E11" s="3">
        <f>TableIncome[[#This Row],[SalaryP1]]*$I$6</f>
        <v>68854.603253204376</v>
      </c>
      <c r="F11" s="3">
        <f>TableIncome[[#This Row],[SalaryP2]]*$I$6</f>
        <v>100448.21095503487</v>
      </c>
      <c r="G11" s="22"/>
      <c r="M11" s="21">
        <f>IF(_xlfn.XLOOKUP(TableIncome[[#This Row],[Year]],Loop!C:C,Loop!D:D)&lt;70,(M10*(1+$I$4))+IF(TableIncomeCalculations[[#This Row],[SwitchP1]]="Y",M10*$I$5,0),0)</f>
        <v>57378.836044336982</v>
      </c>
      <c r="N11" s="21">
        <f>IF(_xlfn.XLOOKUP(TableIncome[[#This Row],[Year]],Loop!C:C,Loop!E:E)&lt;70,(N10*(1+$I$4))+IF(TableIncomeCalculations[[#This Row],[SwitchP2]]="Y",N10*$I$5,0),0)</f>
        <v>83706.84246252905</v>
      </c>
      <c r="O11" t="str">
        <f>_xlfn.XLOOKUP(_xlfn.XLOOKUP(TableIncome[[#This Row],[Year]],Loop!C:C,Loop!D:D),'Job Hopping'!B:B,'Job Hopping'!F:F)</f>
        <v>N</v>
      </c>
      <c r="P11" t="str">
        <f>_xlfn.XLOOKUP(_xlfn.XLOOKUP(TableIncome[[#This Row],[Year]],Loop!C:C,Loop!E:E),'Job Hopping'!B:B,'Job Hopping'!G:G)</f>
        <v>N</v>
      </c>
    </row>
    <row r="12" spans="2:16" x14ac:dyDescent="0.35">
      <c r="B12" s="2">
        <v>2034</v>
      </c>
      <c r="C12" s="4">
        <f>(TableIncomeCalculations[[#This Row],[GrossMonthlySalaryP1]]*12)</f>
        <v>695431.49285736424</v>
      </c>
      <c r="D12" s="24">
        <f>(TableIncomeCalculations[[#This Row],[GrossMonthlySalaryP2]]*12)</f>
        <v>1014526.9306458521</v>
      </c>
      <c r="E12" s="3">
        <f>TableIncome[[#This Row],[SalaryP1]]*$I$6</f>
        <v>69543.149285736421</v>
      </c>
      <c r="F12" s="3">
        <f>TableIncome[[#This Row],[SalaryP2]]*$I$6</f>
        <v>101452.69306458521</v>
      </c>
      <c r="G12" s="22"/>
      <c r="M12" s="21">
        <f>IF(_xlfn.XLOOKUP(TableIncome[[#This Row],[Year]],Loop!C:C,Loop!D:D)&lt;70,(M11*(1+$I$4))+IF(TableIncomeCalculations[[#This Row],[SwitchP1]]="Y",M11*$I$5,0),0)</f>
        <v>57952.624404780356</v>
      </c>
      <c r="N12" s="21">
        <f>IF(_xlfn.XLOOKUP(TableIncome[[#This Row],[Year]],Loop!C:C,Loop!E:E)&lt;70,(N11*(1+$I$4))+IF(TableIncomeCalculations[[#This Row],[SwitchP2]]="Y",N11*$I$5,0),0)</f>
        <v>84543.910887154343</v>
      </c>
      <c r="O12" t="str">
        <f>_xlfn.XLOOKUP(_xlfn.XLOOKUP(TableIncome[[#This Row],[Year]],Loop!C:C,Loop!D:D),'Job Hopping'!B:B,'Job Hopping'!F:F)</f>
        <v>N</v>
      </c>
      <c r="P12" t="str">
        <f>_xlfn.XLOOKUP(_xlfn.XLOOKUP(TableIncome[[#This Row],[Year]],Loop!C:C,Loop!E:E),'Job Hopping'!B:B,'Job Hopping'!G:G)</f>
        <v>N</v>
      </c>
    </row>
    <row r="13" spans="2:16" x14ac:dyDescent="0.35">
      <c r="B13" s="2">
        <v>2035</v>
      </c>
      <c r="C13" s="4">
        <f>(TableIncomeCalculations[[#This Row],[GrossMonthlySalaryP1]]*12)</f>
        <v>771928.95707167429</v>
      </c>
      <c r="D13" s="24">
        <f>(TableIncomeCalculations[[#This Row],[GrossMonthlySalaryP2]]*12)</f>
        <v>1024672.1999523106</v>
      </c>
      <c r="E13" s="3">
        <f>TableIncome[[#This Row],[SalaryP1]]*$I$6</f>
        <v>77192.895707167438</v>
      </c>
      <c r="F13" s="3">
        <f>TableIncome[[#This Row],[SalaryP2]]*$I$6</f>
        <v>102467.21999523108</v>
      </c>
      <c r="G13" s="22"/>
      <c r="M13" s="21">
        <f>IF(_xlfn.XLOOKUP(TableIncome[[#This Row],[Year]],Loop!C:C,Loop!D:D)&lt;70,(M12*(1+$I$4))+IF(TableIncomeCalculations[[#This Row],[SwitchP1]]="Y",M12*$I$5,0),0)</f>
        <v>64327.413089306196</v>
      </c>
      <c r="N13" s="21">
        <f>IF(_xlfn.XLOOKUP(TableIncome[[#This Row],[Year]],Loop!C:C,Loop!E:E)&lt;70,(N12*(1+$I$4))+IF(TableIncomeCalculations[[#This Row],[SwitchP2]]="Y",N12*$I$5,0),0)</f>
        <v>85389.349996025892</v>
      </c>
      <c r="O13" t="str">
        <f>_xlfn.XLOOKUP(_xlfn.XLOOKUP(TableIncome[[#This Row],[Year]],Loop!C:C,Loop!D:D),'Job Hopping'!B:B,'Job Hopping'!F:F)</f>
        <v>Y</v>
      </c>
      <c r="P13" t="str">
        <f>_xlfn.XLOOKUP(_xlfn.XLOOKUP(TableIncome[[#This Row],[Year]],Loop!C:C,Loop!E:E),'Job Hopping'!B:B,'Job Hopping'!G:G)</f>
        <v>N</v>
      </c>
    </row>
    <row r="14" spans="2:16" x14ac:dyDescent="0.35">
      <c r="B14" s="2">
        <v>2036</v>
      </c>
      <c r="C14" s="4">
        <f>(TableIncomeCalculations[[#This Row],[GrossMonthlySalaryP1]]*12)</f>
        <v>779648.24664239108</v>
      </c>
      <c r="D14" s="24">
        <f>(TableIncomeCalculations[[#This Row],[GrossMonthlySalaryP2]]*12)</f>
        <v>1034918.9219518339</v>
      </c>
      <c r="E14" s="3">
        <f>TableIncome[[#This Row],[SalaryP1]]*$I$6</f>
        <v>77964.824664239117</v>
      </c>
      <c r="F14" s="3">
        <f>TableIncome[[#This Row],[SalaryP2]]*$I$6</f>
        <v>103491.89219518339</v>
      </c>
      <c r="G14" s="22"/>
      <c r="M14" s="21">
        <f>IF(_xlfn.XLOOKUP(TableIncome[[#This Row],[Year]],Loop!C:C,Loop!D:D)&lt;70,(M13*(1+$I$4))+IF(TableIncomeCalculations[[#This Row],[SwitchP1]]="Y",M13*$I$5,0),0)</f>
        <v>64970.687220199259</v>
      </c>
      <c r="N14" s="21">
        <f>IF(_xlfn.XLOOKUP(TableIncome[[#This Row],[Year]],Loop!C:C,Loop!E:E)&lt;70,(N13*(1+$I$4))+IF(TableIncomeCalculations[[#This Row],[SwitchP2]]="Y",N13*$I$5,0),0)</f>
        <v>86243.243495986157</v>
      </c>
      <c r="O14" t="str">
        <f>_xlfn.XLOOKUP(_xlfn.XLOOKUP(TableIncome[[#This Row],[Year]],Loop!C:C,Loop!D:D),'Job Hopping'!B:B,'Job Hopping'!F:F)</f>
        <v>N</v>
      </c>
      <c r="P14" t="str">
        <f>_xlfn.XLOOKUP(_xlfn.XLOOKUP(TableIncome[[#This Row],[Year]],Loop!C:C,Loop!E:E),'Job Hopping'!B:B,'Job Hopping'!G:G)</f>
        <v>N</v>
      </c>
    </row>
    <row r="15" spans="2:16" x14ac:dyDescent="0.35">
      <c r="B15" s="2">
        <v>2037</v>
      </c>
      <c r="C15" s="4">
        <f>(TableIncomeCalculations[[#This Row],[GrossMonthlySalaryP1]]*12)</f>
        <v>787444.72910881508</v>
      </c>
      <c r="D15" s="24">
        <f>(TableIncomeCalculations[[#This Row],[GrossMonthlySalaryP2]]*12)</f>
        <v>1045268.1111713522</v>
      </c>
      <c r="E15" s="3">
        <f>TableIncome[[#This Row],[SalaryP1]]*$I$6</f>
        <v>78744.472910881508</v>
      </c>
      <c r="F15" s="3">
        <f>TableIncome[[#This Row],[SalaryP2]]*$I$6</f>
        <v>104526.81111713522</v>
      </c>
      <c r="G15" s="22"/>
      <c r="M15" s="21">
        <f>IF(_xlfn.XLOOKUP(TableIncome[[#This Row],[Year]],Loop!C:C,Loop!D:D)&lt;70,(M14*(1+$I$4))+IF(TableIncomeCalculations[[#This Row],[SwitchP1]]="Y",M14*$I$5,0),0)</f>
        <v>65620.394092401257</v>
      </c>
      <c r="N15" s="21">
        <f>IF(_xlfn.XLOOKUP(TableIncome[[#This Row],[Year]],Loop!C:C,Loop!E:E)&lt;70,(N14*(1+$I$4))+IF(TableIncomeCalculations[[#This Row],[SwitchP2]]="Y",N14*$I$5,0),0)</f>
        <v>87105.675930946018</v>
      </c>
      <c r="O15" t="str">
        <f>_xlfn.XLOOKUP(_xlfn.XLOOKUP(TableIncome[[#This Row],[Year]],Loop!C:C,Loop!D:D),'Job Hopping'!B:B,'Job Hopping'!F:F)</f>
        <v>N</v>
      </c>
      <c r="P15" t="str">
        <f>_xlfn.XLOOKUP(_xlfn.XLOOKUP(TableIncome[[#This Row],[Year]],Loop!C:C,Loop!E:E),'Job Hopping'!B:B,'Job Hopping'!G:G)</f>
        <v>N</v>
      </c>
    </row>
    <row r="16" spans="2:16" x14ac:dyDescent="0.35">
      <c r="B16" s="2">
        <v>2038</v>
      </c>
      <c r="C16" s="4">
        <f>(TableIncomeCalculations[[#This Row],[GrossMonthlySalaryP1]]*12)</f>
        <v>795319.17639990314</v>
      </c>
      <c r="D16" s="24">
        <f>(TableIncomeCalculations[[#This Row],[GrossMonthlySalaryP2]]*12)</f>
        <v>1055720.7922830656</v>
      </c>
      <c r="E16" s="3">
        <f>TableIncome[[#This Row],[SalaryP1]]*$I$6</f>
        <v>79531.917639990323</v>
      </c>
      <c r="F16" s="3">
        <f>TableIncome[[#This Row],[SalaryP2]]*$I$6</f>
        <v>105572.07922830657</v>
      </c>
      <c r="G16" s="22"/>
      <c r="M16" s="21">
        <f>IF(_xlfn.XLOOKUP(TableIncome[[#This Row],[Year]],Loop!C:C,Loop!D:D)&lt;70,(M15*(1+$I$4))+IF(TableIncomeCalculations[[#This Row],[SwitchP1]]="Y",M15*$I$5,0),0)</f>
        <v>66276.598033325266</v>
      </c>
      <c r="N16" s="21">
        <f>IF(_xlfn.XLOOKUP(TableIncome[[#This Row],[Year]],Loop!C:C,Loop!E:E)&lt;70,(N15*(1+$I$4))+IF(TableIncomeCalculations[[#This Row],[SwitchP2]]="Y",N15*$I$5,0),0)</f>
        <v>87976.732690255478</v>
      </c>
      <c r="O16" t="str">
        <f>_xlfn.XLOOKUP(_xlfn.XLOOKUP(TableIncome[[#This Row],[Year]],Loop!C:C,Loop!D:D),'Job Hopping'!B:B,'Job Hopping'!F:F)</f>
        <v>N</v>
      </c>
      <c r="P16" t="str">
        <f>_xlfn.XLOOKUP(_xlfn.XLOOKUP(TableIncome[[#This Row],[Year]],Loop!C:C,Loop!E:E),'Job Hopping'!B:B,'Job Hopping'!G:G)</f>
        <v>N</v>
      </c>
    </row>
    <row r="17" spans="2:16" x14ac:dyDescent="0.35">
      <c r="B17" s="2">
        <v>2039</v>
      </c>
      <c r="C17" s="4">
        <f>(TableIncomeCalculations[[#This Row],[GrossMonthlySalaryP1]]*12)</f>
        <v>882804.28580389253</v>
      </c>
      <c r="D17" s="24">
        <f>(TableIncomeCalculations[[#This Row],[GrossMonthlySalaryP2]]*12)</f>
        <v>1066278.0002058963</v>
      </c>
      <c r="E17" s="3">
        <f>TableIncome[[#This Row],[SalaryP1]]*$I$6</f>
        <v>88280.428580389256</v>
      </c>
      <c r="F17" s="3">
        <f>TableIncome[[#This Row],[SalaryP2]]*$I$6</f>
        <v>106627.80002058964</v>
      </c>
      <c r="G17" s="22"/>
      <c r="M17" s="21">
        <f>IF(_xlfn.XLOOKUP(TableIncome[[#This Row],[Year]],Loop!C:C,Loop!D:D)&lt;70,(M16*(1+$I$4))+IF(TableIncomeCalculations[[#This Row],[SwitchP1]]="Y",M16*$I$5,0),0)</f>
        <v>73567.023816991044</v>
      </c>
      <c r="N17" s="21">
        <f>IF(_xlfn.XLOOKUP(TableIncome[[#This Row],[Year]],Loop!C:C,Loop!E:E)&lt;70,(N16*(1+$I$4))+IF(TableIncomeCalculations[[#This Row],[SwitchP2]]="Y",N16*$I$5,0),0)</f>
        <v>88856.500017158032</v>
      </c>
      <c r="O17" t="str">
        <f>_xlfn.XLOOKUP(_xlfn.XLOOKUP(TableIncome[[#This Row],[Year]],Loop!C:C,Loop!D:D),'Job Hopping'!B:B,'Job Hopping'!F:F)</f>
        <v>Y</v>
      </c>
      <c r="P17" t="str">
        <f>_xlfn.XLOOKUP(_xlfn.XLOOKUP(TableIncome[[#This Row],[Year]],Loop!C:C,Loop!E:E),'Job Hopping'!B:B,'Job Hopping'!G:G)</f>
        <v>N</v>
      </c>
    </row>
    <row r="18" spans="2:16" x14ac:dyDescent="0.35">
      <c r="B18" s="2">
        <v>2040</v>
      </c>
      <c r="C18" s="4">
        <f>(TableIncomeCalculations[[#This Row],[GrossMonthlySalaryP1]]*12)</f>
        <v>891632.32866193145</v>
      </c>
      <c r="D18" s="24">
        <f>(TableIncomeCalculations[[#This Row],[GrossMonthlySalaryP2]]*12)</f>
        <v>1076940.7802079553</v>
      </c>
      <c r="E18" s="3">
        <f>TableIncome[[#This Row],[SalaryP1]]*$I$6</f>
        <v>89163.232866193153</v>
      </c>
      <c r="F18" s="3">
        <f>TableIncome[[#This Row],[SalaryP2]]*$I$6</f>
        <v>107694.07802079554</v>
      </c>
      <c r="G18" s="22"/>
      <c r="M18" s="21">
        <f>IF(_xlfn.XLOOKUP(TableIncome[[#This Row],[Year]],Loop!C:C,Loop!D:D)&lt;70,(M17*(1+$I$4))+IF(TableIncomeCalculations[[#This Row],[SwitchP1]]="Y",M17*$I$5,0),0)</f>
        <v>74302.694055160959</v>
      </c>
      <c r="N18" s="21">
        <f>IF(_xlfn.XLOOKUP(TableIncome[[#This Row],[Year]],Loop!C:C,Loop!E:E)&lt;70,(N17*(1+$I$4))+IF(TableIncomeCalculations[[#This Row],[SwitchP2]]="Y",N17*$I$5,0),0)</f>
        <v>89745.065017329616</v>
      </c>
      <c r="O18" t="str">
        <f>_xlfn.XLOOKUP(_xlfn.XLOOKUP(TableIncome[[#This Row],[Year]],Loop!C:C,Loop!D:D),'Job Hopping'!B:B,'Job Hopping'!F:F)</f>
        <v>N</v>
      </c>
      <c r="P18" t="str">
        <f>_xlfn.XLOOKUP(_xlfn.XLOOKUP(TableIncome[[#This Row],[Year]],Loop!C:C,Loop!E:E),'Job Hopping'!B:B,'Job Hopping'!G:G)</f>
        <v>N</v>
      </c>
    </row>
    <row r="19" spans="2:16" x14ac:dyDescent="0.35">
      <c r="B19" s="2">
        <v>2041</v>
      </c>
      <c r="C19" s="4">
        <f>(TableIncomeCalculations[[#This Row],[GrossMonthlySalaryP1]]*12)</f>
        <v>900548.65194855095</v>
      </c>
      <c r="D19" s="24">
        <f>(TableIncomeCalculations[[#This Row],[GrossMonthlySalaryP2]]*12)</f>
        <v>1087710.1880100351</v>
      </c>
      <c r="E19" s="3">
        <f>TableIncome[[#This Row],[SalaryP1]]*$I$6</f>
        <v>90054.865194855098</v>
      </c>
      <c r="F19" s="3">
        <f>TableIncome[[#This Row],[SalaryP2]]*$I$6</f>
        <v>108771.01880100352</v>
      </c>
      <c r="G19" s="22"/>
      <c r="M19" s="21">
        <f>IF(_xlfn.XLOOKUP(TableIncome[[#This Row],[Year]],Loop!C:C,Loop!D:D)&lt;70,(M18*(1+$I$4))+IF(TableIncomeCalculations[[#This Row],[SwitchP1]]="Y",M18*$I$5,0),0)</f>
        <v>75045.720995712574</v>
      </c>
      <c r="N19" s="21">
        <f>IF(_xlfn.XLOOKUP(TableIncome[[#This Row],[Year]],Loop!C:C,Loop!E:E)&lt;70,(N18*(1+$I$4))+IF(TableIncomeCalculations[[#This Row],[SwitchP2]]="Y",N18*$I$5,0),0)</f>
        <v>90642.515667502914</v>
      </c>
      <c r="O19" t="str">
        <f>_xlfn.XLOOKUP(_xlfn.XLOOKUP(TableIncome[[#This Row],[Year]],Loop!C:C,Loop!D:D),'Job Hopping'!B:B,'Job Hopping'!F:F)</f>
        <v>N</v>
      </c>
      <c r="P19" t="str">
        <f>_xlfn.XLOOKUP(_xlfn.XLOOKUP(TableIncome[[#This Row],[Year]],Loop!C:C,Loop!E:E),'Job Hopping'!B:B,'Job Hopping'!G:G)</f>
        <v>N</v>
      </c>
    </row>
    <row r="20" spans="2:16" x14ac:dyDescent="0.35">
      <c r="B20" s="2">
        <v>2042</v>
      </c>
      <c r="C20" s="4">
        <f>(TableIncomeCalculations[[#This Row],[GrossMonthlySalaryP1]]*12)</f>
        <v>909554.13846803643</v>
      </c>
      <c r="D20" s="24">
        <f>(TableIncomeCalculations[[#This Row],[GrossMonthlySalaryP2]]*12)</f>
        <v>1098587.2898901354</v>
      </c>
      <c r="E20" s="3">
        <f>TableIncome[[#This Row],[SalaryP1]]*$I$6</f>
        <v>90955.413846803654</v>
      </c>
      <c r="F20" s="3">
        <f>TableIncome[[#This Row],[SalaryP2]]*$I$6</f>
        <v>109858.72898901354</v>
      </c>
      <c r="G20" s="22"/>
      <c r="M20" s="21">
        <f>IF(_xlfn.XLOOKUP(TableIncome[[#This Row],[Year]],Loop!C:C,Loop!D:D)&lt;70,(M19*(1+$I$4))+IF(TableIncomeCalculations[[#This Row],[SwitchP1]]="Y",M19*$I$5,0),0)</f>
        <v>75796.178205669697</v>
      </c>
      <c r="N20" s="21">
        <f>IF(_xlfn.XLOOKUP(TableIncome[[#This Row],[Year]],Loop!C:C,Loop!E:E)&lt;70,(N19*(1+$I$4))+IF(TableIncomeCalculations[[#This Row],[SwitchP2]]="Y",N19*$I$5,0),0)</f>
        <v>91548.940824177946</v>
      </c>
      <c r="O20" t="str">
        <f>_xlfn.XLOOKUP(_xlfn.XLOOKUP(TableIncome[[#This Row],[Year]],Loop!C:C,Loop!D:D),'Job Hopping'!B:B,'Job Hopping'!F:F)</f>
        <v>N</v>
      </c>
      <c r="P20" t="str">
        <f>_xlfn.XLOOKUP(_xlfn.XLOOKUP(TableIncome[[#This Row],[Year]],Loop!C:C,Loop!E:E),'Job Hopping'!B:B,'Job Hopping'!G:G)</f>
        <v>N</v>
      </c>
    </row>
    <row r="21" spans="2:16" x14ac:dyDescent="0.35">
      <c r="B21" s="2">
        <v>2043</v>
      </c>
      <c r="C21" s="4">
        <f>(TableIncomeCalculations[[#This Row],[GrossMonthlySalaryP1]]*12)</f>
        <v>1009605.0936995203</v>
      </c>
      <c r="D21" s="24">
        <f>(TableIncomeCalculations[[#This Row],[GrossMonthlySalaryP2]]*12)</f>
        <v>1109573.1627890365</v>
      </c>
      <c r="E21" s="3">
        <f>TableIncome[[#This Row],[SalaryP1]]*$I$6</f>
        <v>100960.50936995204</v>
      </c>
      <c r="F21" s="3">
        <f>TableIncome[[#This Row],[SalaryP2]]*$I$6</f>
        <v>110957.31627890366</v>
      </c>
      <c r="G21" s="22"/>
      <c r="M21" s="21">
        <f>IF(_xlfn.XLOOKUP(TableIncome[[#This Row],[Year]],Loop!C:C,Loop!D:D)&lt;70,(M20*(1+$I$4))+IF(TableIncomeCalculations[[#This Row],[SwitchP1]]="Y",M20*$I$5,0),0)</f>
        <v>84133.757808293361</v>
      </c>
      <c r="N21" s="21">
        <f>IF(_xlfn.XLOOKUP(TableIncome[[#This Row],[Year]],Loop!C:C,Loop!E:E)&lt;70,(N20*(1+$I$4))+IF(TableIncomeCalculations[[#This Row],[SwitchP2]]="Y",N20*$I$5,0),0)</f>
        <v>92464.43023241972</v>
      </c>
      <c r="O21" t="str">
        <f>_xlfn.XLOOKUP(_xlfn.XLOOKUP(TableIncome[[#This Row],[Year]],Loop!C:C,Loop!D:D),'Job Hopping'!B:B,'Job Hopping'!F:F)</f>
        <v>Y</v>
      </c>
      <c r="P21" t="str">
        <f>_xlfn.XLOOKUP(_xlfn.XLOOKUP(TableIncome[[#This Row],[Year]],Loop!C:C,Loop!E:E),'Job Hopping'!B:B,'Job Hopping'!G:G)</f>
        <v>N</v>
      </c>
    </row>
    <row r="22" spans="2:16" x14ac:dyDescent="0.35">
      <c r="B22" s="2">
        <v>2044</v>
      </c>
      <c r="C22" s="4">
        <f>(TableIncomeCalculations[[#This Row],[GrossMonthlySalaryP1]]*12)</f>
        <v>1019701.1446365155</v>
      </c>
      <c r="D22" s="24">
        <f>(TableIncomeCalculations[[#This Row],[GrossMonthlySalaryP2]]*12)</f>
        <v>1120668.8944169271</v>
      </c>
      <c r="E22" s="3">
        <f>TableIncome[[#This Row],[SalaryP1]]*$I$6</f>
        <v>101970.11446365155</v>
      </c>
      <c r="F22" s="3">
        <f>TableIncome[[#This Row],[SalaryP2]]*$I$6</f>
        <v>112066.88944169272</v>
      </c>
      <c r="G22" s="22"/>
      <c r="M22" s="21">
        <f>IF(_xlfn.XLOOKUP(TableIncome[[#This Row],[Year]],Loop!C:C,Loop!D:D)&lt;70,(M21*(1+$I$4))+IF(TableIncomeCalculations[[#This Row],[SwitchP1]]="Y",M21*$I$5,0),0)</f>
        <v>84975.095386376299</v>
      </c>
      <c r="N22" s="21">
        <f>IF(_xlfn.XLOOKUP(TableIncome[[#This Row],[Year]],Loop!C:C,Loop!E:E)&lt;70,(N21*(1+$I$4))+IF(TableIncomeCalculations[[#This Row],[SwitchP2]]="Y",N21*$I$5,0),0)</f>
        <v>93389.074534743922</v>
      </c>
      <c r="O22" t="str">
        <f>_xlfn.XLOOKUP(_xlfn.XLOOKUP(TableIncome[[#This Row],[Year]],Loop!C:C,Loop!D:D),'Job Hopping'!B:B,'Job Hopping'!F:F)</f>
        <v>N</v>
      </c>
      <c r="P22" t="str">
        <f>_xlfn.XLOOKUP(_xlfn.XLOOKUP(TableIncome[[#This Row],[Year]],Loop!C:C,Loop!E:E),'Job Hopping'!B:B,'Job Hopping'!G:G)</f>
        <v>N</v>
      </c>
    </row>
    <row r="23" spans="2:16" x14ac:dyDescent="0.35">
      <c r="B23" s="2">
        <v>2045</v>
      </c>
      <c r="C23" s="4">
        <f>(TableIncomeCalculations[[#This Row],[GrossMonthlySalaryP1]]*12)</f>
        <v>1029898.1560828808</v>
      </c>
      <c r="D23" s="24">
        <f>(TableIncomeCalculations[[#This Row],[GrossMonthlySalaryP2]]*12)</f>
        <v>1243942.472802789</v>
      </c>
      <c r="E23" s="3">
        <f>TableIncome[[#This Row],[SalaryP1]]*$I$6</f>
        <v>102989.81560828809</v>
      </c>
      <c r="F23" s="3">
        <f>TableIncome[[#This Row],[SalaryP2]]*$I$6</f>
        <v>124394.2472802789</v>
      </c>
      <c r="G23" s="22"/>
      <c r="M23" s="21">
        <f>IF(_xlfn.XLOOKUP(TableIncome[[#This Row],[Year]],Loop!C:C,Loop!D:D)&lt;70,(M22*(1+$I$4))+IF(TableIncomeCalculations[[#This Row],[SwitchP1]]="Y",M22*$I$5,0),0)</f>
        <v>85824.846340240067</v>
      </c>
      <c r="N23" s="21">
        <f>IF(_xlfn.XLOOKUP(TableIncome[[#This Row],[Year]],Loop!C:C,Loop!E:E)&lt;70,(N22*(1+$I$4))+IF(TableIncomeCalculations[[#This Row],[SwitchP2]]="Y",N22*$I$5,0),0)</f>
        <v>103661.87273356575</v>
      </c>
      <c r="O23" t="str">
        <f>_xlfn.XLOOKUP(_xlfn.XLOOKUP(TableIncome[[#This Row],[Year]],Loop!C:C,Loop!D:D),'Job Hopping'!B:B,'Job Hopping'!F:F)</f>
        <v>N</v>
      </c>
      <c r="P23" t="str">
        <f>_xlfn.XLOOKUP(_xlfn.XLOOKUP(TableIncome[[#This Row],[Year]],Loop!C:C,Loop!E:E),'Job Hopping'!B:B,'Job Hopping'!G:G)</f>
        <v>Y</v>
      </c>
    </row>
    <row r="24" spans="2:16" x14ac:dyDescent="0.35">
      <c r="B24" s="2">
        <v>2046</v>
      </c>
      <c r="C24" s="4">
        <f>(TableIncomeCalculations[[#This Row],[GrossMonthlySalaryP1]]*12)</f>
        <v>1040197.1376437095</v>
      </c>
      <c r="D24" s="24">
        <f>(TableIncomeCalculations[[#This Row],[GrossMonthlySalaryP2]]*12)</f>
        <v>1256381.897530817</v>
      </c>
      <c r="E24" s="3">
        <f>TableIncome[[#This Row],[SalaryP1]]*$I$6</f>
        <v>104019.71376437096</v>
      </c>
      <c r="F24" s="3">
        <f>TableIncome[[#This Row],[SalaryP2]]*$I$6</f>
        <v>125638.18975308171</v>
      </c>
      <c r="G24" s="22"/>
      <c r="M24" s="21">
        <f>IF(_xlfn.XLOOKUP(TableIncome[[#This Row],[Year]],Loop!C:C,Loop!D:D)&lt;70,(M23*(1+$I$4))+IF(TableIncomeCalculations[[#This Row],[SwitchP1]]="Y",M23*$I$5,0),0)</f>
        <v>86683.094803642467</v>
      </c>
      <c r="N24" s="21">
        <f>IF(_xlfn.XLOOKUP(TableIncome[[#This Row],[Year]],Loop!C:C,Loop!E:E)&lt;70,(N23*(1+$I$4))+IF(TableIncomeCalculations[[#This Row],[SwitchP2]]="Y",N23*$I$5,0),0)</f>
        <v>104698.49146090141</v>
      </c>
      <c r="O24" t="str">
        <f>_xlfn.XLOOKUP(_xlfn.XLOOKUP(TableIncome[[#This Row],[Year]],Loop!C:C,Loop!D:D),'Job Hopping'!B:B,'Job Hopping'!F:F)</f>
        <v>N</v>
      </c>
      <c r="P24" t="str">
        <f>_xlfn.XLOOKUP(_xlfn.XLOOKUP(TableIncome[[#This Row],[Year]],Loop!C:C,Loop!E:E),'Job Hopping'!B:B,'Job Hopping'!G:G)</f>
        <v>N</v>
      </c>
    </row>
    <row r="25" spans="2:16" x14ac:dyDescent="0.35">
      <c r="B25" s="2">
        <v>2047</v>
      </c>
      <c r="C25" s="4">
        <f>(TableIncomeCalculations[[#This Row],[GrossMonthlySalaryP1]]*12)</f>
        <v>1154618.8227845177</v>
      </c>
      <c r="D25" s="24">
        <f>(TableIncomeCalculations[[#This Row],[GrossMonthlySalaryP2]]*12)</f>
        <v>1268945.7165061249</v>
      </c>
      <c r="E25" s="3">
        <f>TableIncome[[#This Row],[SalaryP1]]*$I$6</f>
        <v>115461.88227845177</v>
      </c>
      <c r="F25" s="3">
        <f>TableIncome[[#This Row],[SalaryP2]]*$I$6</f>
        <v>126894.5716506125</v>
      </c>
      <c r="G25" s="22"/>
      <c r="M25" s="21">
        <f>IF(_xlfn.XLOOKUP(TableIncome[[#This Row],[Year]],Loop!C:C,Loop!D:D)&lt;70,(M24*(1+$I$4))+IF(TableIncomeCalculations[[#This Row],[SwitchP1]]="Y",M24*$I$5,0),0)</f>
        <v>96218.235232043138</v>
      </c>
      <c r="N25" s="21">
        <f>IF(_xlfn.XLOOKUP(TableIncome[[#This Row],[Year]],Loop!C:C,Loop!E:E)&lt;70,(N24*(1+$I$4))+IF(TableIncomeCalculations[[#This Row],[SwitchP2]]="Y",N24*$I$5,0),0)</f>
        <v>105745.47637551042</v>
      </c>
      <c r="O25" t="str">
        <f>_xlfn.XLOOKUP(_xlfn.XLOOKUP(TableIncome[[#This Row],[Year]],Loop!C:C,Loop!D:D),'Job Hopping'!B:B,'Job Hopping'!F:F)</f>
        <v>Y</v>
      </c>
      <c r="P25" t="str">
        <f>_xlfn.XLOOKUP(_xlfn.XLOOKUP(TableIncome[[#This Row],[Year]],Loop!C:C,Loop!E:E),'Job Hopping'!B:B,'Job Hopping'!G:G)</f>
        <v>N</v>
      </c>
    </row>
    <row r="26" spans="2:16" x14ac:dyDescent="0.35">
      <c r="B26" s="2">
        <v>2048</v>
      </c>
      <c r="C26" s="4">
        <f>(TableIncomeCalculations[[#This Row],[GrossMonthlySalaryP1]]*12)</f>
        <v>1166165.0110123628</v>
      </c>
      <c r="D26" s="24">
        <f>(TableIncomeCalculations[[#This Row],[GrossMonthlySalaryP2]]*12)</f>
        <v>1281635.1736711862</v>
      </c>
      <c r="E26" s="3">
        <f>TableIncome[[#This Row],[SalaryP1]]*$I$6</f>
        <v>116616.50110123628</v>
      </c>
      <c r="F26" s="3">
        <f>TableIncome[[#This Row],[SalaryP2]]*$I$6</f>
        <v>128163.51736711862</v>
      </c>
      <c r="G26" s="22"/>
      <c r="M26" s="21">
        <f>IF(_xlfn.XLOOKUP(TableIncome[[#This Row],[Year]],Loop!C:C,Loop!D:D)&lt;70,(M25*(1+$I$4))+IF(TableIncomeCalculations[[#This Row],[SwitchP1]]="Y",M25*$I$5,0),0)</f>
        <v>97180.417584363575</v>
      </c>
      <c r="N26" s="21">
        <f>IF(_xlfn.XLOOKUP(TableIncome[[#This Row],[Year]],Loop!C:C,Loop!E:E)&lt;70,(N25*(1+$I$4))+IF(TableIncomeCalculations[[#This Row],[SwitchP2]]="Y",N25*$I$5,0),0)</f>
        <v>106802.93113926552</v>
      </c>
      <c r="O26" t="str">
        <f>_xlfn.XLOOKUP(_xlfn.XLOOKUP(TableIncome[[#This Row],[Year]],Loop!C:C,Loop!D:D),'Job Hopping'!B:B,'Job Hopping'!F:F)</f>
        <v>N</v>
      </c>
      <c r="P26" t="str">
        <f>_xlfn.XLOOKUP(_xlfn.XLOOKUP(TableIncome[[#This Row],[Year]],Loop!C:C,Loop!E:E),'Job Hopping'!B:B,'Job Hopping'!G:G)</f>
        <v>N</v>
      </c>
    </row>
    <row r="27" spans="2:16" x14ac:dyDescent="0.35">
      <c r="B27" s="2">
        <v>2049</v>
      </c>
      <c r="C27" s="4">
        <f>(TableIncomeCalculations[[#This Row],[GrossMonthlySalaryP1]]*12)</f>
        <v>1177826.6611224865</v>
      </c>
      <c r="D27" s="24">
        <f>(TableIncomeCalculations[[#This Row],[GrossMonthlySalaryP2]]*12)</f>
        <v>1294451.5254078982</v>
      </c>
      <c r="E27" s="3">
        <f>TableIncome[[#This Row],[SalaryP1]]*$I$6</f>
        <v>117782.66611224865</v>
      </c>
      <c r="F27" s="3">
        <f>TableIncome[[#This Row],[SalaryP2]]*$I$6</f>
        <v>129445.15254078983</v>
      </c>
      <c r="G27" s="22"/>
      <c r="M27" s="21">
        <f>IF(_xlfn.XLOOKUP(TableIncome[[#This Row],[Year]],Loop!C:C,Loop!D:D)&lt;70,(M26*(1+$I$4))+IF(TableIncomeCalculations[[#This Row],[SwitchP1]]="Y",M26*$I$5,0),0)</f>
        <v>98152.221760207205</v>
      </c>
      <c r="N27" s="21">
        <f>IF(_xlfn.XLOOKUP(TableIncome[[#This Row],[Year]],Loop!C:C,Loop!E:E)&lt;70,(N26*(1+$I$4))+IF(TableIncomeCalculations[[#This Row],[SwitchP2]]="Y",N26*$I$5,0),0)</f>
        <v>107870.96045065818</v>
      </c>
      <c r="O27" t="str">
        <f>_xlfn.XLOOKUP(_xlfn.XLOOKUP(TableIncome[[#This Row],[Year]],Loop!C:C,Loop!D:D),'Job Hopping'!B:B,'Job Hopping'!F:F)</f>
        <v>N</v>
      </c>
      <c r="P27" t="str">
        <f>_xlfn.XLOOKUP(_xlfn.XLOOKUP(TableIncome[[#This Row],[Year]],Loop!C:C,Loop!E:E),'Job Hopping'!B:B,'Job Hopping'!G:G)</f>
        <v>N</v>
      </c>
    </row>
    <row r="28" spans="2:16" x14ac:dyDescent="0.35">
      <c r="B28" s="2">
        <v>2050</v>
      </c>
      <c r="C28" s="4">
        <f>(TableIncomeCalculations[[#This Row],[GrossMonthlySalaryP1]]*12)</f>
        <v>1189604.9277337114</v>
      </c>
      <c r="D28" s="24">
        <f>(TableIncomeCalculations[[#This Row],[GrossMonthlySalaryP2]]*12)</f>
        <v>1307396.0406619771</v>
      </c>
      <c r="E28" s="3">
        <f>TableIncome[[#This Row],[SalaryP1]]*$I$6</f>
        <v>118960.49277337115</v>
      </c>
      <c r="F28" s="3">
        <f>TableIncome[[#This Row],[SalaryP2]]*$I$6</f>
        <v>130739.60406619772</v>
      </c>
      <c r="G28" s="22"/>
      <c r="M28" s="21">
        <f>IF(_xlfn.XLOOKUP(TableIncome[[#This Row],[Year]],Loop!C:C,Loop!D:D)&lt;70,(M27*(1+$I$4))+IF(TableIncomeCalculations[[#This Row],[SwitchP1]]="Y",M27*$I$5,0),0)</f>
        <v>99133.743977809281</v>
      </c>
      <c r="N28" s="21">
        <f>IF(_xlfn.XLOOKUP(TableIncome[[#This Row],[Year]],Loop!C:C,Loop!E:E)&lt;70,(N27*(1+$I$4))+IF(TableIncomeCalculations[[#This Row],[SwitchP2]]="Y",N27*$I$5,0),0)</f>
        <v>108949.67005516477</v>
      </c>
      <c r="O28" t="str">
        <f>_xlfn.XLOOKUP(_xlfn.XLOOKUP(TableIncome[[#This Row],[Year]],Loop!C:C,Loop!D:D),'Job Hopping'!B:B,'Job Hopping'!F:F)</f>
        <v>N</v>
      </c>
      <c r="P28" t="str">
        <f>_xlfn.XLOOKUP(_xlfn.XLOOKUP(TableIncome[[#This Row],[Year]],Loop!C:C,Loop!E:E),'Job Hopping'!B:B,'Job Hopping'!G:G)</f>
        <v>N</v>
      </c>
    </row>
    <row r="29" spans="2:16" x14ac:dyDescent="0.35">
      <c r="B29" s="2">
        <v>2051</v>
      </c>
      <c r="C29" s="4">
        <f>(TableIncomeCalculations[[#This Row],[GrossMonthlySalaryP1]]*12)</f>
        <v>1201500.9770110487</v>
      </c>
      <c r="D29" s="24">
        <f>(TableIncomeCalculations[[#This Row],[GrossMonthlySalaryP2]]*12)</f>
        <v>1320470.001068597</v>
      </c>
      <c r="E29" s="3">
        <f>TableIncome[[#This Row],[SalaryP1]]*$I$6</f>
        <v>120150.09770110488</v>
      </c>
      <c r="F29" s="3">
        <f>TableIncome[[#This Row],[SalaryP2]]*$I$6</f>
        <v>132047.00010685969</v>
      </c>
      <c r="G29" s="22"/>
      <c r="M29" s="21">
        <f>IF(_xlfn.XLOOKUP(TableIncome[[#This Row],[Year]],Loop!C:C,Loop!D:D)&lt;70,(M28*(1+$I$4))+IF(TableIncomeCalculations[[#This Row],[SwitchP1]]="Y",M28*$I$5,0),0)</f>
        <v>100125.08141758738</v>
      </c>
      <c r="N29" s="21">
        <f>IF(_xlfn.XLOOKUP(TableIncome[[#This Row],[Year]],Loop!C:C,Loop!E:E)&lt;70,(N28*(1+$I$4))+IF(TableIncomeCalculations[[#This Row],[SwitchP2]]="Y",N28*$I$5,0),0)</f>
        <v>110039.16675571642</v>
      </c>
      <c r="O29" t="str">
        <f>_xlfn.XLOOKUP(_xlfn.XLOOKUP(TableIncome[[#This Row],[Year]],Loop!C:C,Loop!D:D),'Job Hopping'!B:B,'Job Hopping'!F:F)</f>
        <v>N</v>
      </c>
      <c r="P29" t="str">
        <f>_xlfn.XLOOKUP(_xlfn.XLOOKUP(TableIncome[[#This Row],[Year]],Loop!C:C,Loop!E:E),'Job Hopping'!B:B,'Job Hopping'!G:G)</f>
        <v>N</v>
      </c>
    </row>
    <row r="30" spans="2:16" x14ac:dyDescent="0.35">
      <c r="B30" s="2">
        <v>2052</v>
      </c>
      <c r="C30" s="4">
        <f>(TableIncomeCalculations[[#This Row],[GrossMonthlySalaryP1]]*12)</f>
        <v>1213515.986781159</v>
      </c>
      <c r="D30" s="24">
        <f>(TableIncomeCalculations[[#This Row],[GrossMonthlySalaryP2]]*12)</f>
        <v>1333674.7010792829</v>
      </c>
      <c r="E30" s="3">
        <f>TableIncome[[#This Row],[SalaryP1]]*$I$6</f>
        <v>121351.5986781159</v>
      </c>
      <c r="F30" s="3">
        <f>TableIncome[[#This Row],[SalaryP2]]*$I$6</f>
        <v>133367.4701079283</v>
      </c>
      <c r="G30" s="22"/>
      <c r="M30" s="21">
        <f>IF(_xlfn.XLOOKUP(TableIncome[[#This Row],[Year]],Loop!C:C,Loop!D:D)&lt;70,(M29*(1+$I$4))+IF(TableIncomeCalculations[[#This Row],[SwitchP1]]="Y",M29*$I$5,0),0)</f>
        <v>101126.33223176326</v>
      </c>
      <c r="N30" s="21">
        <f>IF(_xlfn.XLOOKUP(TableIncome[[#This Row],[Year]],Loop!C:C,Loop!E:E)&lt;70,(N29*(1+$I$4))+IF(TableIncomeCalculations[[#This Row],[SwitchP2]]="Y",N29*$I$5,0),0)</f>
        <v>111139.55842327359</v>
      </c>
      <c r="O30" t="str">
        <f>_xlfn.XLOOKUP(_xlfn.XLOOKUP(TableIncome[[#This Row],[Year]],Loop!C:C,Loop!D:D),'Job Hopping'!B:B,'Job Hopping'!F:F)</f>
        <v>N</v>
      </c>
      <c r="P30" t="str">
        <f>_xlfn.XLOOKUP(_xlfn.XLOOKUP(TableIncome[[#This Row],[Year]],Loop!C:C,Loop!E:E),'Job Hopping'!B:B,'Job Hopping'!G:G)</f>
        <v>N</v>
      </c>
    </row>
    <row r="31" spans="2:16" x14ac:dyDescent="0.35">
      <c r="B31" s="2">
        <v>2053</v>
      </c>
      <c r="C31" s="4">
        <f>(TableIncomeCalculations[[#This Row],[GrossMonthlySalaryP1]]*12)</f>
        <v>1225651.1466489707</v>
      </c>
      <c r="D31" s="24">
        <f>(TableIncomeCalculations[[#This Row],[GrossMonthlySalaryP2]]*12)</f>
        <v>1347011.448090076</v>
      </c>
      <c r="E31" s="3">
        <f>TableIncome[[#This Row],[SalaryP1]]*$I$6</f>
        <v>122565.11466489708</v>
      </c>
      <c r="F31" s="3">
        <f>TableIncome[[#This Row],[SalaryP2]]*$I$6</f>
        <v>134701.14480900762</v>
      </c>
      <c r="G31" s="22"/>
      <c r="M31" s="21">
        <f>IF(_xlfn.XLOOKUP(TableIncome[[#This Row],[Year]],Loop!C:C,Loop!D:D)&lt;70,(M30*(1+$I$4))+IF(TableIncomeCalculations[[#This Row],[SwitchP1]]="Y",M30*$I$5,0),0)</f>
        <v>102137.59555408089</v>
      </c>
      <c r="N31" s="21">
        <f>IF(_xlfn.XLOOKUP(TableIncome[[#This Row],[Year]],Loop!C:C,Loop!E:E)&lt;70,(N30*(1+$I$4))+IF(TableIncomeCalculations[[#This Row],[SwitchP2]]="Y",N30*$I$5,0),0)</f>
        <v>112250.95400750633</v>
      </c>
      <c r="O31" t="str">
        <f>_xlfn.XLOOKUP(_xlfn.XLOOKUP(TableIncome[[#This Row],[Year]],Loop!C:C,Loop!D:D),'Job Hopping'!B:B,'Job Hopping'!F:F)</f>
        <v>N</v>
      </c>
      <c r="P31" t="str">
        <f>_xlfn.XLOOKUP(_xlfn.XLOOKUP(TableIncome[[#This Row],[Year]],Loop!C:C,Loop!E:E),'Job Hopping'!B:B,'Job Hopping'!G:G)</f>
        <v>N</v>
      </c>
    </row>
    <row r="32" spans="2:16" x14ac:dyDescent="0.35">
      <c r="B32" s="2">
        <v>2054</v>
      </c>
      <c r="C32" s="4">
        <f>(TableIncomeCalculations[[#This Row],[GrossMonthlySalaryP1]]*12)</f>
        <v>1237907.6581154603</v>
      </c>
      <c r="D32" s="24">
        <f>(TableIncomeCalculations[[#This Row],[GrossMonthlySalaryP2]]*12)</f>
        <v>1360481.5625709766</v>
      </c>
      <c r="E32" s="3">
        <f>TableIncome[[#This Row],[SalaryP1]]*$I$6</f>
        <v>123790.76581154604</v>
      </c>
      <c r="F32" s="3">
        <f>TableIncome[[#This Row],[SalaryP2]]*$I$6</f>
        <v>136048.15625709767</v>
      </c>
      <c r="G32" s="22"/>
      <c r="M32" s="21">
        <f>IF(_xlfn.XLOOKUP(TableIncome[[#This Row],[Year]],Loop!C:C,Loop!D:D)&lt;70,(M31*(1+$I$4))+IF(TableIncomeCalculations[[#This Row],[SwitchP1]]="Y",M31*$I$5,0),0)</f>
        <v>103158.9715096217</v>
      </c>
      <c r="N32" s="21">
        <f>IF(_xlfn.XLOOKUP(TableIncome[[#This Row],[Year]],Loop!C:C,Loop!E:E)&lt;70,(N31*(1+$I$4))+IF(TableIncomeCalculations[[#This Row],[SwitchP2]]="Y",N31*$I$5,0),0)</f>
        <v>113373.46354758138</v>
      </c>
      <c r="O32" t="str">
        <f>_xlfn.XLOOKUP(_xlfn.XLOOKUP(TableIncome[[#This Row],[Year]],Loop!C:C,Loop!D:D),'Job Hopping'!B:B,'Job Hopping'!F:F)</f>
        <v>N</v>
      </c>
      <c r="P32" t="str">
        <f>_xlfn.XLOOKUP(_xlfn.XLOOKUP(TableIncome[[#This Row],[Year]],Loop!C:C,Loop!E:E),'Job Hopping'!B:B,'Job Hopping'!G:G)</f>
        <v>N</v>
      </c>
    </row>
    <row r="33" spans="2:16" x14ac:dyDescent="0.35">
      <c r="B33" s="2">
        <v>2055</v>
      </c>
      <c r="C33" s="4">
        <f>(TableIncomeCalculations[[#This Row],[GrossMonthlySalaryP1]]*12)</f>
        <v>1250286.734696615</v>
      </c>
      <c r="D33" s="24">
        <f>(TableIncomeCalculations[[#This Row],[GrossMonthlySalaryP2]]*12)</f>
        <v>0</v>
      </c>
      <c r="E33" s="3">
        <f>TableIncome[[#This Row],[SalaryP1]]*$I$6</f>
        <v>125028.6734696615</v>
      </c>
      <c r="F33" s="3">
        <f>TableIncome[[#This Row],[SalaryP2]]*$I$6</f>
        <v>0</v>
      </c>
      <c r="G33" s="22"/>
      <c r="M33" s="21">
        <f>IF(_xlfn.XLOOKUP(TableIncome[[#This Row],[Year]],Loop!C:C,Loop!D:D)&lt;70,(M32*(1+$I$4))+IF(TableIncomeCalculations[[#This Row],[SwitchP1]]="Y",M32*$I$5,0),0)</f>
        <v>104190.56122471791</v>
      </c>
      <c r="N33" s="21">
        <f>IF(_xlfn.XLOOKUP(TableIncome[[#This Row],[Year]],Loop!C:C,Loop!E:E)&lt;70,(N32*(1+$I$4))+IF(TableIncomeCalculations[[#This Row],[SwitchP2]]="Y",N32*$I$5,0),0)</f>
        <v>0</v>
      </c>
      <c r="O33" t="str">
        <f>_xlfn.XLOOKUP(_xlfn.XLOOKUP(TableIncome[[#This Row],[Year]],Loop!C:C,Loop!D:D),'Job Hopping'!B:B,'Job Hopping'!F:F)</f>
        <v>N</v>
      </c>
      <c r="P33" t="str">
        <f>_xlfn.XLOOKUP(_xlfn.XLOOKUP(TableIncome[[#This Row],[Year]],Loop!C:C,Loop!E:E),'Job Hopping'!B:B,'Job Hopping'!G:G)</f>
        <v>N</v>
      </c>
    </row>
    <row r="34" spans="2:16" x14ac:dyDescent="0.35">
      <c r="B34" s="2">
        <v>2056</v>
      </c>
      <c r="C34" s="4">
        <f>(TableIncomeCalculations[[#This Row],[GrossMonthlySalaryP1]]*12)</f>
        <v>1262789.6020435812</v>
      </c>
      <c r="D34" s="24">
        <f>(TableIncomeCalculations[[#This Row],[GrossMonthlySalaryP2]]*12)</f>
        <v>0</v>
      </c>
      <c r="E34" s="3">
        <f>TableIncome[[#This Row],[SalaryP1]]*$I$6</f>
        <v>126278.96020435813</v>
      </c>
      <c r="F34" s="3">
        <f>TableIncome[[#This Row],[SalaryP2]]*$I$6</f>
        <v>0</v>
      </c>
      <c r="G34" s="22"/>
      <c r="M34" s="21">
        <f>IF(_xlfn.XLOOKUP(TableIncome[[#This Row],[Year]],Loop!C:C,Loop!D:D)&lt;70,(M33*(1+$I$4))+IF(TableIncomeCalculations[[#This Row],[SwitchP1]]="Y",M33*$I$5,0),0)</f>
        <v>105232.46683696509</v>
      </c>
      <c r="N34" s="21">
        <f>IF(_xlfn.XLOOKUP(TableIncome[[#This Row],[Year]],Loop!C:C,Loop!E:E)&lt;70,(N33*(1+$I$4))+IF(TableIncomeCalculations[[#This Row],[SwitchP2]]="Y",N33*$I$5,0),0)</f>
        <v>0</v>
      </c>
      <c r="O34" t="str">
        <f>_xlfn.XLOOKUP(_xlfn.XLOOKUP(TableIncome[[#This Row],[Year]],Loop!C:C,Loop!D:D),'Job Hopping'!B:B,'Job Hopping'!F:F)</f>
        <v>N</v>
      </c>
      <c r="P34" t="str">
        <f>_xlfn.XLOOKUP(_xlfn.XLOOKUP(TableIncome[[#This Row],[Year]],Loop!C:C,Loop!E:E),'Job Hopping'!B:B,'Job Hopping'!G:G)</f>
        <v>N</v>
      </c>
    </row>
    <row r="35" spans="2:16" x14ac:dyDescent="0.35">
      <c r="B35" s="2">
        <v>2057</v>
      </c>
      <c r="C35" s="4">
        <f>(TableIncomeCalculations[[#This Row],[GrossMonthlySalaryP1]]*12)</f>
        <v>1275417.4980640169</v>
      </c>
      <c r="D35" s="24">
        <f>(TableIncomeCalculations[[#This Row],[GrossMonthlySalaryP2]]*12)</f>
        <v>0</v>
      </c>
      <c r="E35" s="3">
        <f>TableIncome[[#This Row],[SalaryP1]]*$I$6</f>
        <v>127541.7498064017</v>
      </c>
      <c r="F35" s="3">
        <f>TableIncome[[#This Row],[SalaryP2]]*$I$6</f>
        <v>0</v>
      </c>
      <c r="G35" s="22"/>
      <c r="M35" s="21">
        <f>IF(_xlfn.XLOOKUP(TableIncome[[#This Row],[Year]],Loop!C:C,Loop!D:D)&lt;70,(M34*(1+$I$4))+IF(TableIncomeCalculations[[#This Row],[SwitchP1]]="Y",M34*$I$5,0),0)</f>
        <v>106284.79150533474</v>
      </c>
      <c r="N35" s="21">
        <f>IF(_xlfn.XLOOKUP(TableIncome[[#This Row],[Year]],Loop!C:C,Loop!E:E)&lt;70,(N34*(1+$I$4))+IF(TableIncomeCalculations[[#This Row],[SwitchP2]]="Y",N34*$I$5,0),0)</f>
        <v>0</v>
      </c>
      <c r="O35" t="str">
        <f>_xlfn.XLOOKUP(_xlfn.XLOOKUP(TableIncome[[#This Row],[Year]],Loop!C:C,Loop!D:D),'Job Hopping'!B:B,'Job Hopping'!F:F)</f>
        <v>N</v>
      </c>
      <c r="P35" t="str">
        <f>_xlfn.XLOOKUP(_xlfn.XLOOKUP(TableIncome[[#This Row],[Year]],Loop!C:C,Loop!E:E),'Job Hopping'!B:B,'Job Hopping'!G:G)</f>
        <v>N</v>
      </c>
    </row>
    <row r="36" spans="2:16" x14ac:dyDescent="0.35">
      <c r="B36" s="2">
        <v>2058</v>
      </c>
      <c r="C36" s="4">
        <f>(TableIncomeCalculations[[#This Row],[GrossMonthlySalaryP1]]*12)</f>
        <v>1288171.6730446571</v>
      </c>
      <c r="D36" s="24">
        <f>(TableIncomeCalculations[[#This Row],[GrossMonthlySalaryP2]]*12)</f>
        <v>0</v>
      </c>
      <c r="E36" s="3">
        <f>TableIncome[[#This Row],[SalaryP1]]*$I$6</f>
        <v>128817.16730446572</v>
      </c>
      <c r="F36" s="3">
        <f>TableIncome[[#This Row],[SalaryP2]]*$I$6</f>
        <v>0</v>
      </c>
      <c r="G36" s="22"/>
      <c r="M36" s="21">
        <f>IF(_xlfn.XLOOKUP(TableIncome[[#This Row],[Year]],Loop!C:C,Loop!D:D)&lt;70,(M35*(1+$I$4))+IF(TableIncomeCalculations[[#This Row],[SwitchP1]]="Y",M35*$I$5,0),0)</f>
        <v>107347.63942038809</v>
      </c>
      <c r="N36" s="21">
        <f>IF(_xlfn.XLOOKUP(TableIncome[[#This Row],[Year]],Loop!C:C,Loop!E:E)&lt;70,(N35*(1+$I$4))+IF(TableIncomeCalculations[[#This Row],[SwitchP2]]="Y",N35*$I$5,0),0)</f>
        <v>0</v>
      </c>
      <c r="O36" t="str">
        <f>_xlfn.XLOOKUP(_xlfn.XLOOKUP(TableIncome[[#This Row],[Year]],Loop!C:C,Loop!D:D),'Job Hopping'!B:B,'Job Hopping'!F:F)</f>
        <v>N</v>
      </c>
      <c r="P36" t="str">
        <f>_xlfn.XLOOKUP(_xlfn.XLOOKUP(TableIncome[[#This Row],[Year]],Loop!C:C,Loop!E:E),'Job Hopping'!B:B,'Job Hopping'!G:G)</f>
        <v>N</v>
      </c>
    </row>
    <row r="37" spans="2:16" x14ac:dyDescent="0.35">
      <c r="B37" s="2">
        <v>2059</v>
      </c>
      <c r="C37" s="4">
        <f>(TableIncomeCalculations[[#This Row],[GrossMonthlySalaryP1]]*12)</f>
        <v>1301053.3897751037</v>
      </c>
      <c r="D37" s="24">
        <f>(TableIncomeCalculations[[#This Row],[GrossMonthlySalaryP2]]*12)</f>
        <v>0</v>
      </c>
      <c r="E37" s="3">
        <f>TableIncome[[#This Row],[SalaryP1]]*$I$6</f>
        <v>130105.33897751037</v>
      </c>
      <c r="F37" s="3">
        <f>TableIncome[[#This Row],[SalaryP2]]*$I$6</f>
        <v>0</v>
      </c>
      <c r="G37" s="22"/>
      <c r="M37" s="21">
        <f>IF(_xlfn.XLOOKUP(TableIncome[[#This Row],[Year]],Loop!C:C,Loop!D:D)&lt;70,(M36*(1+$I$4))+IF(TableIncomeCalculations[[#This Row],[SwitchP1]]="Y",M36*$I$5,0),0)</f>
        <v>108421.11581459198</v>
      </c>
      <c r="N37" s="21">
        <f>IF(_xlfn.XLOOKUP(TableIncome[[#This Row],[Year]],Loop!C:C,Loop!E:E)&lt;70,(N36*(1+$I$4))+IF(TableIncomeCalculations[[#This Row],[SwitchP2]]="Y",N36*$I$5,0),0)</f>
        <v>0</v>
      </c>
      <c r="O37" t="str">
        <f>_xlfn.XLOOKUP(_xlfn.XLOOKUP(TableIncome[[#This Row],[Year]],Loop!C:C,Loop!D:D),'Job Hopping'!B:B,'Job Hopping'!F:F)</f>
        <v>N</v>
      </c>
      <c r="P37" t="str">
        <f>_xlfn.XLOOKUP(_xlfn.XLOOKUP(TableIncome[[#This Row],[Year]],Loop!C:C,Loop!E:E),'Job Hopping'!B:B,'Job Hopping'!G:G)</f>
        <v>N</v>
      </c>
    </row>
    <row r="38" spans="2:16" x14ac:dyDescent="0.35">
      <c r="B38" s="2">
        <v>2060</v>
      </c>
      <c r="C38" s="4">
        <f>(TableIncomeCalculations[[#This Row],[GrossMonthlySalaryP1]]*12)</f>
        <v>1444169.262650365</v>
      </c>
      <c r="D38" s="24">
        <f>(TableIncomeCalculations[[#This Row],[GrossMonthlySalaryP2]]*12)</f>
        <v>0</v>
      </c>
      <c r="E38" s="3">
        <f>TableIncome[[#This Row],[SalaryP1]]*$I$6</f>
        <v>144416.92626503651</v>
      </c>
      <c r="F38" s="3">
        <f>TableIncome[[#This Row],[SalaryP2]]*$I$6</f>
        <v>0</v>
      </c>
      <c r="G38" s="22"/>
      <c r="M38" s="21">
        <f>IF(_xlfn.XLOOKUP(TableIncome[[#This Row],[Year]],Loop!C:C,Loop!D:D)&lt;70,(M37*(1+$I$4))+IF(TableIncomeCalculations[[#This Row],[SwitchP1]]="Y",M37*$I$5,0),0)</f>
        <v>120347.43855419708</v>
      </c>
      <c r="N38" s="21">
        <f>IF(_xlfn.XLOOKUP(TableIncome[[#This Row],[Year]],Loop!C:C,Loop!E:E)&lt;70,(N37*(1+$I$4))+IF(TableIncomeCalculations[[#This Row],[SwitchP2]]="Y",N37*$I$5,0),0)</f>
        <v>0</v>
      </c>
      <c r="O38" t="str">
        <f>_xlfn.XLOOKUP(_xlfn.XLOOKUP(TableIncome[[#This Row],[Year]],Loop!C:C,Loop!D:D),'Job Hopping'!B:B,'Job Hopping'!F:F)</f>
        <v>Y</v>
      </c>
      <c r="P38" t="str">
        <f>_xlfn.XLOOKUP(_xlfn.XLOOKUP(TableIncome[[#This Row],[Year]],Loop!C:C,Loop!E:E),'Job Hopping'!B:B,'Job Hopping'!G:G)</f>
        <v>N</v>
      </c>
    </row>
    <row r="39" spans="2:16" x14ac:dyDescent="0.35">
      <c r="B39" s="2">
        <v>2061</v>
      </c>
      <c r="C39" s="4">
        <f>(TableIncomeCalculations[[#This Row],[GrossMonthlySalaryP1]]*12)</f>
        <v>1458610.9552768685</v>
      </c>
      <c r="D39" s="24">
        <f>(TableIncomeCalculations[[#This Row],[GrossMonthlySalaryP2]]*12)</f>
        <v>0</v>
      </c>
      <c r="E39" s="3">
        <f>TableIncome[[#This Row],[SalaryP1]]*$I$6</f>
        <v>145861.09552768685</v>
      </c>
      <c r="F39" s="3">
        <f>TableIncome[[#This Row],[SalaryP2]]*$I$6</f>
        <v>0</v>
      </c>
      <c r="G39" s="22"/>
      <c r="M39" s="21">
        <f>IF(_xlfn.XLOOKUP(TableIncome[[#This Row],[Year]],Loop!C:C,Loop!D:D)&lt;70,(M38*(1+$I$4))+IF(TableIncomeCalculations[[#This Row],[SwitchP1]]="Y",M38*$I$5,0),0)</f>
        <v>121550.91293973905</v>
      </c>
      <c r="N39" s="21">
        <f>IF(_xlfn.XLOOKUP(TableIncome[[#This Row],[Year]],Loop!C:C,Loop!E:E)&lt;70,(N38*(1+$I$4))+IF(TableIncomeCalculations[[#This Row],[SwitchP2]]="Y",N38*$I$5,0),0)</f>
        <v>0</v>
      </c>
      <c r="O39" t="str">
        <f>_xlfn.XLOOKUP(_xlfn.XLOOKUP(TableIncome[[#This Row],[Year]],Loop!C:C,Loop!D:D),'Job Hopping'!B:B,'Job Hopping'!F:F)</f>
        <v>N</v>
      </c>
      <c r="P39" t="str">
        <f>_xlfn.XLOOKUP(_xlfn.XLOOKUP(TableIncome[[#This Row],[Year]],Loop!C:C,Loop!E:E),'Job Hopping'!B:B,'Job Hopping'!G:G)</f>
        <v>N</v>
      </c>
    </row>
    <row r="40" spans="2:16" x14ac:dyDescent="0.35">
      <c r="B40" s="2">
        <v>2062</v>
      </c>
      <c r="C40" s="4">
        <f>(TableIncomeCalculations[[#This Row],[GrossMonthlySalaryP1]]*12)</f>
        <v>1473197.0648296373</v>
      </c>
      <c r="D40" s="24">
        <f>(TableIncomeCalculations[[#This Row],[GrossMonthlySalaryP2]]*12)</f>
        <v>0</v>
      </c>
      <c r="E40" s="3">
        <f>TableIncome[[#This Row],[SalaryP1]]*$I$6</f>
        <v>147319.70648296372</v>
      </c>
      <c r="F40" s="3">
        <f>TableIncome[[#This Row],[SalaryP2]]*$I$6</f>
        <v>0</v>
      </c>
      <c r="G40" s="22"/>
      <c r="M40" s="21">
        <f>IF(_xlfn.XLOOKUP(TableIncome[[#This Row],[Year]],Loop!C:C,Loop!D:D)&lt;70,(M39*(1+$I$4))+IF(TableIncomeCalculations[[#This Row],[SwitchP1]]="Y",M39*$I$5,0),0)</f>
        <v>122766.42206913645</v>
      </c>
      <c r="N40" s="21">
        <f>IF(_xlfn.XLOOKUP(TableIncome[[#This Row],[Year]],Loop!C:C,Loop!E:E)&lt;70,(N39*(1+$I$4))+IF(TableIncomeCalculations[[#This Row],[SwitchP2]]="Y",N39*$I$5,0),0)</f>
        <v>0</v>
      </c>
      <c r="O40" t="str">
        <f>_xlfn.XLOOKUP(_xlfn.XLOOKUP(TableIncome[[#This Row],[Year]],Loop!C:C,Loop!D:D),'Job Hopping'!B:B,'Job Hopping'!F:F)</f>
        <v>N</v>
      </c>
      <c r="P40" t="str">
        <f>_xlfn.XLOOKUP(_xlfn.XLOOKUP(TableIncome[[#This Row],[Year]],Loop!C:C,Loop!E:E),'Job Hopping'!B:B,'Job Hopping'!G:G)</f>
        <v>N</v>
      </c>
    </row>
    <row r="41" spans="2:16" x14ac:dyDescent="0.35">
      <c r="B41" s="2">
        <v>2063</v>
      </c>
      <c r="C41" s="4">
        <f>(TableIncomeCalculations[[#This Row],[GrossMonthlySalaryP1]]*12)</f>
        <v>1487929.0354779337</v>
      </c>
      <c r="D41" s="24">
        <f>(TableIncomeCalculations[[#This Row],[GrossMonthlySalaryP2]]*12)</f>
        <v>0</v>
      </c>
      <c r="E41" s="3">
        <f>TableIncome[[#This Row],[SalaryP1]]*$I$6</f>
        <v>148792.90354779336</v>
      </c>
      <c r="F41" s="3">
        <f>TableIncome[[#This Row],[SalaryP2]]*$I$6</f>
        <v>0</v>
      </c>
      <c r="G41" s="22"/>
      <c r="M41" s="21">
        <f>IF(_xlfn.XLOOKUP(TableIncome[[#This Row],[Year]],Loop!C:C,Loop!D:D)&lt;70,(M40*(1+$I$4))+IF(TableIncomeCalculations[[#This Row],[SwitchP1]]="Y",M40*$I$5,0),0)</f>
        <v>123994.08628982781</v>
      </c>
      <c r="N41" s="21">
        <f>IF(_xlfn.XLOOKUP(TableIncome[[#This Row],[Year]],Loop!C:C,Loop!E:E)&lt;70,(N40*(1+$I$4))+IF(TableIncomeCalculations[[#This Row],[SwitchP2]]="Y",N40*$I$5,0),0)</f>
        <v>0</v>
      </c>
      <c r="O41" t="str">
        <f>_xlfn.XLOOKUP(_xlfn.XLOOKUP(TableIncome[[#This Row],[Year]],Loop!C:C,Loop!D:D),'Job Hopping'!B:B,'Job Hopping'!F:F)</f>
        <v>N</v>
      </c>
      <c r="P41" t="str">
        <f>_xlfn.XLOOKUP(_xlfn.XLOOKUP(TableIncome[[#This Row],[Year]],Loop!C:C,Loop!E:E),'Job Hopping'!B:B,'Job Hopping'!G:G)</f>
        <v>N</v>
      </c>
    </row>
    <row r="42" spans="2:16" x14ac:dyDescent="0.35">
      <c r="B42" s="2">
        <v>2064</v>
      </c>
      <c r="C42" s="4">
        <f>(TableIncomeCalculations[[#This Row],[GrossMonthlySalaryP1]]*12)</f>
        <v>1502808.3258327132</v>
      </c>
      <c r="D42" s="24">
        <f>(TableIncomeCalculations[[#This Row],[GrossMonthlySalaryP2]]*12)</f>
        <v>0</v>
      </c>
      <c r="E42" s="3">
        <f>TableIncome[[#This Row],[SalaryP1]]*$I$6</f>
        <v>150280.83258327132</v>
      </c>
      <c r="F42" s="3">
        <f>TableIncome[[#This Row],[SalaryP2]]*$I$6</f>
        <v>0</v>
      </c>
      <c r="G42" s="22"/>
      <c r="M42" s="21">
        <f>IF(_xlfn.XLOOKUP(TableIncome[[#This Row],[Year]],Loop!C:C,Loop!D:D)&lt;70,(M41*(1+$I$4))+IF(TableIncomeCalculations[[#This Row],[SwitchP1]]="Y",M41*$I$5,0),0)</f>
        <v>125234.02715272609</v>
      </c>
      <c r="N42" s="21">
        <f>IF(_xlfn.XLOOKUP(TableIncome[[#This Row],[Year]],Loop!C:C,Loop!E:E)&lt;70,(N41*(1+$I$4))+IF(TableIncomeCalculations[[#This Row],[SwitchP2]]="Y",N41*$I$5,0),0)</f>
        <v>0</v>
      </c>
      <c r="O42" t="str">
        <f>_xlfn.XLOOKUP(_xlfn.XLOOKUP(TableIncome[[#This Row],[Year]],Loop!C:C,Loop!D:D),'Job Hopping'!B:B,'Job Hopping'!F:F)</f>
        <v>N</v>
      </c>
      <c r="P42" t="str">
        <f>_xlfn.XLOOKUP(_xlfn.XLOOKUP(TableIncome[[#This Row],[Year]],Loop!C:C,Loop!E:E),'Job Hopping'!B:B,'Job Hopping'!G:G)</f>
        <v>N</v>
      </c>
    </row>
    <row r="43" spans="2:16" x14ac:dyDescent="0.35">
      <c r="B43" s="2">
        <v>2065</v>
      </c>
      <c r="C43" s="4">
        <f>(TableIncomeCalculations[[#This Row],[GrossMonthlySalaryP1]]*12)</f>
        <v>1517836.4090910403</v>
      </c>
      <c r="D43" s="24">
        <f>(TableIncomeCalculations[[#This Row],[GrossMonthlySalaryP2]]*12)</f>
        <v>0</v>
      </c>
      <c r="E43" s="3">
        <f>TableIncome[[#This Row],[SalaryP1]]*$I$6</f>
        <v>151783.64090910403</v>
      </c>
      <c r="F43" s="3">
        <f>TableIncome[[#This Row],[SalaryP2]]*$I$6</f>
        <v>0</v>
      </c>
      <c r="G43" s="22"/>
      <c r="M43" s="21">
        <f>IF(_xlfn.XLOOKUP(TableIncome[[#This Row],[Year]],Loop!C:C,Loop!D:D)&lt;70,(M42*(1+$I$4))+IF(TableIncomeCalculations[[#This Row],[SwitchP1]]="Y",M42*$I$5,0),0)</f>
        <v>126486.36742425336</v>
      </c>
      <c r="N43" s="21">
        <f>IF(_xlfn.XLOOKUP(TableIncome[[#This Row],[Year]],Loop!C:C,Loop!E:E)&lt;70,(N42*(1+$I$4))+IF(TableIncomeCalculations[[#This Row],[SwitchP2]]="Y",N42*$I$5,0),0)</f>
        <v>0</v>
      </c>
      <c r="O43" t="str">
        <f>_xlfn.XLOOKUP(_xlfn.XLOOKUP(TableIncome[[#This Row],[Year]],Loop!C:C,Loop!D:D),'Job Hopping'!B:B,'Job Hopping'!F:F)</f>
        <v>N</v>
      </c>
      <c r="P43" t="str">
        <f>_xlfn.XLOOKUP(_xlfn.XLOOKUP(TableIncome[[#This Row],[Year]],Loop!C:C,Loop!E:E),'Job Hopping'!B:B,'Job Hopping'!G:G)</f>
        <v>N</v>
      </c>
    </row>
    <row r="44" spans="2:16" x14ac:dyDescent="0.35">
      <c r="B44" s="2">
        <v>2066</v>
      </c>
      <c r="C44" s="4">
        <f>(TableIncomeCalculations[[#This Row],[GrossMonthlySalaryP1]]*12)</f>
        <v>1533014.7731819507</v>
      </c>
      <c r="D44" s="24">
        <f>(TableIncomeCalculations[[#This Row],[GrossMonthlySalaryP2]]*12)</f>
        <v>0</v>
      </c>
      <c r="E44" s="3">
        <f>TableIncome[[#This Row],[SalaryP1]]*$I$6</f>
        <v>153301.47731819507</v>
      </c>
      <c r="F44" s="3">
        <f>TableIncome[[#This Row],[SalaryP2]]*$I$6</f>
        <v>0</v>
      </c>
      <c r="G44" s="22"/>
      <c r="M44" s="21">
        <f>IF(_xlfn.XLOOKUP(TableIncome[[#This Row],[Year]],Loop!C:C,Loop!D:D)&lt;70,(M43*(1+$I$4))+IF(TableIncomeCalculations[[#This Row],[SwitchP1]]="Y",M43*$I$5,0),0)</f>
        <v>127751.23109849589</v>
      </c>
      <c r="N44" s="21">
        <f>IF(_xlfn.XLOOKUP(TableIncome[[#This Row],[Year]],Loop!C:C,Loop!E:E)&lt;70,(N43*(1+$I$4))+IF(TableIncomeCalculations[[#This Row],[SwitchP2]]="Y",N43*$I$5,0),0)</f>
        <v>0</v>
      </c>
      <c r="O44" t="str">
        <f>_xlfn.XLOOKUP(_xlfn.XLOOKUP(TableIncome[[#This Row],[Year]],Loop!C:C,Loop!D:D),'Job Hopping'!B:B,'Job Hopping'!F:F)</f>
        <v>N</v>
      </c>
      <c r="P44" t="str">
        <f>_xlfn.XLOOKUP(_xlfn.XLOOKUP(TableIncome[[#This Row],[Year]],Loop!C:C,Loop!E:E),'Job Hopping'!B:B,'Job Hopping'!G:G)</f>
        <v>N</v>
      </c>
    </row>
    <row r="45" spans="2:16" x14ac:dyDescent="0.35">
      <c r="B45" s="2">
        <v>2067</v>
      </c>
      <c r="C45" s="4">
        <f>(TableIncomeCalculations[[#This Row],[GrossMonthlySalaryP1]]*12)</f>
        <v>1548344.9209137703</v>
      </c>
      <c r="D45" s="24">
        <f>(TableIncomeCalculations[[#This Row],[GrossMonthlySalaryP2]]*12)</f>
        <v>0</v>
      </c>
      <c r="E45" s="3">
        <f>TableIncome[[#This Row],[SalaryP1]]*$I$6</f>
        <v>154834.49209137703</v>
      </c>
      <c r="F45" s="3">
        <f>TableIncome[[#This Row],[SalaryP2]]*$I$6</f>
        <v>0</v>
      </c>
      <c r="G45" s="22"/>
      <c r="M45" s="21">
        <f>IF(_xlfn.XLOOKUP(TableIncome[[#This Row],[Year]],Loop!C:C,Loop!D:D)&lt;70,(M44*(1+$I$4))+IF(TableIncomeCalculations[[#This Row],[SwitchP1]]="Y",M44*$I$5,0),0)</f>
        <v>129028.74340948086</v>
      </c>
      <c r="N45" s="21">
        <f>IF(_xlfn.XLOOKUP(TableIncome[[#This Row],[Year]],Loop!C:C,Loop!E:E)&lt;70,(N44*(1+$I$4))+IF(TableIncomeCalculations[[#This Row],[SwitchP2]]="Y",N44*$I$5,0),0)</f>
        <v>0</v>
      </c>
      <c r="O45" t="str">
        <f>_xlfn.XLOOKUP(_xlfn.XLOOKUP(TableIncome[[#This Row],[Year]],Loop!C:C,Loop!D:D),'Job Hopping'!B:B,'Job Hopping'!F:F)</f>
        <v>N</v>
      </c>
      <c r="P45" t="str">
        <f>_xlfn.XLOOKUP(_xlfn.XLOOKUP(TableIncome[[#This Row],[Year]],Loop!C:C,Loop!E:E),'Job Hopping'!B:B,'Job Hopping'!G:G)</f>
        <v>N</v>
      </c>
    </row>
    <row r="46" spans="2:16" x14ac:dyDescent="0.35">
      <c r="B46" s="2">
        <v>2068</v>
      </c>
      <c r="C46" s="4">
        <f>(TableIncomeCalculations[[#This Row],[GrossMonthlySalaryP1]]*12)</f>
        <v>1563828.3701229079</v>
      </c>
      <c r="D46" s="24">
        <f>(TableIncomeCalculations[[#This Row],[GrossMonthlySalaryP2]]*12)</f>
        <v>0</v>
      </c>
      <c r="E46" s="3">
        <f>TableIncome[[#This Row],[SalaryP1]]*$I$6</f>
        <v>156382.83701229081</v>
      </c>
      <c r="F46" s="3">
        <f>TableIncome[[#This Row],[SalaryP2]]*$I$6</f>
        <v>0</v>
      </c>
      <c r="G46" s="22"/>
      <c r="M46" s="21">
        <f>IF(_xlfn.XLOOKUP(TableIncome[[#This Row],[Year]],Loop!C:C,Loop!D:D)&lt;70,(M45*(1+$I$4))+IF(TableIncomeCalculations[[#This Row],[SwitchP1]]="Y",M45*$I$5,0),0)</f>
        <v>130319.03084357566</v>
      </c>
      <c r="N46" s="21">
        <f>IF(_xlfn.XLOOKUP(TableIncome[[#This Row],[Year]],Loop!C:C,Loop!E:E)&lt;70,(N45*(1+$I$4))+IF(TableIncomeCalculations[[#This Row],[SwitchP2]]="Y",N45*$I$5,0),0)</f>
        <v>0</v>
      </c>
      <c r="O46" t="str">
        <f>_xlfn.XLOOKUP(_xlfn.XLOOKUP(TableIncome[[#This Row],[Year]],Loop!C:C,Loop!D:D),'Job Hopping'!B:B,'Job Hopping'!F:F)</f>
        <v>N</v>
      </c>
      <c r="P46" t="str">
        <f>_xlfn.XLOOKUP(_xlfn.XLOOKUP(TableIncome[[#This Row],[Year]],Loop!C:C,Loop!E:E),'Job Hopping'!B:B,'Job Hopping'!G:G)</f>
        <v>N</v>
      </c>
    </row>
    <row r="47" spans="2:16" x14ac:dyDescent="0.35">
      <c r="B47" s="2">
        <v>2069</v>
      </c>
      <c r="C47" s="4">
        <f>(TableIncomeCalculations[[#This Row],[GrossMonthlySalaryP1]]*12)</f>
        <v>1579466.6538241371</v>
      </c>
      <c r="D47" s="24">
        <f>(TableIncomeCalculations[[#This Row],[GrossMonthlySalaryP2]]*12)</f>
        <v>0</v>
      </c>
      <c r="E47" s="3">
        <f>TableIncome[[#This Row],[SalaryP1]]*$I$6</f>
        <v>157946.66538241372</v>
      </c>
      <c r="F47" s="3">
        <f>TableIncome[[#This Row],[SalaryP2]]*$I$6</f>
        <v>0</v>
      </c>
      <c r="G47" s="22"/>
      <c r="M47" s="21">
        <f>IF(_xlfn.XLOOKUP(TableIncome[[#This Row],[Year]],Loop!C:C,Loop!D:D)&lt;70,(M46*(1+$I$4))+IF(TableIncomeCalculations[[#This Row],[SwitchP1]]="Y",M46*$I$5,0),0)</f>
        <v>131622.22115201142</v>
      </c>
      <c r="N47" s="21">
        <f>IF(_xlfn.XLOOKUP(TableIncome[[#This Row],[Year]],Loop!C:C,Loop!E:E)&lt;70,(N46*(1+$I$4))+IF(TableIncomeCalculations[[#This Row],[SwitchP2]]="Y",N46*$I$5,0),0)</f>
        <v>0</v>
      </c>
      <c r="O47" t="str">
        <f>_xlfn.XLOOKUP(_xlfn.XLOOKUP(TableIncome[[#This Row],[Year]],Loop!C:C,Loop!D:D),'Job Hopping'!B:B,'Job Hopping'!F:F)</f>
        <v>N</v>
      </c>
      <c r="P47" t="str">
        <f>_xlfn.XLOOKUP(_xlfn.XLOOKUP(TableIncome[[#This Row],[Year]],Loop!C:C,Loop!E:E),'Job Hopping'!B:B,'Job Hopping'!G:G)</f>
        <v>N</v>
      </c>
    </row>
    <row r="48" spans="2:16" x14ac:dyDescent="0.35">
      <c r="B48" s="2">
        <v>2070</v>
      </c>
      <c r="C48" s="4">
        <f>(TableIncomeCalculations[[#This Row],[GrossMonthlySalaryP1]]*12)</f>
        <v>0</v>
      </c>
      <c r="D48" s="24">
        <f>(TableIncomeCalculations[[#This Row],[GrossMonthlySalaryP2]]*12)</f>
        <v>0</v>
      </c>
      <c r="E48" s="3">
        <f>TableIncome[[#This Row],[SalaryP1]]*$I$6</f>
        <v>0</v>
      </c>
      <c r="F48" s="3">
        <f>TableIncome[[#This Row],[SalaryP2]]*$I$6</f>
        <v>0</v>
      </c>
      <c r="G48" s="22"/>
      <c r="M48" s="21">
        <f>IF(_xlfn.XLOOKUP(TableIncome[[#This Row],[Year]],Loop!C:C,Loop!D:D)&lt;70,(M47*(1+$I$4))+IF(TableIncomeCalculations[[#This Row],[SwitchP1]]="Y",M47*$I$5,0),0)</f>
        <v>0</v>
      </c>
      <c r="N48" s="21">
        <f>IF(_xlfn.XLOOKUP(TableIncome[[#This Row],[Year]],Loop!C:C,Loop!E:E)&lt;70,(N47*(1+$I$4))+IF(TableIncomeCalculations[[#This Row],[SwitchP2]]="Y",N47*$I$5,0),0)</f>
        <v>0</v>
      </c>
      <c r="O48" t="str">
        <f>_xlfn.XLOOKUP(_xlfn.XLOOKUP(TableIncome[[#This Row],[Year]],Loop!C:C,Loop!D:D),'Job Hopping'!B:B,'Job Hopping'!F:F)</f>
        <v>N</v>
      </c>
      <c r="P48" t="str">
        <f>_xlfn.XLOOKUP(_xlfn.XLOOKUP(TableIncome[[#This Row],[Year]],Loop!C:C,Loop!E:E),'Job Hopping'!B:B,'Job Hopping'!G:G)</f>
        <v>N</v>
      </c>
    </row>
  </sheetData>
  <phoneticPr fontId="8" type="noConversion"/>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D0F5-8E8A-4958-9371-73201FAFFCDD}">
  <sheetPr>
    <tabColor theme="4" tint="0.79998168889431442"/>
  </sheetPr>
  <dimension ref="B2:T101"/>
  <sheetViews>
    <sheetView topLeftCell="F1" workbookViewId="0">
      <selection activeCell="C8" sqref="C8:C15"/>
    </sheetView>
  </sheetViews>
  <sheetFormatPr defaultColWidth="8.7265625" defaultRowHeight="14.5" x14ac:dyDescent="0.35"/>
  <cols>
    <col min="1" max="2" width="8.7265625" style="1"/>
    <col min="3" max="3" width="11.26953125" style="1" customWidth="1"/>
    <col min="4" max="4" width="8.453125" style="1" customWidth="1"/>
    <col min="5" max="5" width="12.453125" style="1" customWidth="1"/>
    <col min="6" max="7" width="20.7265625" style="1" bestFit="1" customWidth="1"/>
    <col min="8" max="13" width="8.7265625" style="1"/>
    <col min="14" max="14" width="11.26953125" style="1" customWidth="1"/>
    <col min="15" max="15" width="16.7265625" style="1" customWidth="1"/>
    <col min="16" max="16" width="16.81640625" style="1" customWidth="1"/>
    <col min="17" max="18" width="8.7265625" style="1"/>
    <col min="19" max="19" width="11.26953125" style="1" customWidth="1"/>
    <col min="20" max="16384" width="8.7265625" style="1"/>
  </cols>
  <sheetData>
    <row r="2" spans="2:20" x14ac:dyDescent="0.35">
      <c r="B2" s="5" t="s">
        <v>54</v>
      </c>
      <c r="C2" s="5" t="s">
        <v>55</v>
      </c>
      <c r="D2" s="5" t="s">
        <v>58</v>
      </c>
      <c r="E2" s="5" t="s">
        <v>67</v>
      </c>
      <c r="F2" s="5" t="s">
        <v>65</v>
      </c>
      <c r="G2" s="5" t="s">
        <v>66</v>
      </c>
      <c r="M2" s="5" t="s">
        <v>1</v>
      </c>
      <c r="N2" s="5" t="s">
        <v>55</v>
      </c>
      <c r="O2" s="5" t="s">
        <v>56</v>
      </c>
      <c r="P2" s="5" t="s">
        <v>57</v>
      </c>
      <c r="Q2" s="5" t="s">
        <v>58</v>
      </c>
      <c r="S2" s="5" t="s">
        <v>55</v>
      </c>
      <c r="T2" s="5" t="s">
        <v>59</v>
      </c>
    </row>
    <row r="3" spans="2:20" x14ac:dyDescent="0.35">
      <c r="B3" s="5">
        <v>25</v>
      </c>
      <c r="C3" s="5" t="str">
        <f>IF(B3&lt;30, "25-29 år", IF(B3&lt;35, "30-34 år", IF(B3&lt;40, "35-39 år", IF(B3&lt;45, "40-44 år", IF(B3&lt;50, "45-49 år", IF(B3&lt;55, "50-54 år", IF(B3&lt;60, "55-59 år", IF(B3&lt;65, "60-64 år", "65+ år"))))))))</f>
        <v>25-29 år</v>
      </c>
      <c r="D3" s="16">
        <f t="shared" ref="D3:D34" si="0">_xlfn.XLOOKUP(C3,S:S,T:T)</f>
        <v>0.51651947969596046</v>
      </c>
      <c r="E3" s="5" t="str">
        <f ca="1">IF(OR(JobHopping[[#This Row],[Age]]=25,JobHopping[[#This Row],[Age]]&gt;69),"N",IF(AND(E1="N",E2="N", RAND()&lt;=D3), "Y", "N"))</f>
        <v>N</v>
      </c>
      <c r="F3" s="5" t="s">
        <v>0</v>
      </c>
      <c r="G3" s="5" t="str">
        <f>IF(JobHopping[[#This Row],[Age]]&lt;40,"",JobHopping[[#This Row],[SwitchP1Static]])</f>
        <v/>
      </c>
      <c r="M3" s="5">
        <v>2013</v>
      </c>
      <c r="N3" s="5" t="s">
        <v>16</v>
      </c>
      <c r="O3" s="5">
        <f>_xlfn.XLOOKUP(M3&amp;"-"&amp;N3,'Djøf Finance Workers'!D:D,'Djøf Finance Workers'!C:C,0,1)</f>
        <v>6202</v>
      </c>
      <c r="P3" s="5">
        <f>_xlfn.XLOOKUP(M3&amp;"-"&amp;N3,'Djøf Finance Hoppers'!D:D,'Djøf Finance Hoppers'!C:C,0,1)</f>
        <v>2524</v>
      </c>
      <c r="Q3" s="16">
        <f t="shared" ref="Q3:Q66" si="1">IF(O3&gt;0, P3/O3, 0)</f>
        <v>0.40696549500161239</v>
      </c>
      <c r="S3" s="5" t="s">
        <v>16</v>
      </c>
      <c r="T3" s="5">
        <f t="shared" ref="T3:T11" si="2">SUMIFS(Q:Q,N:N,S3)/(MAX($M$3:$M$101)-MIN($M$3:$M$101))</f>
        <v>0.51651947969596046</v>
      </c>
    </row>
    <row r="4" spans="2:20" x14ac:dyDescent="0.35">
      <c r="B4" s="5">
        <v>26</v>
      </c>
      <c r="C4" s="5" t="str">
        <f>IF(B4&lt;30, "25-29 år", IF(B4&lt;35, "30-34 år", IF(B4&lt;40, "35-39 år", IF(B4&lt;45, "40-44 år", IF(B4&lt;50, "45-49 år", IF(B4&lt;55, "50-54 år", IF(B4&lt;60, "55-59 år", IF(B4&lt;65, "60-64 år", "65+ år"))))))))</f>
        <v>25-29 år</v>
      </c>
      <c r="D4" s="16">
        <f t="shared" si="0"/>
        <v>0.51651947969596046</v>
      </c>
      <c r="E4" s="5" t="str">
        <f ca="1">IF(OR(JobHopping[[#This Row],[Age]]=25,JobHopping[[#This Row],[Age]]&gt;69),"N",IF(AND(E2="N",E3="N", RAND()&lt;=D4), "Y", "N"))</f>
        <v>N</v>
      </c>
      <c r="F4" s="5" t="s">
        <v>0</v>
      </c>
      <c r="G4" s="5" t="str">
        <f>IF(JobHopping[[#This Row],[Age]]&lt;40,"",JobHopping[[#This Row],[SwitchP1Static]])</f>
        <v/>
      </c>
      <c r="M4" s="5">
        <v>2013</v>
      </c>
      <c r="N4" s="5" t="s">
        <v>17</v>
      </c>
      <c r="O4" s="5">
        <f>_xlfn.XLOOKUP(M4&amp;"-"&amp;N4,'Djøf Finance Workers'!D:D,'Djøf Finance Workers'!C:C,0,1)</f>
        <v>8560</v>
      </c>
      <c r="P4" s="5">
        <f>_xlfn.XLOOKUP(M4&amp;"-"&amp;N4,'Djøf Finance Hoppers'!D:D,'Djøf Finance Hoppers'!C:C,0,1)</f>
        <v>2176</v>
      </c>
      <c r="Q4" s="16">
        <f t="shared" si="1"/>
        <v>0.25420560747663551</v>
      </c>
      <c r="S4" s="5" t="s">
        <v>17</v>
      </c>
      <c r="T4" s="5">
        <f t="shared" si="2"/>
        <v>0.33908020385851029</v>
      </c>
    </row>
    <row r="5" spans="2:20" x14ac:dyDescent="0.35">
      <c r="B5" s="5">
        <v>27</v>
      </c>
      <c r="C5" s="5" t="str">
        <f>IF(B5&lt;30, "25-29 år", IF(B5&lt;35, "30-34 år", IF(B5&lt;40, "35-39 år", IF(B5&lt;45, "40-44 år", IF(B5&lt;50, "45-49 år", IF(B5&lt;55, "50-54 år", IF(B5&lt;60, "55-59 år", IF(B5&lt;65, "60-64 år", "65+ år"))))))))</f>
        <v>25-29 år</v>
      </c>
      <c r="D5" s="16">
        <f t="shared" si="0"/>
        <v>0.51651947969596046</v>
      </c>
      <c r="E5" s="5" t="str">
        <f ca="1">IF(OR(JobHopping[[#This Row],[Age]]=25,JobHopping[[#This Row],[Age]]&gt;69),"N",IF(AND(E3="N",E4="N", RAND()&lt;=D5), "Y", "N"))</f>
        <v>N</v>
      </c>
      <c r="F5" s="5" t="s">
        <v>64</v>
      </c>
      <c r="G5" s="5" t="str">
        <f>IF(JobHopping[[#This Row],[Age]]&lt;40,"",JobHopping[[#This Row],[SwitchP1Static]])</f>
        <v/>
      </c>
      <c r="M5" s="5">
        <v>2013</v>
      </c>
      <c r="N5" s="5" t="s">
        <v>18</v>
      </c>
      <c r="O5" s="5">
        <f>_xlfn.XLOOKUP(M5&amp;"-"&amp;N5,'Djøf Finance Workers'!D:D,'Djøf Finance Workers'!C:C,0,1)</f>
        <v>9790</v>
      </c>
      <c r="P5" s="5">
        <f>_xlfn.XLOOKUP(M5&amp;"-"&amp;N5,'Djøf Finance Hoppers'!D:D,'Djøf Finance Hoppers'!C:C,0,1)</f>
        <v>1896</v>
      </c>
      <c r="Q5" s="16">
        <f t="shared" si="1"/>
        <v>0.19366700715015323</v>
      </c>
      <c r="S5" s="5" t="s">
        <v>18</v>
      </c>
      <c r="T5" s="5">
        <f t="shared" si="2"/>
        <v>0.2624026948424838</v>
      </c>
    </row>
    <row r="6" spans="2:20" x14ac:dyDescent="0.35">
      <c r="B6" s="5">
        <v>28</v>
      </c>
      <c r="C6" s="5" t="str">
        <f t="shared" ref="C6:C48" si="3">IF(B6&lt;30, "25-29 år", IF(B6&lt;35, "30-34 år", IF(B6&lt;40, "35-39 år", IF(B6&lt;45, "40-44 år", IF(B6&lt;50, "45-49 år", IF(B6&lt;55, "50-54 år", IF(B6&lt;60, "55-59 år", IF(B6&lt;65, "60-64 år", "65+ år"))))))))</f>
        <v>25-29 år</v>
      </c>
      <c r="D6" s="16">
        <f t="shared" si="0"/>
        <v>0.51651947969596046</v>
      </c>
      <c r="E6" s="5" t="str">
        <f ca="1">IF(OR(JobHopping[[#This Row],[Age]]=25,JobHopping[[#This Row],[Age]]&gt;69),"N",IF(AND(E4="N",E5="N", RAND()&lt;=D6), "Y", "N"))</f>
        <v>N</v>
      </c>
      <c r="F6" s="5" t="s">
        <v>0</v>
      </c>
      <c r="G6" s="5" t="str">
        <f>IF(JobHopping[[#This Row],[Age]]&lt;40,"",JobHopping[[#This Row],[SwitchP1Static]])</f>
        <v/>
      </c>
      <c r="M6" s="5">
        <v>2013</v>
      </c>
      <c r="N6" s="5" t="s">
        <v>19</v>
      </c>
      <c r="O6" s="5">
        <f>_xlfn.XLOOKUP(M6&amp;"-"&amp;N6,'Djøf Finance Workers'!D:D,'Djøf Finance Workers'!C:C,0,1)</f>
        <v>9383</v>
      </c>
      <c r="P6" s="5">
        <f>_xlfn.XLOOKUP(M6&amp;"-"&amp;N6,'Djøf Finance Hoppers'!D:D,'Djøf Finance Hoppers'!C:C,0,1)</f>
        <v>1579</v>
      </c>
      <c r="Q6" s="16">
        <f t="shared" si="1"/>
        <v>0.16828306511776617</v>
      </c>
      <c r="S6" s="5" t="s">
        <v>19</v>
      </c>
      <c r="T6" s="5">
        <f t="shared" si="2"/>
        <v>0.2213187304833609</v>
      </c>
    </row>
    <row r="7" spans="2:20" x14ac:dyDescent="0.35">
      <c r="B7" s="5">
        <v>29</v>
      </c>
      <c r="C7" s="5" t="str">
        <f t="shared" si="3"/>
        <v>25-29 år</v>
      </c>
      <c r="D7" s="16">
        <f t="shared" si="0"/>
        <v>0.51651947969596046</v>
      </c>
      <c r="E7" s="5" t="str">
        <f ca="1">IF(OR(JobHopping[[#This Row],[Age]]=25,JobHopping[[#This Row],[Age]]&gt;69),"N",IF(AND(E5="N",E6="N", RAND()&lt;=D7), "Y", "N"))</f>
        <v>Y</v>
      </c>
      <c r="F7" s="5" t="s">
        <v>0</v>
      </c>
      <c r="G7" s="5" t="str">
        <f>IF(JobHopping[[#This Row],[Age]]&lt;40,"",JobHopping[[#This Row],[SwitchP1Static]])</f>
        <v/>
      </c>
      <c r="M7" s="5">
        <v>2013</v>
      </c>
      <c r="N7" s="5" t="s">
        <v>20</v>
      </c>
      <c r="O7" s="5">
        <f>_xlfn.XLOOKUP(M7&amp;"-"&amp;N7,'Djøf Finance Workers'!D:D,'Djøf Finance Workers'!C:C,0,1)</f>
        <v>12762</v>
      </c>
      <c r="P7" s="5">
        <f>_xlfn.XLOOKUP(M7&amp;"-"&amp;N7,'Djøf Finance Hoppers'!D:D,'Djøf Finance Hoppers'!C:C,0,1)</f>
        <v>1915</v>
      </c>
      <c r="Q7" s="16">
        <f t="shared" si="1"/>
        <v>0.15005485033693777</v>
      </c>
      <c r="S7" s="5" t="s">
        <v>20</v>
      </c>
      <c r="T7" s="5">
        <f t="shared" si="2"/>
        <v>0.19929479981866399</v>
      </c>
    </row>
    <row r="8" spans="2:20" x14ac:dyDescent="0.35">
      <c r="B8" s="5">
        <v>30</v>
      </c>
      <c r="C8" s="5" t="str">
        <f t="shared" si="3"/>
        <v>30-34 år</v>
      </c>
      <c r="D8" s="16">
        <f t="shared" si="0"/>
        <v>0.33908020385851029</v>
      </c>
      <c r="E8" s="5" t="str">
        <f ca="1">IF(OR(JobHopping[[#This Row],[Age]]=25,JobHopping[[#This Row],[Age]]&gt;69),"N",IF(AND(E6="N",E7="N", RAND()&lt;=D8), "Y", "N"))</f>
        <v>N</v>
      </c>
      <c r="F8" s="5" t="s">
        <v>0</v>
      </c>
      <c r="G8" s="5" t="str">
        <f>IF(JobHopping[[#This Row],[Age]]&lt;40,"",JobHopping[[#This Row],[SwitchP1Static]])</f>
        <v/>
      </c>
      <c r="M8" s="5">
        <v>2013</v>
      </c>
      <c r="N8" s="5" t="s">
        <v>21</v>
      </c>
      <c r="O8" s="5">
        <f>_xlfn.XLOOKUP(M8&amp;"-"&amp;N8,'Djøf Finance Workers'!D:D,'Djøf Finance Workers'!C:C,0,1)</f>
        <v>10587</v>
      </c>
      <c r="P8" s="5">
        <f>_xlfn.XLOOKUP(M8&amp;"-"&amp;N8,'Djøf Finance Hoppers'!D:D,'Djøf Finance Hoppers'!C:C,0,1)</f>
        <v>1462</v>
      </c>
      <c r="Q8" s="16">
        <f t="shared" si="1"/>
        <v>0.13809388873146311</v>
      </c>
      <c r="S8" s="5" t="s">
        <v>21</v>
      </c>
      <c r="T8" s="5">
        <f t="shared" si="2"/>
        <v>0.17668929185764676</v>
      </c>
    </row>
    <row r="9" spans="2:20" x14ac:dyDescent="0.35">
      <c r="B9" s="5">
        <v>31</v>
      </c>
      <c r="C9" s="5" t="str">
        <f t="shared" si="3"/>
        <v>30-34 år</v>
      </c>
      <c r="D9" s="16">
        <f t="shared" si="0"/>
        <v>0.33908020385851029</v>
      </c>
      <c r="E9" s="5" t="str">
        <f ca="1">IF(OR(JobHopping[[#This Row],[Age]]=25,JobHopping[[#This Row],[Age]]&gt;69),"N",IF(AND(E7="N",E8="N", RAND()&lt;=D9), "Y", "N"))</f>
        <v>N</v>
      </c>
      <c r="F9" s="5" t="s">
        <v>64</v>
      </c>
      <c r="G9" s="5" t="str">
        <f>IF(JobHopping[[#This Row],[Age]]&lt;40,"",JobHopping[[#This Row],[SwitchP1Static]])</f>
        <v/>
      </c>
      <c r="M9" s="5">
        <v>2013</v>
      </c>
      <c r="N9" s="5" t="s">
        <v>22</v>
      </c>
      <c r="O9" s="5">
        <f>_xlfn.XLOOKUP(M9&amp;"-"&amp;N9,'Djøf Finance Workers'!D:D,'Djøf Finance Workers'!C:C,0,1)</f>
        <v>8811</v>
      </c>
      <c r="P9" s="5">
        <f>_xlfn.XLOOKUP(M9&amp;"-"&amp;N9,'Djøf Finance Hoppers'!D:D,'Djøf Finance Hoppers'!C:C,0,1)</f>
        <v>1227</v>
      </c>
      <c r="Q9" s="16">
        <f t="shared" si="1"/>
        <v>0.13925774599931903</v>
      </c>
      <c r="S9" s="5" t="s">
        <v>22</v>
      </c>
      <c r="T9" s="5">
        <f t="shared" si="2"/>
        <v>0.15515674597479437</v>
      </c>
    </row>
    <row r="10" spans="2:20" x14ac:dyDescent="0.35">
      <c r="B10" s="5">
        <v>32</v>
      </c>
      <c r="C10" s="5" t="str">
        <f t="shared" si="3"/>
        <v>30-34 år</v>
      </c>
      <c r="D10" s="16">
        <f t="shared" si="0"/>
        <v>0.33908020385851029</v>
      </c>
      <c r="E10" s="5" t="str">
        <f ca="1">IF(OR(JobHopping[[#This Row],[Age]]=25,JobHopping[[#This Row],[Age]]&gt;69),"N",IF(AND(E8="N",E9="N", RAND()&lt;=D10), "Y", "N"))</f>
        <v>N</v>
      </c>
      <c r="F10" s="5" t="s">
        <v>0</v>
      </c>
      <c r="G10" s="5" t="str">
        <f>IF(JobHopping[[#This Row],[Age]]&lt;40,"",JobHopping[[#This Row],[SwitchP1Static]])</f>
        <v/>
      </c>
      <c r="M10" s="5">
        <v>2013</v>
      </c>
      <c r="N10" s="5" t="s">
        <v>23</v>
      </c>
      <c r="O10" s="5">
        <f>_xlfn.XLOOKUP(M10&amp;"-"&amp;N10,'Djøf Finance Workers'!D:D,'Djøf Finance Workers'!C:C,0,1)</f>
        <v>5072</v>
      </c>
      <c r="P10" s="5">
        <f>_xlfn.XLOOKUP(M10&amp;"-"&amp;N10,'Djøf Finance Hoppers'!D:D,'Djøf Finance Hoppers'!C:C,0,1)</f>
        <v>667</v>
      </c>
      <c r="Q10" s="16">
        <f t="shared" si="1"/>
        <v>0.13150630914826497</v>
      </c>
      <c r="S10" s="5" t="s">
        <v>23</v>
      </c>
      <c r="T10" s="5">
        <f t="shared" si="2"/>
        <v>0.13997311637990331</v>
      </c>
    </row>
    <row r="11" spans="2:20" x14ac:dyDescent="0.35">
      <c r="B11" s="5">
        <v>33</v>
      </c>
      <c r="C11" s="5" t="str">
        <f t="shared" si="3"/>
        <v>30-34 år</v>
      </c>
      <c r="D11" s="16">
        <f t="shared" si="0"/>
        <v>0.33908020385851029</v>
      </c>
      <c r="E11" s="5" t="str">
        <f ca="1">IF(OR(JobHopping[[#This Row],[Age]]=25,JobHopping[[#This Row],[Age]]&gt;69),"N",IF(AND(E9="N",E10="N", RAND()&lt;=D11), "Y", "N"))</f>
        <v>N</v>
      </c>
      <c r="F11" s="5" t="s">
        <v>0</v>
      </c>
      <c r="G11" s="5" t="str">
        <f>IF(JobHopping[[#This Row],[Age]]&lt;40,"",JobHopping[[#This Row],[SwitchP1Static]])</f>
        <v/>
      </c>
      <c r="M11" s="5">
        <v>2013</v>
      </c>
      <c r="N11" s="5" t="s">
        <v>24</v>
      </c>
      <c r="O11" s="5">
        <f>_xlfn.XLOOKUP(M11&amp;"-"&amp;N11,'Djøf Finance Workers'!D:D,'Djøf Finance Workers'!C:C,0,1)</f>
        <v>1539</v>
      </c>
      <c r="P11" s="5">
        <f>_xlfn.XLOOKUP(M11&amp;"-"&amp;N11,'Djøf Finance Hoppers'!D:D,'Djøf Finance Hoppers'!C:C,0,1)</f>
        <v>224</v>
      </c>
      <c r="Q11" s="16">
        <f t="shared" si="1"/>
        <v>0.14554905782975958</v>
      </c>
      <c r="S11" s="5" t="s">
        <v>24</v>
      </c>
      <c r="T11" s="5">
        <f t="shared" si="2"/>
        <v>0.11691873000664299</v>
      </c>
    </row>
    <row r="12" spans="2:20" x14ac:dyDescent="0.35">
      <c r="B12" s="5">
        <v>34</v>
      </c>
      <c r="C12" s="5" t="str">
        <f t="shared" si="3"/>
        <v>30-34 år</v>
      </c>
      <c r="D12" s="16">
        <f t="shared" si="0"/>
        <v>0.33908020385851029</v>
      </c>
      <c r="E12" s="5" t="str">
        <f ca="1">IF(OR(JobHopping[[#This Row],[Age]]=25,JobHopping[[#This Row],[Age]]&gt;69),"N",IF(AND(E10="N",E11="N", RAND()&lt;=D12), "Y", "N"))</f>
        <v>Y</v>
      </c>
      <c r="F12" s="5" t="s">
        <v>0</v>
      </c>
      <c r="G12" s="5" t="str">
        <f>IF(JobHopping[[#This Row],[Age]]&lt;40,"",JobHopping[[#This Row],[SwitchP1Static]])</f>
        <v/>
      </c>
      <c r="M12" s="5">
        <v>2014</v>
      </c>
      <c r="N12" s="5" t="s">
        <v>16</v>
      </c>
      <c r="O12" s="5">
        <f>_xlfn.XLOOKUP(M12&amp;"-"&amp;N12,'Djøf Finance Workers'!D:D,'Djøf Finance Workers'!C:C,0,1)</f>
        <v>6041</v>
      </c>
      <c r="P12" s="5">
        <f>_xlfn.XLOOKUP(M12&amp;"-"&amp;N12,'Djøf Finance Hoppers'!D:D,'Djøf Finance Hoppers'!C:C,0,1)</f>
        <v>2521</v>
      </c>
      <c r="Q12" s="16">
        <f t="shared" si="1"/>
        <v>0.41731501407051813</v>
      </c>
    </row>
    <row r="13" spans="2:20" x14ac:dyDescent="0.35">
      <c r="B13" s="5">
        <v>35</v>
      </c>
      <c r="C13" s="5" t="str">
        <f t="shared" si="3"/>
        <v>35-39 år</v>
      </c>
      <c r="D13" s="16">
        <f t="shared" si="0"/>
        <v>0.2624026948424838</v>
      </c>
      <c r="E13" s="5" t="str">
        <f ca="1">IF(OR(JobHopping[[#This Row],[Age]]=25,JobHopping[[#This Row],[Age]]&gt;69),"N",IF(AND(E11="N",E12="N", RAND()&lt;=D13), "Y", "N"))</f>
        <v>N</v>
      </c>
      <c r="F13" s="5" t="s">
        <v>64</v>
      </c>
      <c r="G13" s="5" t="str">
        <f>IF(JobHopping[[#This Row],[Age]]&lt;40,"",JobHopping[[#This Row],[SwitchP1Static]])</f>
        <v/>
      </c>
      <c r="M13" s="5">
        <v>2014</v>
      </c>
      <c r="N13" s="5" t="s">
        <v>17</v>
      </c>
      <c r="O13" s="5">
        <f>_xlfn.XLOOKUP(M13&amp;"-"&amp;N13,'Djøf Finance Workers'!D:D,'Djøf Finance Workers'!C:C,0,1)</f>
        <v>8203</v>
      </c>
      <c r="P13" s="5">
        <f>_xlfn.XLOOKUP(M13&amp;"-"&amp;N13,'Djøf Finance Hoppers'!D:D,'Djøf Finance Hoppers'!C:C,0,1)</f>
        <v>2178</v>
      </c>
      <c r="Q13" s="16">
        <f t="shared" si="1"/>
        <v>0.26551261733512127</v>
      </c>
    </row>
    <row r="14" spans="2:20" x14ac:dyDescent="0.35">
      <c r="B14" s="5">
        <v>36</v>
      </c>
      <c r="C14" s="5" t="str">
        <f t="shared" si="3"/>
        <v>35-39 år</v>
      </c>
      <c r="D14" s="16">
        <f t="shared" si="0"/>
        <v>0.2624026948424838</v>
      </c>
      <c r="E14" s="5" t="str">
        <f ca="1">IF(OR(JobHopping[[#This Row],[Age]]=25,JobHopping[[#This Row],[Age]]&gt;69),"N",IF(AND(E12="N",E13="N", RAND()&lt;=D14), "Y", "N"))</f>
        <v>N</v>
      </c>
      <c r="F14" s="5" t="s">
        <v>0</v>
      </c>
      <c r="G14" s="5" t="str">
        <f>IF(JobHopping[[#This Row],[Age]]&lt;40,"",JobHopping[[#This Row],[SwitchP1Static]])</f>
        <v/>
      </c>
      <c r="M14" s="5">
        <v>2014</v>
      </c>
      <c r="N14" s="5" t="s">
        <v>18</v>
      </c>
      <c r="O14" s="5">
        <f>_xlfn.XLOOKUP(M14&amp;"-"&amp;N14,'Djøf Finance Workers'!D:D,'Djøf Finance Workers'!C:C,0,1)</f>
        <v>9972</v>
      </c>
      <c r="P14" s="5">
        <f>_xlfn.XLOOKUP(M14&amp;"-"&amp;N14,'Djøf Finance Hoppers'!D:D,'Djøf Finance Hoppers'!C:C,0,1)</f>
        <v>2066</v>
      </c>
      <c r="Q14" s="16">
        <f t="shared" si="1"/>
        <v>0.20718010429201764</v>
      </c>
    </row>
    <row r="15" spans="2:20" x14ac:dyDescent="0.35">
      <c r="B15" s="5">
        <v>37</v>
      </c>
      <c r="C15" s="5" t="str">
        <f t="shared" si="3"/>
        <v>35-39 år</v>
      </c>
      <c r="D15" s="16">
        <f t="shared" si="0"/>
        <v>0.2624026948424838</v>
      </c>
      <c r="E15" s="5" t="str">
        <f ca="1">IF(OR(JobHopping[[#This Row],[Age]]=25,JobHopping[[#This Row],[Age]]&gt;69),"N",IF(AND(E13="N",E14="N", RAND()&lt;=D15), "Y", "N"))</f>
        <v>Y</v>
      </c>
      <c r="F15" s="5" t="s">
        <v>0</v>
      </c>
      <c r="G15" s="5" t="str">
        <f>IF(JobHopping[[#This Row],[Age]]&lt;40,"",JobHopping[[#This Row],[SwitchP1Static]])</f>
        <v/>
      </c>
      <c r="M15" s="5">
        <v>2014</v>
      </c>
      <c r="N15" s="5" t="s">
        <v>19</v>
      </c>
      <c r="O15" s="5">
        <f>_xlfn.XLOOKUP(M15&amp;"-"&amp;N15,'Djøf Finance Workers'!D:D,'Djøf Finance Workers'!C:C,0,1)</f>
        <v>9409</v>
      </c>
      <c r="P15" s="5">
        <f>_xlfn.XLOOKUP(M15&amp;"-"&amp;N15,'Djøf Finance Hoppers'!D:D,'Djøf Finance Hoppers'!C:C,0,1)</f>
        <v>1647</v>
      </c>
      <c r="Q15" s="16">
        <f t="shared" si="1"/>
        <v>0.17504516951854607</v>
      </c>
    </row>
    <row r="16" spans="2:20" x14ac:dyDescent="0.35">
      <c r="B16" s="5">
        <v>38</v>
      </c>
      <c r="C16" s="5" t="str">
        <f t="shared" si="3"/>
        <v>35-39 år</v>
      </c>
      <c r="D16" s="16">
        <f t="shared" si="0"/>
        <v>0.2624026948424838</v>
      </c>
      <c r="E16" s="5" t="str">
        <f ca="1">IF(OR(JobHopping[[#This Row],[Age]]=25,JobHopping[[#This Row],[Age]]&gt;69),"N",IF(AND(E14="N",E15="N", RAND()&lt;=D16), "Y", "N"))</f>
        <v>N</v>
      </c>
      <c r="F16" s="5" t="s">
        <v>0</v>
      </c>
      <c r="G16" s="5" t="str">
        <f>IF(JobHopping[[#This Row],[Age]]&lt;40,"",JobHopping[[#This Row],[SwitchP1Static]])</f>
        <v/>
      </c>
      <c r="M16" s="5">
        <v>2014</v>
      </c>
      <c r="N16" s="5" t="s">
        <v>20</v>
      </c>
      <c r="O16" s="5">
        <f>_xlfn.XLOOKUP(M16&amp;"-"&amp;N16,'Djøf Finance Workers'!D:D,'Djøf Finance Workers'!C:C,0,1)</f>
        <v>12377</v>
      </c>
      <c r="P16" s="5">
        <f>_xlfn.XLOOKUP(M16&amp;"-"&amp;N16,'Djøf Finance Hoppers'!D:D,'Djøf Finance Hoppers'!C:C,0,1)</f>
        <v>1953</v>
      </c>
      <c r="Q16" s="16">
        <f t="shared" si="1"/>
        <v>0.15779267997091379</v>
      </c>
    </row>
    <row r="17" spans="2:17" x14ac:dyDescent="0.35">
      <c r="B17" s="5">
        <v>39</v>
      </c>
      <c r="C17" s="5" t="str">
        <f t="shared" si="3"/>
        <v>35-39 år</v>
      </c>
      <c r="D17" s="16">
        <f t="shared" si="0"/>
        <v>0.2624026948424838</v>
      </c>
      <c r="E17" s="5" t="str">
        <f ca="1">IF(OR(JobHopping[[#This Row],[Age]]=25,JobHopping[[#This Row],[Age]]&gt;69),"N",IF(AND(E15="N",E16="N", RAND()&lt;=D17), "Y", "N"))</f>
        <v>N</v>
      </c>
      <c r="F17" s="5" t="s">
        <v>64</v>
      </c>
      <c r="G17" s="5" t="str">
        <f>IF(JobHopping[[#This Row],[Age]]&lt;40,"",JobHopping[[#This Row],[SwitchP1Static]])</f>
        <v/>
      </c>
      <c r="M17" s="5">
        <v>2014</v>
      </c>
      <c r="N17" s="5" t="s">
        <v>21</v>
      </c>
      <c r="O17" s="5">
        <f>_xlfn.XLOOKUP(M17&amp;"-"&amp;N17,'Djøf Finance Workers'!D:D,'Djøf Finance Workers'!C:C,0,1)</f>
        <v>10828</v>
      </c>
      <c r="P17" s="5">
        <f>_xlfn.XLOOKUP(M17&amp;"-"&amp;N17,'Djøf Finance Hoppers'!D:D,'Djøf Finance Hoppers'!C:C,0,1)</f>
        <v>1636</v>
      </c>
      <c r="Q17" s="16">
        <f t="shared" si="1"/>
        <v>0.15108976727004064</v>
      </c>
    </row>
    <row r="18" spans="2:17" x14ac:dyDescent="0.35">
      <c r="B18" s="5">
        <v>40</v>
      </c>
      <c r="C18" s="5" t="str">
        <f t="shared" si="3"/>
        <v>40-44 år</v>
      </c>
      <c r="D18" s="16">
        <f t="shared" si="0"/>
        <v>0.2213187304833609</v>
      </c>
      <c r="E18" s="5" t="str">
        <f ca="1">IF(OR(JobHopping[[#This Row],[Age]]=25,JobHopping[[#This Row],[Age]]&gt;69),"N",IF(AND(E16="N",E17="N", RAND()&lt;=D18), "Y", "N"))</f>
        <v>N</v>
      </c>
      <c r="F18" s="5" t="s">
        <v>0</v>
      </c>
      <c r="G18" s="5" t="str">
        <f>IF(JobHopping[[#This Row],[Age]]&lt;40,"",JobHopping[[#This Row],[SwitchP1Static]])</f>
        <v>N</v>
      </c>
      <c r="M18" s="5">
        <v>2014</v>
      </c>
      <c r="N18" s="5" t="s">
        <v>22</v>
      </c>
      <c r="O18" s="5">
        <f>_xlfn.XLOOKUP(M18&amp;"-"&amp;N18,'Djøf Finance Workers'!D:D,'Djøf Finance Workers'!C:C,0,1)</f>
        <v>8888</v>
      </c>
      <c r="P18" s="5">
        <f>_xlfn.XLOOKUP(M18&amp;"-"&amp;N18,'Djøf Finance Hoppers'!D:D,'Djøf Finance Hoppers'!C:C,0,1)</f>
        <v>1231</v>
      </c>
      <c r="Q18" s="16">
        <f t="shared" si="1"/>
        <v>0.1385013501350135</v>
      </c>
    </row>
    <row r="19" spans="2:17" x14ac:dyDescent="0.35">
      <c r="B19" s="5">
        <v>41</v>
      </c>
      <c r="C19" s="5" t="str">
        <f t="shared" si="3"/>
        <v>40-44 år</v>
      </c>
      <c r="D19" s="16">
        <f t="shared" si="0"/>
        <v>0.2213187304833609</v>
      </c>
      <c r="E19" s="5" t="str">
        <f ca="1">IF(OR(JobHopping[[#This Row],[Age]]=25,JobHopping[[#This Row],[Age]]&gt;69),"N",IF(AND(E17="N",E18="N", RAND()&lt;=D19), "Y", "N"))</f>
        <v>N</v>
      </c>
      <c r="F19" s="5" t="s">
        <v>0</v>
      </c>
      <c r="G19" s="5" t="str">
        <f>IF(JobHopping[[#This Row],[Age]]&lt;40,"",JobHopping[[#This Row],[SwitchP1Static]])</f>
        <v>N</v>
      </c>
      <c r="M19" s="5">
        <v>2014</v>
      </c>
      <c r="N19" s="5" t="s">
        <v>23</v>
      </c>
      <c r="O19" s="5">
        <f>_xlfn.XLOOKUP(M19&amp;"-"&amp;N19,'Djøf Finance Workers'!D:D,'Djøf Finance Workers'!C:C,0,1)</f>
        <v>5141</v>
      </c>
      <c r="P19" s="5">
        <f>_xlfn.XLOOKUP(M19&amp;"-"&amp;N19,'Djøf Finance Hoppers'!D:D,'Djøf Finance Hoppers'!C:C,0,1)</f>
        <v>706</v>
      </c>
      <c r="Q19" s="16">
        <f t="shared" si="1"/>
        <v>0.13732736821630034</v>
      </c>
    </row>
    <row r="20" spans="2:17" x14ac:dyDescent="0.35">
      <c r="B20" s="5">
        <v>42</v>
      </c>
      <c r="C20" s="5" t="str">
        <f t="shared" si="3"/>
        <v>40-44 år</v>
      </c>
      <c r="D20" s="16">
        <f t="shared" si="0"/>
        <v>0.2213187304833609</v>
      </c>
      <c r="E20" s="5" t="str">
        <f ca="1">IF(OR(JobHopping[[#This Row],[Age]]=25,JobHopping[[#This Row],[Age]]&gt;69),"N",IF(AND(E18="N",E19="N", RAND()&lt;=D20), "Y", "N"))</f>
        <v>N</v>
      </c>
      <c r="F20" s="5" t="s">
        <v>0</v>
      </c>
      <c r="G20" s="5" t="str">
        <f>IF(JobHopping[[#This Row],[Age]]&lt;40,"",JobHopping[[#This Row],[SwitchP1Static]])</f>
        <v>N</v>
      </c>
      <c r="M20" s="5">
        <v>2014</v>
      </c>
      <c r="N20" s="5" t="s">
        <v>24</v>
      </c>
      <c r="O20" s="5">
        <f>_xlfn.XLOOKUP(M20&amp;"-"&amp;N20,'Djøf Finance Workers'!D:D,'Djøf Finance Workers'!C:C,0,1)</f>
        <v>1600</v>
      </c>
      <c r="P20" s="5">
        <f>_xlfn.XLOOKUP(M20&amp;"-"&amp;N20,'Djøf Finance Hoppers'!D:D,'Djøf Finance Hoppers'!C:C,0,1)</f>
        <v>204</v>
      </c>
      <c r="Q20" s="16">
        <f t="shared" si="1"/>
        <v>0.1275</v>
      </c>
    </row>
    <row r="21" spans="2:17" x14ac:dyDescent="0.35">
      <c r="B21" s="5">
        <v>43</v>
      </c>
      <c r="C21" s="5" t="str">
        <f t="shared" si="3"/>
        <v>40-44 år</v>
      </c>
      <c r="D21" s="16">
        <f t="shared" si="0"/>
        <v>0.2213187304833609</v>
      </c>
      <c r="E21" s="5" t="str">
        <f ca="1">IF(OR(JobHopping[[#This Row],[Age]]=25,JobHopping[[#This Row],[Age]]&gt;69),"N",IF(AND(E19="N",E20="N", RAND()&lt;=D21), "Y", "N"))</f>
        <v>N</v>
      </c>
      <c r="F21" s="5" t="s">
        <v>64</v>
      </c>
      <c r="G21" s="5" t="str">
        <f>IF(JobHopping[[#This Row],[Age]]&lt;40,"",JobHopping[[#This Row],[SwitchP1Static]])</f>
        <v>Y</v>
      </c>
      <c r="M21" s="5">
        <v>2015</v>
      </c>
      <c r="N21" s="5" t="s">
        <v>16</v>
      </c>
      <c r="O21" s="5">
        <f>_xlfn.XLOOKUP(M21&amp;"-"&amp;N21,'Djøf Finance Workers'!D:D,'Djøf Finance Workers'!C:C,0,1)</f>
        <v>5834</v>
      </c>
      <c r="P21" s="5">
        <f>_xlfn.XLOOKUP(M21&amp;"-"&amp;N21,'Djøf Finance Hoppers'!D:D,'Djøf Finance Hoppers'!C:C,0,1)</f>
        <v>2715</v>
      </c>
      <c r="Q21" s="16">
        <f t="shared" si="1"/>
        <v>0.46537538567020914</v>
      </c>
    </row>
    <row r="22" spans="2:17" x14ac:dyDescent="0.35">
      <c r="B22" s="5">
        <v>44</v>
      </c>
      <c r="C22" s="5" t="str">
        <f t="shared" si="3"/>
        <v>40-44 år</v>
      </c>
      <c r="D22" s="16">
        <f t="shared" si="0"/>
        <v>0.2213187304833609</v>
      </c>
      <c r="E22" s="5" t="str">
        <f ca="1">IF(OR(JobHopping[[#This Row],[Age]]=25,JobHopping[[#This Row],[Age]]&gt;69),"N",IF(AND(E20="N",E21="N", RAND()&lt;=D22), "Y", "N"))</f>
        <v>N</v>
      </c>
      <c r="F22" s="5" t="s">
        <v>0</v>
      </c>
      <c r="G22" s="5" t="str">
        <f>IF(JobHopping[[#This Row],[Age]]&lt;40,"",JobHopping[[#This Row],[SwitchP1Static]])</f>
        <v>N</v>
      </c>
      <c r="M22" s="5">
        <v>2015</v>
      </c>
      <c r="N22" s="5" t="s">
        <v>17</v>
      </c>
      <c r="O22" s="5">
        <f>_xlfn.XLOOKUP(M22&amp;"-"&amp;N22,'Djøf Finance Workers'!D:D,'Djøf Finance Workers'!C:C,0,1)</f>
        <v>7834</v>
      </c>
      <c r="P22" s="5">
        <f>_xlfn.XLOOKUP(M22&amp;"-"&amp;N22,'Djøf Finance Hoppers'!D:D,'Djøf Finance Hoppers'!C:C,0,1)</f>
        <v>2473</v>
      </c>
      <c r="Q22" s="16">
        <f t="shared" si="1"/>
        <v>0.31567526167985704</v>
      </c>
    </row>
    <row r="23" spans="2:17" x14ac:dyDescent="0.35">
      <c r="B23" s="5">
        <v>45</v>
      </c>
      <c r="C23" s="5" t="str">
        <f t="shared" si="3"/>
        <v>45-49 år</v>
      </c>
      <c r="D23" s="16">
        <f t="shared" si="0"/>
        <v>0.19929479981866399</v>
      </c>
      <c r="E23" s="5" t="str">
        <f ca="1">IF(OR(JobHopping[[#This Row],[Age]]=25,JobHopping[[#This Row],[Age]]&gt;69),"N",IF(AND(E21="N",E22="N", RAND()&lt;=D23), "Y", "N"))</f>
        <v>N</v>
      </c>
      <c r="F23" s="5" t="s">
        <v>0</v>
      </c>
      <c r="G23" s="5" t="str">
        <f>IF(JobHopping[[#This Row],[Age]]&lt;40,"",JobHopping[[#This Row],[SwitchP1Static]])</f>
        <v>N</v>
      </c>
      <c r="M23" s="5">
        <v>2015</v>
      </c>
      <c r="N23" s="5" t="s">
        <v>18</v>
      </c>
      <c r="O23" s="5">
        <f>_xlfn.XLOOKUP(M23&amp;"-"&amp;N23,'Djøf Finance Workers'!D:D,'Djøf Finance Workers'!C:C,0,1)</f>
        <v>9897</v>
      </c>
      <c r="P23" s="5">
        <f>_xlfn.XLOOKUP(M23&amp;"-"&amp;N23,'Djøf Finance Hoppers'!D:D,'Djøf Finance Hoppers'!C:C,0,1)</f>
        <v>2378</v>
      </c>
      <c r="Q23" s="16">
        <f t="shared" si="1"/>
        <v>0.24027483075679498</v>
      </c>
    </row>
    <row r="24" spans="2:17" x14ac:dyDescent="0.35">
      <c r="B24" s="5">
        <v>46</v>
      </c>
      <c r="C24" s="5" t="str">
        <f t="shared" si="3"/>
        <v>45-49 år</v>
      </c>
      <c r="D24" s="16">
        <f t="shared" si="0"/>
        <v>0.19929479981866399</v>
      </c>
      <c r="E24" s="5" t="str">
        <f ca="1">IF(OR(JobHopping[[#This Row],[Age]]=25,JobHopping[[#This Row],[Age]]&gt;69),"N",IF(AND(E22="N",E23="N", RAND()&lt;=D24), "Y", "N"))</f>
        <v>N</v>
      </c>
      <c r="F24" s="5" t="s">
        <v>0</v>
      </c>
      <c r="G24" s="5" t="str">
        <f>IF(JobHopping[[#This Row],[Age]]&lt;40,"",JobHopping[[#This Row],[SwitchP1Static]])</f>
        <v>N</v>
      </c>
      <c r="M24" s="5">
        <v>2015</v>
      </c>
      <c r="N24" s="5" t="s">
        <v>19</v>
      </c>
      <c r="O24" s="5">
        <f>_xlfn.XLOOKUP(M24&amp;"-"&amp;N24,'Djøf Finance Workers'!D:D,'Djøf Finance Workers'!C:C,0,1)</f>
        <v>9571</v>
      </c>
      <c r="P24" s="5">
        <f>_xlfn.XLOOKUP(M24&amp;"-"&amp;N24,'Djøf Finance Hoppers'!D:D,'Djøf Finance Hoppers'!C:C,0,1)</f>
        <v>1902</v>
      </c>
      <c r="Q24" s="16">
        <f t="shared" si="1"/>
        <v>0.19872531605892801</v>
      </c>
    </row>
    <row r="25" spans="2:17" x14ac:dyDescent="0.35">
      <c r="B25" s="5">
        <v>47</v>
      </c>
      <c r="C25" s="5" t="str">
        <f t="shared" si="3"/>
        <v>45-49 år</v>
      </c>
      <c r="D25" s="16">
        <f t="shared" si="0"/>
        <v>0.19929479981866399</v>
      </c>
      <c r="E25" s="5" t="str">
        <f ca="1">IF(OR(JobHopping[[#This Row],[Age]]=25,JobHopping[[#This Row],[Age]]&gt;69),"N",IF(AND(E23="N",E24="N", RAND()&lt;=D25), "Y", "N"))</f>
        <v>N</v>
      </c>
      <c r="F25" s="5" t="s">
        <v>64</v>
      </c>
      <c r="G25" s="5" t="str">
        <f>IF(JobHopping[[#This Row],[Age]]&lt;40,"",JobHopping[[#This Row],[SwitchP1Static]])</f>
        <v>Y</v>
      </c>
      <c r="M25" s="5">
        <v>2015</v>
      </c>
      <c r="N25" s="5" t="s">
        <v>20</v>
      </c>
      <c r="O25" s="5">
        <f>_xlfn.XLOOKUP(M25&amp;"-"&amp;N25,'Djøf Finance Workers'!D:D,'Djøf Finance Workers'!C:C,0,1)</f>
        <v>11603</v>
      </c>
      <c r="P25" s="5">
        <f>_xlfn.XLOOKUP(M25&amp;"-"&amp;N25,'Djøf Finance Hoppers'!D:D,'Djøf Finance Hoppers'!C:C,0,1)</f>
        <v>2085</v>
      </c>
      <c r="Q25" s="16">
        <f t="shared" si="1"/>
        <v>0.17969490648970093</v>
      </c>
    </row>
    <row r="26" spans="2:17" x14ac:dyDescent="0.35">
      <c r="B26" s="5">
        <v>48</v>
      </c>
      <c r="C26" s="5" t="str">
        <f t="shared" si="3"/>
        <v>45-49 år</v>
      </c>
      <c r="D26" s="16">
        <f t="shared" si="0"/>
        <v>0.19929479981866399</v>
      </c>
      <c r="E26" s="5" t="str">
        <f ca="1">IF(OR(JobHopping[[#This Row],[Age]]=25,JobHopping[[#This Row],[Age]]&gt;69),"N",IF(AND(E24="N",E25="N", RAND()&lt;=D26), "Y", "N"))</f>
        <v>N</v>
      </c>
      <c r="F26" s="5" t="s">
        <v>0</v>
      </c>
      <c r="G26" s="5" t="str">
        <f>IF(JobHopping[[#This Row],[Age]]&lt;40,"",JobHopping[[#This Row],[SwitchP1Static]])</f>
        <v>N</v>
      </c>
      <c r="M26" s="5">
        <v>2015</v>
      </c>
      <c r="N26" s="5" t="s">
        <v>21</v>
      </c>
      <c r="O26" s="5">
        <f>_xlfn.XLOOKUP(M26&amp;"-"&amp;N26,'Djøf Finance Workers'!D:D,'Djøf Finance Workers'!C:C,0,1)</f>
        <v>11160</v>
      </c>
      <c r="P26" s="5">
        <f>_xlfn.XLOOKUP(M26&amp;"-"&amp;N26,'Djøf Finance Hoppers'!D:D,'Djøf Finance Hoppers'!C:C,0,1)</f>
        <v>1717</v>
      </c>
      <c r="Q26" s="16">
        <f t="shared" si="1"/>
        <v>0.15385304659498208</v>
      </c>
    </row>
    <row r="27" spans="2:17" x14ac:dyDescent="0.35">
      <c r="B27" s="5">
        <v>49</v>
      </c>
      <c r="C27" s="5" t="str">
        <f t="shared" si="3"/>
        <v>45-49 år</v>
      </c>
      <c r="D27" s="16">
        <f t="shared" si="0"/>
        <v>0.19929479981866399</v>
      </c>
      <c r="E27" s="5" t="str">
        <f ca="1">IF(OR(JobHopping[[#This Row],[Age]]=25,JobHopping[[#This Row],[Age]]&gt;69),"N",IF(AND(E25="N",E26="N", RAND()&lt;=D27), "Y", "N"))</f>
        <v>N</v>
      </c>
      <c r="F27" s="5" t="s">
        <v>0</v>
      </c>
      <c r="G27" s="5" t="str">
        <f>IF(JobHopping[[#This Row],[Age]]&lt;40,"",JobHopping[[#This Row],[SwitchP1Static]])</f>
        <v>N</v>
      </c>
      <c r="M27" s="5">
        <v>2015</v>
      </c>
      <c r="N27" s="5" t="s">
        <v>22</v>
      </c>
      <c r="O27" s="5">
        <f>_xlfn.XLOOKUP(M27&amp;"-"&amp;N27,'Djøf Finance Workers'!D:D,'Djøf Finance Workers'!C:C,0,1)</f>
        <v>8969</v>
      </c>
      <c r="P27" s="5">
        <f>_xlfn.XLOOKUP(M27&amp;"-"&amp;N27,'Djøf Finance Hoppers'!D:D,'Djøf Finance Hoppers'!C:C,0,1)</f>
        <v>1226</v>
      </c>
      <c r="Q27" s="16">
        <f t="shared" si="1"/>
        <v>0.13669305385215744</v>
      </c>
    </row>
    <row r="28" spans="2:17" x14ac:dyDescent="0.35">
      <c r="B28" s="5">
        <v>50</v>
      </c>
      <c r="C28" s="5" t="str">
        <f t="shared" si="3"/>
        <v>50-54 år</v>
      </c>
      <c r="D28" s="16">
        <f t="shared" si="0"/>
        <v>0.17668929185764676</v>
      </c>
      <c r="E28" s="5" t="str">
        <f ca="1">IF(OR(JobHopping[[#This Row],[Age]]=25,JobHopping[[#This Row],[Age]]&gt;69),"N",IF(AND(E26="N",E27="N", RAND()&lt;=D28), "Y", "N"))</f>
        <v>N</v>
      </c>
      <c r="F28" s="5" t="s">
        <v>0</v>
      </c>
      <c r="G28" s="5" t="str">
        <f>IF(JobHopping[[#This Row],[Age]]&lt;40,"",JobHopping[[#This Row],[SwitchP1Static]])</f>
        <v>N</v>
      </c>
      <c r="M28" s="5">
        <v>2015</v>
      </c>
      <c r="N28" s="5" t="s">
        <v>23</v>
      </c>
      <c r="O28" s="5">
        <f>_xlfn.XLOOKUP(M28&amp;"-"&amp;N28,'Djøf Finance Workers'!D:D,'Djøf Finance Workers'!C:C,0,1)</f>
        <v>5167</v>
      </c>
      <c r="P28" s="5">
        <f>_xlfn.XLOOKUP(M28&amp;"-"&amp;N28,'Djøf Finance Hoppers'!D:D,'Djøf Finance Hoppers'!C:C,0,1)</f>
        <v>583</v>
      </c>
      <c r="Q28" s="16">
        <f t="shared" si="1"/>
        <v>0.11283143023030773</v>
      </c>
    </row>
    <row r="29" spans="2:17" x14ac:dyDescent="0.35">
      <c r="B29" s="5">
        <v>51</v>
      </c>
      <c r="C29" s="5" t="str">
        <f t="shared" si="3"/>
        <v>50-54 år</v>
      </c>
      <c r="D29" s="16">
        <f t="shared" si="0"/>
        <v>0.17668929185764676</v>
      </c>
      <c r="E29" s="5" t="str">
        <f ca="1">IF(OR(JobHopping[[#This Row],[Age]]=25,JobHopping[[#This Row],[Age]]&gt;69),"N",IF(AND(E27="N",E28="N", RAND()&lt;=D29), "Y", "N"))</f>
        <v>N</v>
      </c>
      <c r="F29" s="5" t="s">
        <v>0</v>
      </c>
      <c r="G29" s="5" t="str">
        <f>IF(JobHopping[[#This Row],[Age]]&lt;40,"",JobHopping[[#This Row],[SwitchP1Static]])</f>
        <v>N</v>
      </c>
      <c r="M29" s="5">
        <v>2015</v>
      </c>
      <c r="N29" s="5" t="s">
        <v>24</v>
      </c>
      <c r="O29" s="5">
        <f>_xlfn.XLOOKUP(M29&amp;"-"&amp;N29,'Djøf Finance Workers'!D:D,'Djøf Finance Workers'!C:C,0,1)</f>
        <v>1642</v>
      </c>
      <c r="P29" s="5">
        <f>_xlfn.XLOOKUP(M29&amp;"-"&amp;N29,'Djøf Finance Hoppers'!D:D,'Djøf Finance Hoppers'!C:C,0,1)</f>
        <v>211</v>
      </c>
      <c r="Q29" s="16">
        <f t="shared" si="1"/>
        <v>0.12850182704019489</v>
      </c>
    </row>
    <row r="30" spans="2:17" x14ac:dyDescent="0.35">
      <c r="B30" s="5">
        <v>52</v>
      </c>
      <c r="C30" s="5" t="str">
        <f t="shared" si="3"/>
        <v>50-54 år</v>
      </c>
      <c r="D30" s="16">
        <f t="shared" si="0"/>
        <v>0.17668929185764676</v>
      </c>
      <c r="E30" s="5" t="str">
        <f ca="1">IF(OR(JobHopping[[#This Row],[Age]]=25,JobHopping[[#This Row],[Age]]&gt;69),"N",IF(AND(E28="N",E29="N", RAND()&lt;=D30), "Y", "N"))</f>
        <v>Y</v>
      </c>
      <c r="F30" s="5" t="s">
        <v>0</v>
      </c>
      <c r="G30" s="5" t="str">
        <f>IF(JobHopping[[#This Row],[Age]]&lt;40,"",JobHopping[[#This Row],[SwitchP1Static]])</f>
        <v>N</v>
      </c>
      <c r="M30" s="5">
        <v>2016</v>
      </c>
      <c r="N30" s="5" t="s">
        <v>16</v>
      </c>
      <c r="O30" s="5">
        <f>_xlfn.XLOOKUP(M30&amp;"-"&amp;N30,'Djøf Finance Workers'!D:D,'Djøf Finance Workers'!C:C,0,1)</f>
        <v>5701</v>
      </c>
      <c r="P30" s="5">
        <f>_xlfn.XLOOKUP(M30&amp;"-"&amp;N30,'Djøf Finance Hoppers'!D:D,'Djøf Finance Hoppers'!C:C,0,1)</f>
        <v>3005</v>
      </c>
      <c r="Q30" s="16">
        <f t="shared" si="1"/>
        <v>0.52710050868268721</v>
      </c>
    </row>
    <row r="31" spans="2:17" x14ac:dyDescent="0.35">
      <c r="B31" s="5">
        <v>53</v>
      </c>
      <c r="C31" s="5" t="str">
        <f t="shared" si="3"/>
        <v>50-54 år</v>
      </c>
      <c r="D31" s="16">
        <f t="shared" si="0"/>
        <v>0.17668929185764676</v>
      </c>
      <c r="E31" s="5" t="str">
        <f ca="1">IF(OR(JobHopping[[#This Row],[Age]]=25,JobHopping[[#This Row],[Age]]&gt;69),"N",IF(AND(E29="N",E30="N", RAND()&lt;=D31), "Y", "N"))</f>
        <v>N</v>
      </c>
      <c r="F31" s="5" t="s">
        <v>0</v>
      </c>
      <c r="G31" s="5" t="str">
        <f>IF(JobHopping[[#This Row],[Age]]&lt;40,"",JobHopping[[#This Row],[SwitchP1Static]])</f>
        <v>N</v>
      </c>
      <c r="M31" s="5">
        <v>2016</v>
      </c>
      <c r="N31" s="5" t="s">
        <v>17</v>
      </c>
      <c r="O31" s="5">
        <f>_xlfn.XLOOKUP(M31&amp;"-"&amp;N31,'Djøf Finance Workers'!D:D,'Djøf Finance Workers'!C:C,0,1)</f>
        <v>7831</v>
      </c>
      <c r="P31" s="5">
        <f>_xlfn.XLOOKUP(M31&amp;"-"&amp;N31,'Djøf Finance Hoppers'!D:D,'Djøf Finance Hoppers'!C:C,0,1)</f>
        <v>2584</v>
      </c>
      <c r="Q31" s="16">
        <f t="shared" si="1"/>
        <v>0.32997062954922746</v>
      </c>
    </row>
    <row r="32" spans="2:17" x14ac:dyDescent="0.35">
      <c r="B32" s="5">
        <v>54</v>
      </c>
      <c r="C32" s="5" t="str">
        <f t="shared" si="3"/>
        <v>50-54 år</v>
      </c>
      <c r="D32" s="16">
        <f t="shared" si="0"/>
        <v>0.17668929185764676</v>
      </c>
      <c r="E32" s="5" t="str">
        <f ca="1">IF(OR(JobHopping[[#This Row],[Age]]=25,JobHopping[[#This Row],[Age]]&gt;69),"N",IF(AND(E30="N",E31="N", RAND()&lt;=D32), "Y", "N"))</f>
        <v>N</v>
      </c>
      <c r="F32" s="5" t="s">
        <v>0</v>
      </c>
      <c r="G32" s="5" t="str">
        <f>IF(JobHopping[[#This Row],[Age]]&lt;40,"",JobHopping[[#This Row],[SwitchP1Static]])</f>
        <v>N</v>
      </c>
      <c r="M32" s="5">
        <v>2016</v>
      </c>
      <c r="N32" s="5" t="s">
        <v>18</v>
      </c>
      <c r="O32" s="5">
        <f>_xlfn.XLOOKUP(M32&amp;"-"&amp;N32,'Djøf Finance Workers'!D:D,'Djøf Finance Workers'!C:C,0,1)</f>
        <v>9564</v>
      </c>
      <c r="P32" s="5">
        <f>_xlfn.XLOOKUP(M32&amp;"-"&amp;N32,'Djøf Finance Hoppers'!D:D,'Djøf Finance Hoppers'!C:C,0,1)</f>
        <v>2311</v>
      </c>
      <c r="Q32" s="16">
        <f t="shared" si="1"/>
        <v>0.24163529903805939</v>
      </c>
    </row>
    <row r="33" spans="2:17" x14ac:dyDescent="0.35">
      <c r="B33" s="5">
        <v>55</v>
      </c>
      <c r="C33" s="5" t="str">
        <f t="shared" si="3"/>
        <v>55-59 år</v>
      </c>
      <c r="D33" s="16">
        <f t="shared" si="0"/>
        <v>0.15515674597479437</v>
      </c>
      <c r="E33" s="5" t="str">
        <f ca="1">IF(OR(JobHopping[[#This Row],[Age]]=25,JobHopping[[#This Row],[Age]]&gt;69),"N",IF(AND(E31="N",E32="N", RAND()&lt;=D33), "Y", "N"))</f>
        <v>N</v>
      </c>
      <c r="F33" s="5" t="s">
        <v>0</v>
      </c>
      <c r="G33" s="5" t="str">
        <f>IF(JobHopping[[#This Row],[Age]]&lt;40,"",JobHopping[[#This Row],[SwitchP1Static]])</f>
        <v>N</v>
      </c>
      <c r="M33" s="5">
        <v>2016</v>
      </c>
      <c r="N33" s="5" t="s">
        <v>19</v>
      </c>
      <c r="O33" s="5">
        <f>_xlfn.XLOOKUP(M33&amp;"-"&amp;N33,'Djøf Finance Workers'!D:D,'Djøf Finance Workers'!C:C,0,1)</f>
        <v>9711</v>
      </c>
      <c r="P33" s="5">
        <f>_xlfn.XLOOKUP(M33&amp;"-"&amp;N33,'Djøf Finance Hoppers'!D:D,'Djøf Finance Hoppers'!C:C,0,1)</f>
        <v>2111</v>
      </c>
      <c r="Q33" s="16">
        <f t="shared" si="1"/>
        <v>0.21738234991247041</v>
      </c>
    </row>
    <row r="34" spans="2:17" x14ac:dyDescent="0.35">
      <c r="B34" s="5">
        <v>56</v>
      </c>
      <c r="C34" s="5" t="str">
        <f t="shared" si="3"/>
        <v>55-59 år</v>
      </c>
      <c r="D34" s="16">
        <f t="shared" si="0"/>
        <v>0.15515674597479437</v>
      </c>
      <c r="E34" s="5" t="str">
        <f ca="1">IF(OR(JobHopping[[#This Row],[Age]]=25,JobHopping[[#This Row],[Age]]&gt;69),"N",IF(AND(E32="N",E33="N", RAND()&lt;=D34), "Y", "N"))</f>
        <v>N</v>
      </c>
      <c r="F34" s="5" t="s">
        <v>0</v>
      </c>
      <c r="G34" s="5" t="str">
        <f>IF(JobHopping[[#This Row],[Age]]&lt;40,"",JobHopping[[#This Row],[SwitchP1Static]])</f>
        <v>N</v>
      </c>
      <c r="M34" s="5">
        <v>2016</v>
      </c>
      <c r="N34" s="5" t="s">
        <v>20</v>
      </c>
      <c r="O34" s="5">
        <f>_xlfn.XLOOKUP(M34&amp;"-"&amp;N34,'Djøf Finance Workers'!D:D,'Djøf Finance Workers'!C:C,0,1)</f>
        <v>10533</v>
      </c>
      <c r="P34" s="5">
        <f>_xlfn.XLOOKUP(M34&amp;"-"&amp;N34,'Djøf Finance Hoppers'!D:D,'Djøf Finance Hoppers'!C:C,0,1)</f>
        <v>2000</v>
      </c>
      <c r="Q34" s="16">
        <f t="shared" si="1"/>
        <v>0.18987942656413179</v>
      </c>
    </row>
    <row r="35" spans="2:17" x14ac:dyDescent="0.35">
      <c r="B35" s="5">
        <v>57</v>
      </c>
      <c r="C35" s="5" t="str">
        <f t="shared" si="3"/>
        <v>55-59 år</v>
      </c>
      <c r="D35" s="16">
        <f t="shared" ref="D35:D66" si="4">_xlfn.XLOOKUP(C35,S:S,T:T)</f>
        <v>0.15515674597479437</v>
      </c>
      <c r="E35" s="5" t="str">
        <f ca="1">IF(OR(JobHopping[[#This Row],[Age]]=25,JobHopping[[#This Row],[Age]]&gt;69),"N",IF(AND(E33="N",E34="N", RAND()&lt;=D35), "Y", "N"))</f>
        <v>N</v>
      </c>
      <c r="F35" s="5" t="s">
        <v>0</v>
      </c>
      <c r="G35" s="5" t="str">
        <f>IF(JobHopping[[#This Row],[Age]]&lt;40,"",JobHopping[[#This Row],[SwitchP1Static]])</f>
        <v>N</v>
      </c>
      <c r="M35" s="5">
        <v>2016</v>
      </c>
      <c r="N35" s="5" t="s">
        <v>21</v>
      </c>
      <c r="O35" s="5">
        <f>_xlfn.XLOOKUP(M35&amp;"-"&amp;N35,'Djøf Finance Workers'!D:D,'Djøf Finance Workers'!C:C,0,1)</f>
        <v>11490</v>
      </c>
      <c r="P35" s="5">
        <f>_xlfn.XLOOKUP(M35&amp;"-"&amp;N35,'Djøf Finance Hoppers'!D:D,'Djøf Finance Hoppers'!C:C,0,1)</f>
        <v>1808</v>
      </c>
      <c r="Q35" s="16">
        <f t="shared" si="1"/>
        <v>0.15735422106179286</v>
      </c>
    </row>
    <row r="36" spans="2:17" x14ac:dyDescent="0.35">
      <c r="B36" s="5">
        <v>58</v>
      </c>
      <c r="C36" s="5" t="str">
        <f t="shared" si="3"/>
        <v>55-59 år</v>
      </c>
      <c r="D36" s="16">
        <f t="shared" si="4"/>
        <v>0.15515674597479437</v>
      </c>
      <c r="E36" s="5" t="str">
        <f ca="1">IF(OR(JobHopping[[#This Row],[Age]]=25,JobHopping[[#This Row],[Age]]&gt;69),"N",IF(AND(E34="N",E35="N", RAND()&lt;=D36), "Y", "N"))</f>
        <v>N</v>
      </c>
      <c r="F36" s="5" t="s">
        <v>0</v>
      </c>
      <c r="G36" s="5" t="str">
        <f>IF(JobHopping[[#This Row],[Age]]&lt;40,"",JobHopping[[#This Row],[SwitchP1Static]])</f>
        <v>N</v>
      </c>
      <c r="M36" s="5">
        <v>2016</v>
      </c>
      <c r="N36" s="5" t="s">
        <v>22</v>
      </c>
      <c r="O36" s="5">
        <f>_xlfn.XLOOKUP(M36&amp;"-"&amp;N36,'Djøf Finance Workers'!D:D,'Djøf Finance Workers'!C:C,0,1)</f>
        <v>9121</v>
      </c>
      <c r="P36" s="5">
        <f>_xlfn.XLOOKUP(M36&amp;"-"&amp;N36,'Djøf Finance Hoppers'!D:D,'Djøf Finance Hoppers'!C:C,0,1)</f>
        <v>1301</v>
      </c>
      <c r="Q36" s="16">
        <f t="shared" si="1"/>
        <v>0.14263786865475278</v>
      </c>
    </row>
    <row r="37" spans="2:17" x14ac:dyDescent="0.35">
      <c r="B37" s="5">
        <v>59</v>
      </c>
      <c r="C37" s="5" t="str">
        <f t="shared" si="3"/>
        <v>55-59 år</v>
      </c>
      <c r="D37" s="16">
        <f t="shared" si="4"/>
        <v>0.15515674597479437</v>
      </c>
      <c r="E37" s="5" t="str">
        <f ca="1">IF(OR(JobHopping[[#This Row],[Age]]=25,JobHopping[[#This Row],[Age]]&gt;69),"N",IF(AND(E35="N",E36="N", RAND()&lt;=D37), "Y", "N"))</f>
        <v>N</v>
      </c>
      <c r="F37" s="5" t="s">
        <v>0</v>
      </c>
      <c r="G37" s="5" t="str">
        <f>IF(JobHopping[[#This Row],[Age]]&lt;40,"",JobHopping[[#This Row],[SwitchP1Static]])</f>
        <v>N</v>
      </c>
      <c r="M37" s="5">
        <v>2016</v>
      </c>
      <c r="N37" s="5" t="s">
        <v>23</v>
      </c>
      <c r="O37" s="5">
        <f>_xlfn.XLOOKUP(M37&amp;"-"&amp;N37,'Djøf Finance Workers'!D:D,'Djøf Finance Workers'!C:C,0,1)</f>
        <v>5304</v>
      </c>
      <c r="P37" s="5">
        <f>_xlfn.XLOOKUP(M37&amp;"-"&amp;N37,'Djøf Finance Hoppers'!D:D,'Djøf Finance Hoppers'!C:C,0,1)</f>
        <v>708</v>
      </c>
      <c r="Q37" s="16">
        <f t="shared" si="1"/>
        <v>0.1334841628959276</v>
      </c>
    </row>
    <row r="38" spans="2:17" x14ac:dyDescent="0.35">
      <c r="B38" s="5">
        <v>60</v>
      </c>
      <c r="C38" s="5" t="str">
        <f t="shared" si="3"/>
        <v>60-64 år</v>
      </c>
      <c r="D38" s="16">
        <f t="shared" si="4"/>
        <v>0.13997311637990331</v>
      </c>
      <c r="E38" s="5" t="str">
        <f ca="1">IF(OR(JobHopping[[#This Row],[Age]]=25,JobHopping[[#This Row],[Age]]&gt;69),"N",IF(AND(E36="N",E37="N", RAND()&lt;=D38), "Y", "N"))</f>
        <v>Y</v>
      </c>
      <c r="F38" s="5" t="s">
        <v>64</v>
      </c>
      <c r="G38" s="5" t="str">
        <f>IF(JobHopping[[#This Row],[Age]]&lt;40,"",JobHopping[[#This Row],[SwitchP1Static]])</f>
        <v>Y</v>
      </c>
      <c r="M38" s="5">
        <v>2016</v>
      </c>
      <c r="N38" s="5" t="s">
        <v>24</v>
      </c>
      <c r="O38" s="5">
        <f>_xlfn.XLOOKUP(M38&amp;"-"&amp;N38,'Djøf Finance Workers'!D:D,'Djøf Finance Workers'!C:C,0,1)</f>
        <v>1680</v>
      </c>
      <c r="P38" s="5">
        <f>_xlfn.XLOOKUP(M38&amp;"-"&amp;N38,'Djøf Finance Hoppers'!D:D,'Djøf Finance Hoppers'!C:C,0,1)</f>
        <v>183</v>
      </c>
      <c r="Q38" s="16">
        <f t="shared" si="1"/>
        <v>0.10892857142857143</v>
      </c>
    </row>
    <row r="39" spans="2:17" x14ac:dyDescent="0.35">
      <c r="B39" s="5">
        <v>61</v>
      </c>
      <c r="C39" s="5" t="str">
        <f t="shared" si="3"/>
        <v>60-64 år</v>
      </c>
      <c r="D39" s="16">
        <f t="shared" si="4"/>
        <v>0.13997311637990331</v>
      </c>
      <c r="E39" s="5" t="str">
        <f ca="1">IF(OR(JobHopping[[#This Row],[Age]]=25,JobHopping[[#This Row],[Age]]&gt;69),"N",IF(AND(E37="N",E38="N", RAND()&lt;=D39), "Y", "N"))</f>
        <v>N</v>
      </c>
      <c r="F39" s="5" t="s">
        <v>0</v>
      </c>
      <c r="G39" s="5" t="str">
        <f>IF(JobHopping[[#This Row],[Age]]&lt;40,"",JobHopping[[#This Row],[SwitchP1Static]])</f>
        <v>N</v>
      </c>
      <c r="M39" s="5">
        <v>2017</v>
      </c>
      <c r="N39" s="5" t="s">
        <v>16</v>
      </c>
      <c r="O39" s="5">
        <f>_xlfn.XLOOKUP(M39&amp;"-"&amp;N39,'Djøf Finance Workers'!D:D,'Djøf Finance Workers'!C:C,0,1)</f>
        <v>5951</v>
      </c>
      <c r="P39" s="5">
        <f>_xlfn.XLOOKUP(M39&amp;"-"&amp;N39,'Djøf Finance Hoppers'!D:D,'Djøf Finance Hoppers'!C:C,0,1)</f>
        <v>3106</v>
      </c>
      <c r="Q39" s="16">
        <f t="shared" si="1"/>
        <v>0.52192908754831124</v>
      </c>
    </row>
    <row r="40" spans="2:17" x14ac:dyDescent="0.35">
      <c r="B40" s="5">
        <v>62</v>
      </c>
      <c r="C40" s="5" t="str">
        <f t="shared" si="3"/>
        <v>60-64 år</v>
      </c>
      <c r="D40" s="16">
        <f t="shared" si="4"/>
        <v>0.13997311637990331</v>
      </c>
      <c r="E40" s="5" t="str">
        <f ca="1">IF(OR(JobHopping[[#This Row],[Age]]=25,JobHopping[[#This Row],[Age]]&gt;69),"N",IF(AND(E38="N",E39="N", RAND()&lt;=D40), "Y", "N"))</f>
        <v>N</v>
      </c>
      <c r="F40" s="5" t="s">
        <v>0</v>
      </c>
      <c r="G40" s="5" t="str">
        <f>IF(JobHopping[[#This Row],[Age]]&lt;40,"",JobHopping[[#This Row],[SwitchP1Static]])</f>
        <v>N</v>
      </c>
      <c r="M40" s="5">
        <v>2017</v>
      </c>
      <c r="N40" s="5" t="s">
        <v>17</v>
      </c>
      <c r="O40" s="5">
        <f>_xlfn.XLOOKUP(M40&amp;"-"&amp;N40,'Djøf Finance Workers'!D:D,'Djøf Finance Workers'!C:C,0,1)</f>
        <v>8016</v>
      </c>
      <c r="P40" s="5">
        <f>_xlfn.XLOOKUP(M40&amp;"-"&amp;N40,'Djøf Finance Hoppers'!D:D,'Djøf Finance Hoppers'!C:C,0,1)</f>
        <v>2692</v>
      </c>
      <c r="Q40" s="16">
        <f t="shared" si="1"/>
        <v>0.33582834331337325</v>
      </c>
    </row>
    <row r="41" spans="2:17" x14ac:dyDescent="0.35">
      <c r="B41" s="5">
        <v>63</v>
      </c>
      <c r="C41" s="5" t="str">
        <f t="shared" si="3"/>
        <v>60-64 år</v>
      </c>
      <c r="D41" s="16">
        <f t="shared" si="4"/>
        <v>0.13997311637990331</v>
      </c>
      <c r="E41" s="5" t="str">
        <f ca="1">IF(OR(JobHopping[[#This Row],[Age]]=25,JobHopping[[#This Row],[Age]]&gt;69),"N",IF(AND(E39="N",E40="N", RAND()&lt;=D41), "Y", "N"))</f>
        <v>N</v>
      </c>
      <c r="F41" s="5" t="s">
        <v>0</v>
      </c>
      <c r="G41" s="5" t="str">
        <f>IF(JobHopping[[#This Row],[Age]]&lt;40,"",JobHopping[[#This Row],[SwitchP1Static]])</f>
        <v>N</v>
      </c>
      <c r="M41" s="5">
        <v>2017</v>
      </c>
      <c r="N41" s="5" t="s">
        <v>18</v>
      </c>
      <c r="O41" s="5">
        <f>_xlfn.XLOOKUP(M41&amp;"-"&amp;N41,'Djøf Finance Workers'!D:D,'Djøf Finance Workers'!C:C,0,1)</f>
        <v>9344</v>
      </c>
      <c r="P41" s="5">
        <f>_xlfn.XLOOKUP(M41&amp;"-"&amp;N41,'Djøf Finance Hoppers'!D:D,'Djøf Finance Hoppers'!C:C,0,1)</f>
        <v>2452</v>
      </c>
      <c r="Q41" s="16">
        <f t="shared" si="1"/>
        <v>0.26241438356164382</v>
      </c>
    </row>
    <row r="42" spans="2:17" x14ac:dyDescent="0.35">
      <c r="B42" s="5">
        <v>64</v>
      </c>
      <c r="C42" s="5" t="str">
        <f t="shared" si="3"/>
        <v>60-64 år</v>
      </c>
      <c r="D42" s="16">
        <f t="shared" si="4"/>
        <v>0.13997311637990331</v>
      </c>
      <c r="E42" s="5" t="str">
        <f ca="1">IF(OR(JobHopping[[#This Row],[Age]]=25,JobHopping[[#This Row],[Age]]&gt;69),"N",IF(AND(E40="N",E41="N", RAND()&lt;=D42), "Y", "N"))</f>
        <v>Y</v>
      </c>
      <c r="F42" s="5" t="s">
        <v>0</v>
      </c>
      <c r="G42" s="5" t="str">
        <f>IF(JobHopping[[#This Row],[Age]]&lt;40,"",JobHopping[[#This Row],[SwitchP1Static]])</f>
        <v>N</v>
      </c>
      <c r="M42" s="5">
        <v>2017</v>
      </c>
      <c r="N42" s="5" t="s">
        <v>19</v>
      </c>
      <c r="O42" s="5">
        <f>_xlfn.XLOOKUP(M42&amp;"-"&amp;N42,'Djøf Finance Workers'!D:D,'Djøf Finance Workers'!C:C,0,1)</f>
        <v>9699</v>
      </c>
      <c r="P42" s="5">
        <f>_xlfn.XLOOKUP(M42&amp;"-"&amp;N42,'Djøf Finance Hoppers'!D:D,'Djøf Finance Hoppers'!C:C,0,1)</f>
        <v>2105</v>
      </c>
      <c r="Q42" s="16">
        <f t="shared" si="1"/>
        <v>0.21703268378183319</v>
      </c>
    </row>
    <row r="43" spans="2:17" x14ac:dyDescent="0.35">
      <c r="B43" s="5">
        <v>65</v>
      </c>
      <c r="C43" s="5" t="str">
        <f t="shared" si="3"/>
        <v>65+ år</v>
      </c>
      <c r="D43" s="16">
        <f t="shared" si="4"/>
        <v>0.11691873000664299</v>
      </c>
      <c r="E43" s="5" t="str">
        <f ca="1">IF(OR(JobHopping[[#This Row],[Age]]=25,JobHopping[[#This Row],[Age]]&gt;69),"N",IF(AND(E41="N",E42="N", RAND()&lt;=D43), "Y", "N"))</f>
        <v>N</v>
      </c>
      <c r="F43" s="5" t="s">
        <v>0</v>
      </c>
      <c r="G43" s="5" t="str">
        <f>IF(JobHopping[[#This Row],[Age]]&lt;40,"",JobHopping[[#This Row],[SwitchP1Static]])</f>
        <v>N</v>
      </c>
      <c r="M43" s="5">
        <v>2017</v>
      </c>
      <c r="N43" s="5" t="s">
        <v>20</v>
      </c>
      <c r="O43" s="5">
        <f>_xlfn.XLOOKUP(M43&amp;"-"&amp;N43,'Djøf Finance Workers'!D:D,'Djøf Finance Workers'!C:C,0,1)</f>
        <v>9778</v>
      </c>
      <c r="P43" s="5">
        <f>_xlfn.XLOOKUP(M43&amp;"-"&amp;N43,'Djøf Finance Hoppers'!D:D,'Djøf Finance Hoppers'!C:C,0,1)</f>
        <v>1892</v>
      </c>
      <c r="Q43" s="16">
        <f t="shared" si="1"/>
        <v>0.19349560237267335</v>
      </c>
    </row>
    <row r="44" spans="2:17" x14ac:dyDescent="0.35">
      <c r="B44" s="5">
        <v>66</v>
      </c>
      <c r="C44" s="5" t="str">
        <f t="shared" si="3"/>
        <v>65+ år</v>
      </c>
      <c r="D44" s="16">
        <f t="shared" si="4"/>
        <v>0.11691873000664299</v>
      </c>
      <c r="E44" s="5" t="str">
        <f ca="1">IF(OR(JobHopping[[#This Row],[Age]]=25,JobHopping[[#This Row],[Age]]&gt;69),"N",IF(AND(E42="N",E43="N", RAND()&lt;=D44), "Y", "N"))</f>
        <v>N</v>
      </c>
      <c r="F44" s="5" t="s">
        <v>0</v>
      </c>
      <c r="G44" s="5" t="str">
        <f>IF(JobHopping[[#This Row],[Age]]&lt;40,"",JobHopping[[#This Row],[SwitchP1Static]])</f>
        <v>N</v>
      </c>
      <c r="M44" s="5">
        <v>2017</v>
      </c>
      <c r="N44" s="5" t="s">
        <v>21</v>
      </c>
      <c r="O44" s="5">
        <f>_xlfn.XLOOKUP(M44&amp;"-"&amp;N44,'Djøf Finance Workers'!D:D,'Djøf Finance Workers'!C:C,0,1)</f>
        <v>11940</v>
      </c>
      <c r="P44" s="5">
        <f>_xlfn.XLOOKUP(M44&amp;"-"&amp;N44,'Djøf Finance Hoppers'!D:D,'Djøf Finance Hoppers'!C:C,0,1)</f>
        <v>2042</v>
      </c>
      <c r="Q44" s="16">
        <f t="shared" si="1"/>
        <v>0.1710217755443886</v>
      </c>
    </row>
    <row r="45" spans="2:17" x14ac:dyDescent="0.35">
      <c r="B45" s="5">
        <v>67</v>
      </c>
      <c r="C45" s="5" t="str">
        <f t="shared" si="3"/>
        <v>65+ år</v>
      </c>
      <c r="D45" s="16">
        <f t="shared" si="4"/>
        <v>0.11691873000664299</v>
      </c>
      <c r="E45" s="5" t="str">
        <f ca="1">IF(OR(JobHopping[[#This Row],[Age]]=25,JobHopping[[#This Row],[Age]]&gt;69),"N",IF(AND(E43="N",E44="N", RAND()&lt;=D45), "Y", "N"))</f>
        <v>N</v>
      </c>
      <c r="F45" s="5" t="s">
        <v>0</v>
      </c>
      <c r="G45" s="5" t="str">
        <f>IF(JobHopping[[#This Row],[Age]]&lt;40,"",JobHopping[[#This Row],[SwitchP1Static]])</f>
        <v>N</v>
      </c>
      <c r="M45" s="5">
        <v>2017</v>
      </c>
      <c r="N45" s="5" t="s">
        <v>22</v>
      </c>
      <c r="O45" s="5">
        <f>_xlfn.XLOOKUP(M45&amp;"-"&amp;N45,'Djøf Finance Workers'!D:D,'Djøf Finance Workers'!C:C,0,1)</f>
        <v>9231</v>
      </c>
      <c r="P45" s="5">
        <f>_xlfn.XLOOKUP(M45&amp;"-"&amp;N45,'Djøf Finance Hoppers'!D:D,'Djøf Finance Hoppers'!C:C,0,1)</f>
        <v>1410</v>
      </c>
      <c r="Q45" s="16">
        <f t="shared" si="1"/>
        <v>0.15274618134546636</v>
      </c>
    </row>
    <row r="46" spans="2:17" x14ac:dyDescent="0.35">
      <c r="B46" s="5">
        <v>68</v>
      </c>
      <c r="C46" s="5" t="str">
        <f t="shared" si="3"/>
        <v>65+ år</v>
      </c>
      <c r="D46" s="16">
        <f t="shared" si="4"/>
        <v>0.11691873000664299</v>
      </c>
      <c r="E46" s="5" t="str">
        <f ca="1">IF(OR(JobHopping[[#This Row],[Age]]=25,JobHopping[[#This Row],[Age]]&gt;69),"N",IF(AND(E44="N",E45="N", RAND()&lt;=D46), "Y", "N"))</f>
        <v>N</v>
      </c>
      <c r="F46" s="5" t="s">
        <v>0</v>
      </c>
      <c r="G46" s="5" t="str">
        <f>IF(JobHopping[[#This Row],[Age]]&lt;40,"",JobHopping[[#This Row],[SwitchP1Static]])</f>
        <v>N</v>
      </c>
      <c r="M46" s="5">
        <v>2017</v>
      </c>
      <c r="N46" s="5" t="s">
        <v>23</v>
      </c>
      <c r="O46" s="5">
        <f>_xlfn.XLOOKUP(M46&amp;"-"&amp;N46,'Djøf Finance Workers'!D:D,'Djøf Finance Workers'!C:C,0,1)</f>
        <v>5403</v>
      </c>
      <c r="P46" s="5">
        <f>_xlfn.XLOOKUP(M46&amp;"-"&amp;N46,'Djøf Finance Hoppers'!D:D,'Djøf Finance Hoppers'!C:C,0,1)</f>
        <v>757</v>
      </c>
      <c r="Q46" s="16">
        <f t="shared" si="1"/>
        <v>0.14010734776975753</v>
      </c>
    </row>
    <row r="47" spans="2:17" x14ac:dyDescent="0.35">
      <c r="B47" s="5">
        <v>69</v>
      </c>
      <c r="C47" s="5" t="str">
        <f t="shared" si="3"/>
        <v>65+ år</v>
      </c>
      <c r="D47" s="16">
        <f t="shared" si="4"/>
        <v>0.11691873000664299</v>
      </c>
      <c r="E47" s="5" t="str">
        <f ca="1">IF(OR(JobHopping[[#This Row],[Age]]=25,JobHopping[[#This Row],[Age]]&gt;69),"N",IF(AND(E45="N",E46="N", RAND()&lt;=D47), "Y", "N"))</f>
        <v>N</v>
      </c>
      <c r="F47" s="5" t="s">
        <v>0</v>
      </c>
      <c r="G47" s="5" t="str">
        <f>IF(JobHopping[[#This Row],[Age]]&lt;40,"",JobHopping[[#This Row],[SwitchP1Static]])</f>
        <v>N</v>
      </c>
      <c r="M47" s="5">
        <v>2017</v>
      </c>
      <c r="N47" s="5" t="s">
        <v>24</v>
      </c>
      <c r="O47" s="5">
        <f>_xlfn.XLOOKUP(M47&amp;"-"&amp;N47,'Djøf Finance Workers'!D:D,'Djøf Finance Workers'!C:C,0,1)</f>
        <v>1775</v>
      </c>
      <c r="P47" s="5">
        <f>_xlfn.XLOOKUP(M47&amp;"-"&amp;N47,'Djøf Finance Hoppers'!D:D,'Djøf Finance Hoppers'!C:C,0,1)</f>
        <v>194</v>
      </c>
      <c r="Q47" s="16">
        <f t="shared" si="1"/>
        <v>0.10929577464788733</v>
      </c>
    </row>
    <row r="48" spans="2:17" x14ac:dyDescent="0.35">
      <c r="B48" s="5">
        <v>70</v>
      </c>
      <c r="C48" s="5" t="str">
        <f t="shared" si="3"/>
        <v>65+ år</v>
      </c>
      <c r="D48" s="16">
        <f t="shared" si="4"/>
        <v>0.11691873000664299</v>
      </c>
      <c r="E48" s="5" t="str">
        <f ca="1">IF(OR(JobHopping[[#This Row],[Age]]=25,JobHopping[[#This Row],[Age]]&gt;69),"N",IF(AND(E46="N",E47="N", RAND()&lt;=D48), "Y", "N"))</f>
        <v>N</v>
      </c>
      <c r="F48" s="5" t="s">
        <v>0</v>
      </c>
      <c r="G48" s="5" t="str">
        <f>IF(JobHopping[[#This Row],[Age]]&lt;40,"",JobHopping[[#This Row],[SwitchP1Static]])</f>
        <v>N</v>
      </c>
      <c r="M48" s="5">
        <v>2018</v>
      </c>
      <c r="N48" s="5" t="s">
        <v>16</v>
      </c>
      <c r="O48" s="5">
        <f>_xlfn.XLOOKUP(M48&amp;"-"&amp;N48,'Djøf Finance Workers'!D:D,'Djøf Finance Workers'!C:C,0,1)</f>
        <v>6353</v>
      </c>
      <c r="P48" s="5">
        <f>_xlfn.XLOOKUP(M48&amp;"-"&amp;N48,'Djøf Finance Hoppers'!D:D,'Djøf Finance Hoppers'!C:C,0,1)</f>
        <v>3149</v>
      </c>
      <c r="Q48" s="16">
        <f t="shared" si="1"/>
        <v>0.49567133637651506</v>
      </c>
    </row>
    <row r="49" spans="2:17" x14ac:dyDescent="0.35">
      <c r="B49" s="5">
        <v>71</v>
      </c>
      <c r="C49" s="5" t="str">
        <f t="shared" ref="C49:C54" si="5">IF(B49&lt;30, "25-29 år", IF(B49&lt;35, "30-34 år", IF(B49&lt;40, "35-39 år", IF(B49&lt;45, "40-44 år", IF(B49&lt;50, "45-49 år", IF(B49&lt;55, "50-54 år", IF(B49&lt;60, "55-59 år", IF(B49&lt;65, "60-64 år", "65+ år"))))))))</f>
        <v>65+ år</v>
      </c>
      <c r="D49" s="16">
        <f t="shared" si="4"/>
        <v>0.11691873000664299</v>
      </c>
      <c r="E49" s="5" t="str">
        <f ca="1">IF(OR(JobHopping[[#This Row],[Age]]=25,JobHopping[[#This Row],[Age]]&gt;69),"N",IF(AND(E47="N",E48="N", RAND()&lt;=D49), "Y", "N"))</f>
        <v>N</v>
      </c>
      <c r="F49" s="5" t="s">
        <v>0</v>
      </c>
      <c r="G49" s="5" t="str">
        <f>IF(JobHopping[[#This Row],[Age]]&lt;40,"",JobHopping[[#This Row],[SwitchP1Static]])</f>
        <v>N</v>
      </c>
      <c r="M49" s="5">
        <v>2018</v>
      </c>
      <c r="N49" s="5" t="s">
        <v>17</v>
      </c>
      <c r="O49" s="5">
        <f>_xlfn.XLOOKUP(M49&amp;"-"&amp;N49,'Djøf Finance Workers'!D:D,'Djøf Finance Workers'!C:C,0,1)</f>
        <v>8276</v>
      </c>
      <c r="P49" s="5">
        <f>_xlfn.XLOOKUP(M49&amp;"-"&amp;N49,'Djøf Finance Hoppers'!D:D,'Djøf Finance Hoppers'!C:C,0,1)</f>
        <v>2658</v>
      </c>
      <c r="Q49" s="16">
        <f t="shared" si="1"/>
        <v>0.32116964717254715</v>
      </c>
    </row>
    <row r="50" spans="2:17" x14ac:dyDescent="0.35">
      <c r="B50" s="5">
        <v>72</v>
      </c>
      <c r="C50" s="5" t="str">
        <f t="shared" si="5"/>
        <v>65+ år</v>
      </c>
      <c r="D50" s="16">
        <f t="shared" si="4"/>
        <v>0.11691873000664299</v>
      </c>
      <c r="E50" s="5" t="str">
        <f ca="1">IF(OR(JobHopping[[#This Row],[Age]]=25,JobHopping[[#This Row],[Age]]&gt;69),"N",IF(AND(E48="N",E49="N", RAND()&lt;=D50), "Y", "N"))</f>
        <v>N</v>
      </c>
      <c r="F50" s="5" t="s">
        <v>0</v>
      </c>
      <c r="G50" s="5" t="str">
        <f>IF(JobHopping[[#This Row],[Age]]&lt;40,"",JobHopping[[#This Row],[SwitchP1Static]])</f>
        <v>N</v>
      </c>
      <c r="M50" s="5">
        <v>2018</v>
      </c>
      <c r="N50" s="5" t="s">
        <v>18</v>
      </c>
      <c r="O50" s="5">
        <f>_xlfn.XLOOKUP(M50&amp;"-"&amp;N50,'Djøf Finance Workers'!D:D,'Djøf Finance Workers'!C:C,0,1)</f>
        <v>9245</v>
      </c>
      <c r="P50" s="5">
        <f>_xlfn.XLOOKUP(M50&amp;"-"&amp;N50,'Djøf Finance Hoppers'!D:D,'Djøf Finance Hoppers'!C:C,0,1)</f>
        <v>2333</v>
      </c>
      <c r="Q50" s="16">
        <f t="shared" si="1"/>
        <v>0.25235262303948081</v>
      </c>
    </row>
    <row r="51" spans="2:17" x14ac:dyDescent="0.35">
      <c r="B51" s="5">
        <v>73</v>
      </c>
      <c r="C51" s="5" t="str">
        <f t="shared" si="5"/>
        <v>65+ år</v>
      </c>
      <c r="D51" s="16">
        <f t="shared" si="4"/>
        <v>0.11691873000664299</v>
      </c>
      <c r="E51" s="5" t="str">
        <f ca="1">IF(OR(JobHopping[[#This Row],[Age]]=25,JobHopping[[#This Row],[Age]]&gt;69),"N",IF(AND(E49="N",E50="N", RAND()&lt;=D51), "Y", "N"))</f>
        <v>N</v>
      </c>
      <c r="F51" s="5" t="s">
        <v>0</v>
      </c>
      <c r="G51" s="5" t="str">
        <f>IF(JobHopping[[#This Row],[Age]]&lt;40,"",JobHopping[[#This Row],[SwitchP1Static]])</f>
        <v>N</v>
      </c>
      <c r="M51" s="5">
        <v>2018</v>
      </c>
      <c r="N51" s="5" t="s">
        <v>19</v>
      </c>
      <c r="O51" s="5">
        <f>_xlfn.XLOOKUP(M51&amp;"-"&amp;N51,'Djøf Finance Workers'!D:D,'Djøf Finance Workers'!C:C,0,1)</f>
        <v>9937</v>
      </c>
      <c r="P51" s="5">
        <f>_xlfn.XLOOKUP(M51&amp;"-"&amp;N51,'Djøf Finance Hoppers'!D:D,'Djøf Finance Hoppers'!C:C,0,1)</f>
        <v>2068</v>
      </c>
      <c r="Q51" s="16">
        <f t="shared" si="1"/>
        <v>0.2081110999295562</v>
      </c>
    </row>
    <row r="52" spans="2:17" x14ac:dyDescent="0.35">
      <c r="B52" s="5">
        <v>74</v>
      </c>
      <c r="C52" s="5" t="str">
        <f t="shared" si="5"/>
        <v>65+ år</v>
      </c>
      <c r="D52" s="16">
        <f t="shared" si="4"/>
        <v>0.11691873000664299</v>
      </c>
      <c r="E52" s="5" t="str">
        <f ca="1">IF(OR(JobHopping[[#This Row],[Age]]=25,JobHopping[[#This Row],[Age]]&gt;69),"N",IF(AND(E50="N",E51="N", RAND()&lt;=D52), "Y", "N"))</f>
        <v>N</v>
      </c>
      <c r="F52" s="5" t="s">
        <v>0</v>
      </c>
      <c r="G52" s="5" t="str">
        <f>IF(JobHopping[[#This Row],[Age]]&lt;40,"",JobHopping[[#This Row],[SwitchP1Static]])</f>
        <v>N</v>
      </c>
      <c r="M52" s="5">
        <v>2018</v>
      </c>
      <c r="N52" s="5" t="s">
        <v>20</v>
      </c>
      <c r="O52" s="5">
        <f>_xlfn.XLOOKUP(M52&amp;"-"&amp;N52,'Djøf Finance Workers'!D:D,'Djøf Finance Workers'!C:C,0,1)</f>
        <v>9488</v>
      </c>
      <c r="P52" s="5">
        <f>_xlfn.XLOOKUP(M52&amp;"-"&amp;N52,'Djøf Finance Hoppers'!D:D,'Djøf Finance Hoppers'!C:C,0,1)</f>
        <v>1770</v>
      </c>
      <c r="Q52" s="16">
        <f t="shared" si="1"/>
        <v>0.18655143338954469</v>
      </c>
    </row>
    <row r="53" spans="2:17" x14ac:dyDescent="0.35">
      <c r="B53" s="5">
        <v>75</v>
      </c>
      <c r="C53" s="5" t="str">
        <f t="shared" si="5"/>
        <v>65+ år</v>
      </c>
      <c r="D53" s="16">
        <f t="shared" si="4"/>
        <v>0.11691873000664299</v>
      </c>
      <c r="E53" s="5" t="str">
        <f ca="1">IF(OR(JobHopping[[#This Row],[Age]]=25,JobHopping[[#This Row],[Age]]&gt;69),"N",IF(AND(E51="N",E52="N", RAND()&lt;=D53), "Y", "N"))</f>
        <v>N</v>
      </c>
      <c r="F53" s="5" t="s">
        <v>0</v>
      </c>
      <c r="G53" s="5" t="str">
        <f>IF(JobHopping[[#This Row],[Age]]&lt;40,"",JobHopping[[#This Row],[SwitchP1Static]])</f>
        <v>N</v>
      </c>
      <c r="M53" s="5">
        <v>2018</v>
      </c>
      <c r="N53" s="5" t="s">
        <v>21</v>
      </c>
      <c r="O53" s="5">
        <f>_xlfn.XLOOKUP(M53&amp;"-"&amp;N53,'Djøf Finance Workers'!D:D,'Djøf Finance Workers'!C:C,0,1)</f>
        <v>12171</v>
      </c>
      <c r="P53" s="5">
        <f>_xlfn.XLOOKUP(M53&amp;"-"&amp;N53,'Djøf Finance Hoppers'!D:D,'Djøf Finance Hoppers'!C:C,0,1)</f>
        <v>2055</v>
      </c>
      <c r="Q53" s="16">
        <f t="shared" si="1"/>
        <v>0.16884397337934434</v>
      </c>
    </row>
    <row r="54" spans="2:17" x14ac:dyDescent="0.35">
      <c r="B54" s="5">
        <v>76</v>
      </c>
      <c r="C54" s="5" t="str">
        <f t="shared" si="5"/>
        <v>65+ år</v>
      </c>
      <c r="D54" s="16">
        <f t="shared" si="4"/>
        <v>0.11691873000664299</v>
      </c>
      <c r="E54" s="5" t="str">
        <f ca="1">IF(OR(JobHopping[[#This Row],[Age]]=25,JobHopping[[#This Row],[Age]]&gt;69),"N",IF(AND(E52="N",E53="N", RAND()&lt;=D54), "Y", "N"))</f>
        <v>N</v>
      </c>
      <c r="F54" s="5" t="s">
        <v>0</v>
      </c>
      <c r="G54" s="5" t="str">
        <f>IF(JobHopping[[#This Row],[Age]]&lt;40,"",JobHopping[[#This Row],[SwitchP1Static]])</f>
        <v>N</v>
      </c>
      <c r="M54" s="5">
        <v>2018</v>
      </c>
      <c r="N54" s="5" t="s">
        <v>22</v>
      </c>
      <c r="O54" s="5">
        <f>_xlfn.XLOOKUP(M54&amp;"-"&amp;N54,'Djøf Finance Workers'!D:D,'Djøf Finance Workers'!C:C,0,1)</f>
        <v>9537</v>
      </c>
      <c r="P54" s="5">
        <f>_xlfn.XLOOKUP(M54&amp;"-"&amp;N54,'Djøf Finance Hoppers'!D:D,'Djøf Finance Hoppers'!C:C,0,1)</f>
        <v>1415</v>
      </c>
      <c r="Q54" s="16">
        <f t="shared" si="1"/>
        <v>0.14836950823109993</v>
      </c>
    </row>
    <row r="55" spans="2:17" x14ac:dyDescent="0.35">
      <c r="B55" s="5">
        <v>77</v>
      </c>
      <c r="C55" s="5" t="str">
        <f t="shared" ref="C55:C69" si="6">IF(B55&lt;30, "25-29 år", IF(B55&lt;35, "30-34 år", IF(B55&lt;40, "35-39 år", IF(B55&lt;45, "40-44 år", IF(B55&lt;50, "45-49 år", IF(B55&lt;55, "50-54 år", IF(B55&lt;60, "55-59 år", IF(B55&lt;65, "60-64 år", "65+ år"))))))))</f>
        <v>65+ år</v>
      </c>
      <c r="D55" s="16">
        <f t="shared" si="4"/>
        <v>0.11691873000664299</v>
      </c>
      <c r="E55" s="5" t="str">
        <f ca="1">IF(OR(JobHopping[[#This Row],[Age]]=25,JobHopping[[#This Row],[Age]]&gt;69),"N",IF(AND(E53="N",E54="N", RAND()&lt;=D55), "Y", "N"))</f>
        <v>N</v>
      </c>
      <c r="F55" s="5" t="s">
        <v>0</v>
      </c>
      <c r="G55" s="5" t="str">
        <f>IF(JobHopping[[#This Row],[Age]]&lt;40,"",JobHopping[[#This Row],[SwitchP1Static]])</f>
        <v>N</v>
      </c>
      <c r="M55" s="5">
        <v>2018</v>
      </c>
      <c r="N55" s="5" t="s">
        <v>23</v>
      </c>
      <c r="O55" s="5">
        <f>_xlfn.XLOOKUP(M55&amp;"-"&amp;N55,'Djøf Finance Workers'!D:D,'Djøf Finance Workers'!C:C,0,1)</f>
        <v>5638</v>
      </c>
      <c r="P55" s="5">
        <f>_xlfn.XLOOKUP(M55&amp;"-"&amp;N55,'Djøf Finance Hoppers'!D:D,'Djøf Finance Hoppers'!C:C,0,1)</f>
        <v>681</v>
      </c>
      <c r="Q55" s="16">
        <f t="shared" si="1"/>
        <v>0.12078751330258958</v>
      </c>
    </row>
    <row r="56" spans="2:17" x14ac:dyDescent="0.35">
      <c r="B56" s="5">
        <v>78</v>
      </c>
      <c r="C56" s="5" t="str">
        <f t="shared" si="6"/>
        <v>65+ år</v>
      </c>
      <c r="D56" s="16">
        <f t="shared" si="4"/>
        <v>0.11691873000664299</v>
      </c>
      <c r="E56" s="5" t="str">
        <f ca="1">IF(OR(JobHopping[[#This Row],[Age]]=25,JobHopping[[#This Row],[Age]]&gt;69),"N",IF(AND(E54="N",E55="N", RAND()&lt;=D56), "Y", "N"))</f>
        <v>N</v>
      </c>
      <c r="F56" s="5" t="s">
        <v>0</v>
      </c>
      <c r="G56" s="5" t="str">
        <f>IF(JobHopping[[#This Row],[Age]]&lt;40,"",JobHopping[[#This Row],[SwitchP1Static]])</f>
        <v>N</v>
      </c>
      <c r="M56" s="5">
        <v>2018</v>
      </c>
      <c r="N56" s="5" t="s">
        <v>24</v>
      </c>
      <c r="O56" s="5">
        <f>_xlfn.XLOOKUP(M56&amp;"-"&amp;N56,'Djøf Finance Workers'!D:D,'Djøf Finance Workers'!C:C,0,1)</f>
        <v>1897</v>
      </c>
      <c r="P56" s="5">
        <f>_xlfn.XLOOKUP(M56&amp;"-"&amp;N56,'Djøf Finance Hoppers'!D:D,'Djøf Finance Hoppers'!C:C,0,1)</f>
        <v>174</v>
      </c>
      <c r="Q56" s="16">
        <f t="shared" si="1"/>
        <v>9.1723774380600948E-2</v>
      </c>
    </row>
    <row r="57" spans="2:17" x14ac:dyDescent="0.35">
      <c r="B57" s="5">
        <v>79</v>
      </c>
      <c r="C57" s="5" t="str">
        <f t="shared" si="6"/>
        <v>65+ år</v>
      </c>
      <c r="D57" s="16">
        <f t="shared" si="4"/>
        <v>0.11691873000664299</v>
      </c>
      <c r="E57" s="5" t="str">
        <f ca="1">IF(OR(JobHopping[[#This Row],[Age]]=25,JobHopping[[#This Row],[Age]]&gt;69),"N",IF(AND(E55="N",E56="N", RAND()&lt;=D57), "Y", "N"))</f>
        <v>N</v>
      </c>
      <c r="F57" s="5" t="s">
        <v>0</v>
      </c>
      <c r="G57" s="5" t="str">
        <f>IF(JobHopping[[#This Row],[Age]]&lt;40,"",JobHopping[[#This Row],[SwitchP1Static]])</f>
        <v>N</v>
      </c>
      <c r="M57" s="5">
        <v>2019</v>
      </c>
      <c r="N57" s="5" t="s">
        <v>16</v>
      </c>
      <c r="O57" s="5">
        <f>_xlfn.XLOOKUP(M57&amp;"-"&amp;N57,'Djøf Finance Workers'!D:D,'Djøf Finance Workers'!C:C,0,1)</f>
        <v>6883</v>
      </c>
      <c r="P57" s="5">
        <f>_xlfn.XLOOKUP(M57&amp;"-"&amp;N57,'Djøf Finance Hoppers'!D:D,'Djøf Finance Hoppers'!C:C,0,1)</f>
        <v>3477</v>
      </c>
      <c r="Q57" s="16">
        <f t="shared" si="1"/>
        <v>0.50515763475228825</v>
      </c>
    </row>
    <row r="58" spans="2:17" x14ac:dyDescent="0.35">
      <c r="B58" s="5">
        <v>80</v>
      </c>
      <c r="C58" s="5" t="str">
        <f t="shared" si="6"/>
        <v>65+ år</v>
      </c>
      <c r="D58" s="16">
        <f t="shared" si="4"/>
        <v>0.11691873000664299</v>
      </c>
      <c r="E58" s="5" t="str">
        <f ca="1">IF(OR(JobHopping[[#This Row],[Age]]=25,JobHopping[[#This Row],[Age]]&gt;69),"N",IF(AND(E56="N",E57="N", RAND()&lt;=D58), "Y", "N"))</f>
        <v>N</v>
      </c>
      <c r="F58" s="5" t="s">
        <v>0</v>
      </c>
      <c r="G58" s="5" t="str">
        <f>IF(JobHopping[[#This Row],[Age]]&lt;40,"",JobHopping[[#This Row],[SwitchP1Static]])</f>
        <v>N</v>
      </c>
      <c r="M58" s="5">
        <v>2019</v>
      </c>
      <c r="N58" s="5" t="s">
        <v>17</v>
      </c>
      <c r="O58" s="5">
        <f>_xlfn.XLOOKUP(M58&amp;"-"&amp;N58,'Djøf Finance Workers'!D:D,'Djøf Finance Workers'!C:C,0,1)</f>
        <v>8461</v>
      </c>
      <c r="P58" s="5">
        <f>_xlfn.XLOOKUP(M58&amp;"-"&amp;N58,'Djøf Finance Hoppers'!D:D,'Djøf Finance Hoppers'!C:C,0,1)</f>
        <v>2839</v>
      </c>
      <c r="Q58" s="16">
        <f t="shared" si="1"/>
        <v>0.33553953433400308</v>
      </c>
    </row>
    <row r="59" spans="2:17" x14ac:dyDescent="0.35">
      <c r="B59" s="5">
        <v>81</v>
      </c>
      <c r="C59" s="5" t="str">
        <f t="shared" si="6"/>
        <v>65+ år</v>
      </c>
      <c r="D59" s="16">
        <f t="shared" si="4"/>
        <v>0.11691873000664299</v>
      </c>
      <c r="E59" s="5" t="str">
        <f ca="1">IF(OR(JobHopping[[#This Row],[Age]]=25,JobHopping[[#This Row],[Age]]&gt;69),"N",IF(AND(E57="N",E58="N", RAND()&lt;=D59), "Y", "N"))</f>
        <v>N</v>
      </c>
      <c r="F59" s="5" t="s">
        <v>0</v>
      </c>
      <c r="G59" s="5" t="str">
        <f>IF(JobHopping[[#This Row],[Age]]&lt;40,"",JobHopping[[#This Row],[SwitchP1Static]])</f>
        <v>N</v>
      </c>
      <c r="M59" s="5">
        <v>2019</v>
      </c>
      <c r="N59" s="5" t="s">
        <v>18</v>
      </c>
      <c r="O59" s="5">
        <f>_xlfn.XLOOKUP(M59&amp;"-"&amp;N59,'Djøf Finance Workers'!D:D,'Djøf Finance Workers'!C:C,0,1)</f>
        <v>9057</v>
      </c>
      <c r="P59" s="5">
        <f>_xlfn.XLOOKUP(M59&amp;"-"&amp;N59,'Djøf Finance Hoppers'!D:D,'Djøf Finance Hoppers'!C:C,0,1)</f>
        <v>2298</v>
      </c>
      <c r="Q59" s="16">
        <f t="shared" si="1"/>
        <v>0.25372639947002318</v>
      </c>
    </row>
    <row r="60" spans="2:17" x14ac:dyDescent="0.35">
      <c r="B60" s="5">
        <v>82</v>
      </c>
      <c r="C60" s="5" t="str">
        <f t="shared" si="6"/>
        <v>65+ år</v>
      </c>
      <c r="D60" s="16">
        <f t="shared" si="4"/>
        <v>0.11691873000664299</v>
      </c>
      <c r="E60" s="5" t="str">
        <f ca="1">IF(OR(JobHopping[[#This Row],[Age]]=25,JobHopping[[#This Row],[Age]]&gt;69),"N",IF(AND(E58="N",E59="N", RAND()&lt;=D60), "Y", "N"))</f>
        <v>N</v>
      </c>
      <c r="F60" s="5" t="s">
        <v>0</v>
      </c>
      <c r="G60" s="5" t="str">
        <f>IF(JobHopping[[#This Row],[Age]]&lt;40,"",JobHopping[[#This Row],[SwitchP1Static]])</f>
        <v>N</v>
      </c>
      <c r="M60" s="5">
        <v>2019</v>
      </c>
      <c r="N60" s="5" t="s">
        <v>19</v>
      </c>
      <c r="O60" s="5">
        <f>_xlfn.XLOOKUP(M60&amp;"-"&amp;N60,'Djøf Finance Workers'!D:D,'Djøf Finance Workers'!C:C,0,1)</f>
        <v>10158</v>
      </c>
      <c r="P60" s="5">
        <f>_xlfn.XLOOKUP(M60&amp;"-"&amp;N60,'Djøf Finance Hoppers'!D:D,'Djøf Finance Hoppers'!C:C,0,1)</f>
        <v>2100</v>
      </c>
      <c r="Q60" s="16">
        <f t="shared" si="1"/>
        <v>0.2067336089781453</v>
      </c>
    </row>
    <row r="61" spans="2:17" x14ac:dyDescent="0.35">
      <c r="B61" s="5">
        <v>83</v>
      </c>
      <c r="C61" s="5" t="str">
        <f t="shared" si="6"/>
        <v>65+ år</v>
      </c>
      <c r="D61" s="16">
        <f t="shared" si="4"/>
        <v>0.11691873000664299</v>
      </c>
      <c r="E61" s="5" t="str">
        <f ca="1">IF(OR(JobHopping[[#This Row],[Age]]=25,JobHopping[[#This Row],[Age]]&gt;69),"N",IF(AND(E59="N",E60="N", RAND()&lt;=D61), "Y", "N"))</f>
        <v>N</v>
      </c>
      <c r="F61" s="5" t="s">
        <v>0</v>
      </c>
      <c r="G61" s="5" t="str">
        <f>IF(JobHopping[[#This Row],[Age]]&lt;40,"",JobHopping[[#This Row],[SwitchP1Static]])</f>
        <v>N</v>
      </c>
      <c r="M61" s="5">
        <v>2019</v>
      </c>
      <c r="N61" s="5" t="s">
        <v>20</v>
      </c>
      <c r="O61" s="5">
        <f>_xlfn.XLOOKUP(M61&amp;"-"&amp;N61,'Djøf Finance Workers'!D:D,'Djøf Finance Workers'!C:C,0,1)</f>
        <v>9482</v>
      </c>
      <c r="P61" s="5">
        <f>_xlfn.XLOOKUP(M61&amp;"-"&amp;N61,'Djøf Finance Hoppers'!D:D,'Djøf Finance Hoppers'!C:C,0,1)</f>
        <v>1802</v>
      </c>
      <c r="Q61" s="16">
        <f t="shared" si="1"/>
        <v>0.19004429445264712</v>
      </c>
    </row>
    <row r="62" spans="2:17" x14ac:dyDescent="0.35">
      <c r="B62" s="5">
        <v>84</v>
      </c>
      <c r="C62" s="5" t="str">
        <f t="shared" si="6"/>
        <v>65+ år</v>
      </c>
      <c r="D62" s="16">
        <f t="shared" si="4"/>
        <v>0.11691873000664299</v>
      </c>
      <c r="E62" s="5" t="str">
        <f ca="1">IF(OR(JobHopping[[#This Row],[Age]]=25,JobHopping[[#This Row],[Age]]&gt;69),"N",IF(AND(E60="N",E61="N", RAND()&lt;=D62), "Y", "N"))</f>
        <v>N</v>
      </c>
      <c r="F62" s="5" t="s">
        <v>0</v>
      </c>
      <c r="G62" s="5" t="str">
        <f>IF(JobHopping[[#This Row],[Age]]&lt;40,"",JobHopping[[#This Row],[SwitchP1Static]])</f>
        <v>N</v>
      </c>
      <c r="M62" s="5">
        <v>2019</v>
      </c>
      <c r="N62" s="5" t="s">
        <v>21</v>
      </c>
      <c r="O62" s="5">
        <f>_xlfn.XLOOKUP(M62&amp;"-"&amp;N62,'Djøf Finance Workers'!D:D,'Djøf Finance Workers'!C:C,0,1)</f>
        <v>11866</v>
      </c>
      <c r="P62" s="5">
        <f>_xlfn.XLOOKUP(M62&amp;"-"&amp;N62,'Djøf Finance Hoppers'!D:D,'Djøf Finance Hoppers'!C:C,0,1)</f>
        <v>2054</v>
      </c>
      <c r="Q62" s="16">
        <f t="shared" si="1"/>
        <v>0.1730996123377718</v>
      </c>
    </row>
    <row r="63" spans="2:17" x14ac:dyDescent="0.35">
      <c r="B63" s="5">
        <v>85</v>
      </c>
      <c r="C63" s="5" t="str">
        <f t="shared" si="6"/>
        <v>65+ år</v>
      </c>
      <c r="D63" s="16">
        <f t="shared" si="4"/>
        <v>0.11691873000664299</v>
      </c>
      <c r="E63" s="5" t="str">
        <f ca="1">IF(OR(JobHopping[[#This Row],[Age]]=25,JobHopping[[#This Row],[Age]]&gt;69),"N",IF(AND(E61="N",E62="N", RAND()&lt;=D63), "Y", "N"))</f>
        <v>N</v>
      </c>
      <c r="F63" s="5" t="s">
        <v>0</v>
      </c>
      <c r="G63" s="5" t="str">
        <f>IF(JobHopping[[#This Row],[Age]]&lt;40,"",JobHopping[[#This Row],[SwitchP1Static]])</f>
        <v>N</v>
      </c>
      <c r="M63" s="5">
        <v>2019</v>
      </c>
      <c r="N63" s="5" t="s">
        <v>22</v>
      </c>
      <c r="O63" s="5">
        <f>_xlfn.XLOOKUP(M63&amp;"-"&amp;N63,'Djøf Finance Workers'!D:D,'Djøf Finance Workers'!C:C,0,1)</f>
        <v>9811</v>
      </c>
      <c r="P63" s="5">
        <f>_xlfn.XLOOKUP(M63&amp;"-"&amp;N63,'Djøf Finance Hoppers'!D:D,'Djøf Finance Hoppers'!C:C,0,1)</f>
        <v>1383</v>
      </c>
      <c r="Q63" s="16">
        <f t="shared" si="1"/>
        <v>0.14096422383039445</v>
      </c>
    </row>
    <row r="64" spans="2:17" x14ac:dyDescent="0.35">
      <c r="B64" s="5">
        <v>86</v>
      </c>
      <c r="C64" s="5" t="str">
        <f t="shared" si="6"/>
        <v>65+ år</v>
      </c>
      <c r="D64" s="16">
        <f t="shared" si="4"/>
        <v>0.11691873000664299</v>
      </c>
      <c r="E64" s="5" t="str">
        <f ca="1">IF(OR(JobHopping[[#This Row],[Age]]=25,JobHopping[[#This Row],[Age]]&gt;69),"N",IF(AND(E62="N",E63="N", RAND()&lt;=D64), "Y", "N"))</f>
        <v>N</v>
      </c>
      <c r="F64" s="5" t="s">
        <v>0</v>
      </c>
      <c r="G64" s="5" t="str">
        <f>IF(JobHopping[[#This Row],[Age]]&lt;40,"",JobHopping[[#This Row],[SwitchP1Static]])</f>
        <v>N</v>
      </c>
      <c r="M64" s="5">
        <v>2019</v>
      </c>
      <c r="N64" s="5" t="s">
        <v>23</v>
      </c>
      <c r="O64" s="5">
        <f>_xlfn.XLOOKUP(M64&amp;"-"&amp;N64,'Djøf Finance Workers'!D:D,'Djøf Finance Workers'!C:C,0,1)</f>
        <v>5907</v>
      </c>
      <c r="P64" s="5">
        <f>_xlfn.XLOOKUP(M64&amp;"-"&amp;N64,'Djøf Finance Hoppers'!D:D,'Djøf Finance Hoppers'!C:C,0,1)</f>
        <v>791</v>
      </c>
      <c r="Q64" s="16">
        <f t="shared" si="1"/>
        <v>0.13390892161841883</v>
      </c>
    </row>
    <row r="65" spans="2:17" x14ac:dyDescent="0.35">
      <c r="B65" s="5">
        <v>87</v>
      </c>
      <c r="C65" s="5" t="str">
        <f t="shared" si="6"/>
        <v>65+ år</v>
      </c>
      <c r="D65" s="16">
        <f t="shared" si="4"/>
        <v>0.11691873000664299</v>
      </c>
      <c r="E65" s="5" t="str">
        <f ca="1">IF(OR(JobHopping[[#This Row],[Age]]=25,JobHopping[[#This Row],[Age]]&gt;69),"N",IF(AND(E63="N",E64="N", RAND()&lt;=D65), "Y", "N"))</f>
        <v>N</v>
      </c>
      <c r="F65" s="5" t="s">
        <v>0</v>
      </c>
      <c r="G65" s="5" t="str">
        <f>IF(JobHopping[[#This Row],[Age]]&lt;40,"",JobHopping[[#This Row],[SwitchP1Static]])</f>
        <v>N</v>
      </c>
      <c r="M65" s="5">
        <v>2019</v>
      </c>
      <c r="N65" s="5" t="s">
        <v>24</v>
      </c>
      <c r="O65" s="5">
        <f>_xlfn.XLOOKUP(M65&amp;"-"&amp;N65,'Djøf Finance Workers'!D:D,'Djøf Finance Workers'!C:C,0,1)</f>
        <v>2030</v>
      </c>
      <c r="P65" s="5">
        <f>_xlfn.XLOOKUP(M65&amp;"-"&amp;N65,'Djøf Finance Hoppers'!D:D,'Djøf Finance Hoppers'!C:C,0,1)</f>
        <v>188</v>
      </c>
      <c r="Q65" s="16">
        <f t="shared" si="1"/>
        <v>9.2610837438423646E-2</v>
      </c>
    </row>
    <row r="66" spans="2:17" x14ac:dyDescent="0.35">
      <c r="B66" s="5">
        <v>88</v>
      </c>
      <c r="C66" s="5" t="str">
        <f t="shared" si="6"/>
        <v>65+ år</v>
      </c>
      <c r="D66" s="16">
        <f t="shared" si="4"/>
        <v>0.11691873000664299</v>
      </c>
      <c r="E66" s="5" t="str">
        <f ca="1">IF(OR(JobHopping[[#This Row],[Age]]=25,JobHopping[[#This Row],[Age]]&gt;69),"N",IF(AND(E64="N",E65="N", RAND()&lt;=D66), "Y", "N"))</f>
        <v>N</v>
      </c>
      <c r="F66" s="5" t="s">
        <v>0</v>
      </c>
      <c r="G66" s="5" t="str">
        <f>IF(JobHopping[[#This Row],[Age]]&lt;40,"",JobHopping[[#This Row],[SwitchP1Static]])</f>
        <v>N</v>
      </c>
      <c r="M66" s="5">
        <v>2020</v>
      </c>
      <c r="N66" s="5" t="s">
        <v>16</v>
      </c>
      <c r="O66" s="5">
        <f>_xlfn.XLOOKUP(M66&amp;"-"&amp;N66,'Djøf Finance Workers'!D:D,'Djøf Finance Workers'!C:C,0,1)</f>
        <v>7337</v>
      </c>
      <c r="P66" s="5">
        <f>_xlfn.XLOOKUP(M66&amp;"-"&amp;N66,'Djøf Finance Hoppers'!D:D,'Djøf Finance Hoppers'!C:C,0,1)</f>
        <v>3028</v>
      </c>
      <c r="Q66" s="16">
        <f t="shared" si="1"/>
        <v>0.41270273953932124</v>
      </c>
    </row>
    <row r="67" spans="2:17" x14ac:dyDescent="0.35">
      <c r="B67" s="5">
        <v>89</v>
      </c>
      <c r="C67" s="5" t="str">
        <f t="shared" si="6"/>
        <v>65+ år</v>
      </c>
      <c r="D67" s="16">
        <f t="shared" ref="D67:D78" si="7">_xlfn.XLOOKUP(C67,S:S,T:T)</f>
        <v>0.11691873000664299</v>
      </c>
      <c r="E67" s="5" t="str">
        <f ca="1">IF(OR(JobHopping[[#This Row],[Age]]=25,JobHopping[[#This Row],[Age]]&gt;69),"N",IF(AND(E65="N",E66="N", RAND()&lt;=D67), "Y", "N"))</f>
        <v>N</v>
      </c>
      <c r="F67" s="5" t="s">
        <v>0</v>
      </c>
      <c r="G67" s="5" t="str">
        <f>IF(JobHopping[[#This Row],[Age]]&lt;40,"",JobHopping[[#This Row],[SwitchP1Static]])</f>
        <v>N</v>
      </c>
      <c r="M67" s="5">
        <v>2020</v>
      </c>
      <c r="N67" s="5" t="s">
        <v>17</v>
      </c>
      <c r="O67" s="5">
        <f>_xlfn.XLOOKUP(M67&amp;"-"&amp;N67,'Djøf Finance Workers'!D:D,'Djøf Finance Workers'!C:C,0,1)</f>
        <v>8658</v>
      </c>
      <c r="P67" s="5">
        <f>_xlfn.XLOOKUP(M67&amp;"-"&amp;N67,'Djøf Finance Hoppers'!D:D,'Djøf Finance Hoppers'!C:C,0,1)</f>
        <v>2339</v>
      </c>
      <c r="Q67" s="16">
        <f t="shared" ref="Q67:Q100" si="8">IF(O67&gt;0, P67/O67, 0)</f>
        <v>0.27015477015477013</v>
      </c>
    </row>
    <row r="68" spans="2:17" x14ac:dyDescent="0.35">
      <c r="B68" s="5">
        <v>90</v>
      </c>
      <c r="C68" s="5" t="str">
        <f t="shared" si="6"/>
        <v>65+ år</v>
      </c>
      <c r="D68" s="16">
        <f t="shared" si="7"/>
        <v>0.11691873000664299</v>
      </c>
      <c r="E68" s="5" t="str">
        <f ca="1">IF(OR(JobHopping[[#This Row],[Age]]=25,JobHopping[[#This Row],[Age]]&gt;69),"N",IF(AND(E66="N",E67="N", RAND()&lt;=D68), "Y", "N"))</f>
        <v>N</v>
      </c>
      <c r="F68" s="5" t="s">
        <v>0</v>
      </c>
      <c r="G68" s="5" t="str">
        <f>IF(JobHopping[[#This Row],[Age]]&lt;40,"",JobHopping[[#This Row],[SwitchP1Static]])</f>
        <v>N</v>
      </c>
      <c r="M68" s="5">
        <v>2020</v>
      </c>
      <c r="N68" s="5" t="s">
        <v>18</v>
      </c>
      <c r="O68" s="5">
        <f>_xlfn.XLOOKUP(M68&amp;"-"&amp;N68,'Djøf Finance Workers'!D:D,'Djøf Finance Workers'!C:C,0,1)</f>
        <v>8798</v>
      </c>
      <c r="P68" s="5">
        <f>_xlfn.XLOOKUP(M68&amp;"-"&amp;N68,'Djøf Finance Hoppers'!D:D,'Djøf Finance Hoppers'!C:C,0,1)</f>
        <v>1929</v>
      </c>
      <c r="Q68" s="16">
        <f t="shared" si="8"/>
        <v>0.21925437599454423</v>
      </c>
    </row>
    <row r="69" spans="2:17" x14ac:dyDescent="0.35">
      <c r="B69" s="5">
        <v>91</v>
      </c>
      <c r="C69" s="5" t="str">
        <f t="shared" si="6"/>
        <v>65+ år</v>
      </c>
      <c r="D69" s="16">
        <f t="shared" si="7"/>
        <v>0.11691873000664299</v>
      </c>
      <c r="E69" s="5" t="str">
        <f ca="1">IF(OR(JobHopping[[#This Row],[Age]]=25,JobHopping[[#This Row],[Age]]&gt;69),"N",IF(AND(E67="N",E68="N", RAND()&lt;=D69), "Y", "N"))</f>
        <v>N</v>
      </c>
      <c r="F69" s="5" t="s">
        <v>0</v>
      </c>
      <c r="G69" s="5" t="str">
        <f>IF(JobHopping[[#This Row],[Age]]&lt;40,"",JobHopping[[#This Row],[SwitchP1Static]])</f>
        <v>N</v>
      </c>
      <c r="M69" s="5">
        <v>2020</v>
      </c>
      <c r="N69" s="5" t="s">
        <v>19</v>
      </c>
      <c r="O69" s="5">
        <f>_xlfn.XLOOKUP(M69&amp;"-"&amp;N69,'Djøf Finance Workers'!D:D,'Djøf Finance Workers'!C:C,0,1)</f>
        <v>10129</v>
      </c>
      <c r="P69" s="5">
        <f>_xlfn.XLOOKUP(M69&amp;"-"&amp;N69,'Djøf Finance Hoppers'!D:D,'Djøf Finance Hoppers'!C:C,0,1)</f>
        <v>1758</v>
      </c>
      <c r="Q69" s="16">
        <f t="shared" si="8"/>
        <v>0.17356106229637674</v>
      </c>
    </row>
    <row r="70" spans="2:17" x14ac:dyDescent="0.35">
      <c r="B70" s="5">
        <v>92</v>
      </c>
      <c r="C70" s="5" t="str">
        <f t="shared" ref="C70:C78" si="9">IF(B70&lt;30, "25-29 år", IF(B70&lt;35, "30-34 år", IF(B70&lt;40, "35-39 år", IF(B70&lt;45, "40-44 år", IF(B70&lt;50, "45-49 år", IF(B70&lt;55, "50-54 år", IF(B70&lt;60, "55-59 år", IF(B70&lt;65, "60-64 år", "65+ år"))))))))</f>
        <v>65+ år</v>
      </c>
      <c r="D70" s="16">
        <f t="shared" si="7"/>
        <v>0.11691873000664299</v>
      </c>
      <c r="E70" s="5" t="str">
        <f ca="1">IF(OR(JobHopping[[#This Row],[Age]]=25,JobHopping[[#This Row],[Age]]&gt;69),"N",IF(AND(E68="N",E69="N", RAND()&lt;=D70), "Y", "N"))</f>
        <v>N</v>
      </c>
      <c r="F70" s="5" t="s">
        <v>0</v>
      </c>
      <c r="G70" s="5" t="str">
        <f>IF(JobHopping[[#This Row],[Age]]&lt;40,"",JobHopping[[#This Row],[SwitchP1Static]])</f>
        <v>N</v>
      </c>
      <c r="M70" s="5">
        <v>2020</v>
      </c>
      <c r="N70" s="5" t="s">
        <v>20</v>
      </c>
      <c r="O70" s="5">
        <f>_xlfn.XLOOKUP(M70&amp;"-"&amp;N70,'Djøf Finance Workers'!D:D,'Djøf Finance Workers'!C:C,0,1)</f>
        <v>9740</v>
      </c>
      <c r="P70" s="5">
        <f>_xlfn.XLOOKUP(M70&amp;"-"&amp;N70,'Djøf Finance Hoppers'!D:D,'Djøf Finance Hoppers'!C:C,0,1)</f>
        <v>1654</v>
      </c>
      <c r="Q70" s="16">
        <f t="shared" si="8"/>
        <v>0.1698151950718686</v>
      </c>
    </row>
    <row r="71" spans="2:17" x14ac:dyDescent="0.35">
      <c r="B71" s="5">
        <v>93</v>
      </c>
      <c r="C71" s="5" t="str">
        <f t="shared" si="9"/>
        <v>65+ år</v>
      </c>
      <c r="D71" s="16">
        <f t="shared" si="7"/>
        <v>0.11691873000664299</v>
      </c>
      <c r="E71" s="5" t="str">
        <f ca="1">IF(OR(JobHopping[[#This Row],[Age]]=25,JobHopping[[#This Row],[Age]]&gt;69),"N",IF(AND(E69="N",E70="N", RAND()&lt;=D71), "Y", "N"))</f>
        <v>N</v>
      </c>
      <c r="F71" s="5" t="s">
        <v>0</v>
      </c>
      <c r="G71" s="5" t="str">
        <f>IF(JobHopping[[#This Row],[Age]]&lt;40,"",JobHopping[[#This Row],[SwitchP1Static]])</f>
        <v>N</v>
      </c>
      <c r="M71" s="5">
        <v>2020</v>
      </c>
      <c r="N71" s="5" t="s">
        <v>21</v>
      </c>
      <c r="O71" s="5">
        <f>_xlfn.XLOOKUP(M71&amp;"-"&amp;N71,'Djøf Finance Workers'!D:D,'Djøf Finance Workers'!C:C,0,1)</f>
        <v>11187</v>
      </c>
      <c r="P71" s="5">
        <f>_xlfn.XLOOKUP(M71&amp;"-"&amp;N71,'Djøf Finance Hoppers'!D:D,'Djøf Finance Hoppers'!C:C,0,1)</f>
        <v>1616</v>
      </c>
      <c r="Q71" s="16">
        <f t="shared" si="8"/>
        <v>0.14445338339143649</v>
      </c>
    </row>
    <row r="72" spans="2:17" x14ac:dyDescent="0.35">
      <c r="B72" s="5">
        <v>94</v>
      </c>
      <c r="C72" s="5" t="str">
        <f t="shared" si="9"/>
        <v>65+ år</v>
      </c>
      <c r="D72" s="16">
        <f t="shared" si="7"/>
        <v>0.11691873000664299</v>
      </c>
      <c r="E72" s="5" t="str">
        <f ca="1">IF(OR(JobHopping[[#This Row],[Age]]=25,JobHopping[[#This Row],[Age]]&gt;69),"N",IF(AND(E70="N",E71="N", RAND()&lt;=D72), "Y", "N"))</f>
        <v>N</v>
      </c>
      <c r="F72" s="5" t="s">
        <v>0</v>
      </c>
      <c r="G72" s="5" t="str">
        <f>IF(JobHopping[[#This Row],[Age]]&lt;40,"",JobHopping[[#This Row],[SwitchP1Static]])</f>
        <v>N</v>
      </c>
      <c r="M72" s="5">
        <v>2020</v>
      </c>
      <c r="N72" s="5" t="s">
        <v>22</v>
      </c>
      <c r="O72" s="5">
        <f>_xlfn.XLOOKUP(M72&amp;"-"&amp;N72,'Djøf Finance Workers'!D:D,'Djøf Finance Workers'!C:C,0,1)</f>
        <v>10215</v>
      </c>
      <c r="P72" s="5">
        <f>_xlfn.XLOOKUP(M72&amp;"-"&amp;N72,'Djøf Finance Hoppers'!D:D,'Djøf Finance Hoppers'!C:C,0,1)</f>
        <v>1279</v>
      </c>
      <c r="Q72" s="16">
        <f t="shared" si="8"/>
        <v>0.12520802741067058</v>
      </c>
    </row>
    <row r="73" spans="2:17" x14ac:dyDescent="0.35">
      <c r="B73" s="5">
        <v>95</v>
      </c>
      <c r="C73" s="5" t="str">
        <f t="shared" si="9"/>
        <v>65+ år</v>
      </c>
      <c r="D73" s="16">
        <f t="shared" si="7"/>
        <v>0.11691873000664299</v>
      </c>
      <c r="E73" s="5" t="str">
        <f ca="1">IF(OR(JobHopping[[#This Row],[Age]]=25,JobHopping[[#This Row],[Age]]&gt;69),"N",IF(AND(E71="N",E72="N", RAND()&lt;=D73), "Y", "N"))</f>
        <v>N</v>
      </c>
      <c r="F73" s="5" t="s">
        <v>0</v>
      </c>
      <c r="G73" s="5" t="str">
        <f>IF(JobHopping[[#This Row],[Age]]&lt;40,"",JobHopping[[#This Row],[SwitchP1Static]])</f>
        <v>N</v>
      </c>
      <c r="M73" s="5">
        <v>2020</v>
      </c>
      <c r="N73" s="5" t="s">
        <v>23</v>
      </c>
      <c r="O73" s="5">
        <f>_xlfn.XLOOKUP(M73&amp;"-"&amp;N73,'Djøf Finance Workers'!D:D,'Djøf Finance Workers'!C:C,0,1)</f>
        <v>6305</v>
      </c>
      <c r="P73" s="5">
        <f>_xlfn.XLOOKUP(M73&amp;"-"&amp;N73,'Djøf Finance Hoppers'!D:D,'Djøf Finance Hoppers'!C:C,0,1)</f>
        <v>623</v>
      </c>
      <c r="Q73" s="16">
        <f t="shared" si="8"/>
        <v>9.8810467882632827E-2</v>
      </c>
    </row>
    <row r="74" spans="2:17" x14ac:dyDescent="0.35">
      <c r="B74" s="5">
        <v>96</v>
      </c>
      <c r="C74" s="5" t="str">
        <f t="shared" si="9"/>
        <v>65+ år</v>
      </c>
      <c r="D74" s="16">
        <f t="shared" si="7"/>
        <v>0.11691873000664299</v>
      </c>
      <c r="E74" s="5" t="str">
        <f ca="1">IF(OR(JobHopping[[#This Row],[Age]]=25,JobHopping[[#This Row],[Age]]&gt;69),"N",IF(AND(E72="N",E73="N", RAND()&lt;=D74), "Y", "N"))</f>
        <v>N</v>
      </c>
      <c r="F74" s="5" t="s">
        <v>0</v>
      </c>
      <c r="G74" s="5" t="str">
        <f>IF(JobHopping[[#This Row],[Age]]&lt;40,"",JobHopping[[#This Row],[SwitchP1Static]])</f>
        <v>N</v>
      </c>
      <c r="M74" s="5">
        <v>2020</v>
      </c>
      <c r="N74" s="5" t="s">
        <v>24</v>
      </c>
      <c r="O74" s="5">
        <f>_xlfn.XLOOKUP(M74&amp;"-"&amp;N74,'Djøf Finance Workers'!D:D,'Djøf Finance Workers'!C:C,0,1)</f>
        <v>2231</v>
      </c>
      <c r="P74" s="5">
        <f>_xlfn.XLOOKUP(M74&amp;"-"&amp;N74,'Djøf Finance Hoppers'!D:D,'Djøf Finance Hoppers'!C:C,0,1)</f>
        <v>201</v>
      </c>
      <c r="Q74" s="16">
        <f t="shared" si="8"/>
        <v>9.0094128193635145E-2</v>
      </c>
    </row>
    <row r="75" spans="2:17" x14ac:dyDescent="0.35">
      <c r="B75" s="5">
        <v>97</v>
      </c>
      <c r="C75" s="5" t="str">
        <f t="shared" si="9"/>
        <v>65+ år</v>
      </c>
      <c r="D75" s="16">
        <f t="shared" si="7"/>
        <v>0.11691873000664299</v>
      </c>
      <c r="E75" s="5" t="str">
        <f ca="1">IF(OR(JobHopping[[#This Row],[Age]]=25,JobHopping[[#This Row],[Age]]&gt;69),"N",IF(AND(E73="N",E74="N", RAND()&lt;=D75), "Y", "N"))</f>
        <v>N</v>
      </c>
      <c r="F75" s="5" t="s">
        <v>0</v>
      </c>
      <c r="G75" s="5" t="str">
        <f>IF(JobHopping[[#This Row],[Age]]&lt;40,"",JobHopping[[#This Row],[SwitchP1Static]])</f>
        <v>N</v>
      </c>
      <c r="M75" s="5">
        <v>2021</v>
      </c>
      <c r="N75" s="5" t="s">
        <v>16</v>
      </c>
      <c r="O75" s="5">
        <f>_xlfn.XLOOKUP(M75&amp;"-"&amp;N75,'Djøf Finance Workers'!D:D,'Djøf Finance Workers'!C:C,0,1)</f>
        <v>7687</v>
      </c>
      <c r="P75" s="5">
        <f>_xlfn.XLOOKUP(M75&amp;"-"&amp;N75,'Djøf Finance Hoppers'!D:D,'Djøf Finance Hoppers'!C:C,0,1)</f>
        <v>3854</v>
      </c>
      <c r="Q75" s="16">
        <f t="shared" si="8"/>
        <v>0.50136594250032518</v>
      </c>
    </row>
    <row r="76" spans="2:17" x14ac:dyDescent="0.35">
      <c r="B76" s="5">
        <v>98</v>
      </c>
      <c r="C76" s="5" t="str">
        <f t="shared" si="9"/>
        <v>65+ år</v>
      </c>
      <c r="D76" s="16">
        <f t="shared" si="7"/>
        <v>0.11691873000664299</v>
      </c>
      <c r="E76" s="5" t="str">
        <f ca="1">IF(OR(JobHopping[[#This Row],[Age]]=25,JobHopping[[#This Row],[Age]]&gt;69),"N",IF(AND(E74="N",E75="N", RAND()&lt;=D76), "Y", "N"))</f>
        <v>N</v>
      </c>
      <c r="F76" s="5" t="s">
        <v>0</v>
      </c>
      <c r="G76" s="5" t="str">
        <f>IF(JobHopping[[#This Row],[Age]]&lt;40,"",JobHopping[[#This Row],[SwitchP1Static]])</f>
        <v>N</v>
      </c>
      <c r="M76" s="5">
        <v>2021</v>
      </c>
      <c r="N76" s="5" t="s">
        <v>17</v>
      </c>
      <c r="O76" s="5">
        <f>_xlfn.XLOOKUP(M76&amp;"-"&amp;N76,'Djøf Finance Workers'!D:D,'Djøf Finance Workers'!C:C,0,1)</f>
        <v>8844</v>
      </c>
      <c r="P76" s="5">
        <f>_xlfn.XLOOKUP(M76&amp;"-"&amp;N76,'Djøf Finance Hoppers'!D:D,'Djøf Finance Hoppers'!C:C,0,1)</f>
        <v>3059</v>
      </c>
      <c r="Q76" s="16">
        <f t="shared" si="8"/>
        <v>0.34588421528720037</v>
      </c>
    </row>
    <row r="77" spans="2:17" x14ac:dyDescent="0.35">
      <c r="B77" s="5">
        <v>99</v>
      </c>
      <c r="C77" s="5" t="str">
        <f t="shared" si="9"/>
        <v>65+ år</v>
      </c>
      <c r="D77" s="16">
        <f t="shared" si="7"/>
        <v>0.11691873000664299</v>
      </c>
      <c r="E77" s="5" t="str">
        <f ca="1">IF(OR(JobHopping[[#This Row],[Age]]=25,JobHopping[[#This Row],[Age]]&gt;69),"N",IF(AND(E75="N",E76="N", RAND()&lt;=D77), "Y", "N"))</f>
        <v>N</v>
      </c>
      <c r="F77" s="5" t="s">
        <v>0</v>
      </c>
      <c r="G77" s="5" t="str">
        <f>IF(JobHopping[[#This Row],[Age]]&lt;40,"",JobHopping[[#This Row],[SwitchP1Static]])</f>
        <v>N</v>
      </c>
      <c r="M77" s="5">
        <v>2021</v>
      </c>
      <c r="N77" s="5" t="s">
        <v>18</v>
      </c>
      <c r="O77" s="5">
        <f>_xlfn.XLOOKUP(M77&amp;"-"&amp;N77,'Djøf Finance Workers'!D:D,'Djøf Finance Workers'!C:C,0,1)</f>
        <v>8987</v>
      </c>
      <c r="P77" s="5">
        <f>_xlfn.XLOOKUP(M77&amp;"-"&amp;N77,'Djøf Finance Hoppers'!D:D,'Djøf Finance Hoppers'!C:C,0,1)</f>
        <v>2330</v>
      </c>
      <c r="Q77" s="16">
        <f t="shared" si="8"/>
        <v>0.25926338043841102</v>
      </c>
    </row>
    <row r="78" spans="2:17" x14ac:dyDescent="0.35">
      <c r="B78" s="5">
        <v>100</v>
      </c>
      <c r="C78" s="5" t="str">
        <f t="shared" si="9"/>
        <v>65+ år</v>
      </c>
      <c r="D78" s="16">
        <f t="shared" si="7"/>
        <v>0.11691873000664299</v>
      </c>
      <c r="E78" s="5" t="str">
        <f ca="1">IF(OR(JobHopping[[#This Row],[Age]]=25,JobHopping[[#This Row],[Age]]&gt;69),"N",IF(AND(E76="N",E77="N", RAND()&lt;=D78), "Y", "N"))</f>
        <v>N</v>
      </c>
      <c r="F78" s="5" t="s">
        <v>0</v>
      </c>
      <c r="G78" s="5" t="str">
        <f>IF(JobHopping[[#This Row],[Age]]&lt;40,"",JobHopping[[#This Row],[SwitchP1Static]])</f>
        <v>N</v>
      </c>
      <c r="M78" s="5">
        <v>2021</v>
      </c>
      <c r="N78" s="5" t="s">
        <v>19</v>
      </c>
      <c r="O78" s="5">
        <f>_xlfn.XLOOKUP(M78&amp;"-"&amp;N78,'Djøf Finance Workers'!D:D,'Djøf Finance Workers'!C:C,0,1)</f>
        <v>10002</v>
      </c>
      <c r="P78" s="5">
        <f>_xlfn.XLOOKUP(M78&amp;"-"&amp;N78,'Djøf Finance Hoppers'!D:D,'Djøf Finance Hoppers'!C:C,0,1)</f>
        <v>2220</v>
      </c>
      <c r="Q78" s="16">
        <f t="shared" si="8"/>
        <v>0.22195560887822435</v>
      </c>
    </row>
    <row r="79" spans="2:17" x14ac:dyDescent="0.35">
      <c r="M79" s="5">
        <v>2021</v>
      </c>
      <c r="N79" s="5" t="s">
        <v>20</v>
      </c>
      <c r="O79" s="5">
        <f>_xlfn.XLOOKUP(M79&amp;"-"&amp;N79,'Djøf Finance Workers'!D:D,'Djøf Finance Workers'!C:C,0,1)</f>
        <v>10036</v>
      </c>
      <c r="P79" s="5">
        <f>_xlfn.XLOOKUP(M79&amp;"-"&amp;N79,'Djøf Finance Hoppers'!D:D,'Djøf Finance Hoppers'!C:C,0,1)</f>
        <v>1980</v>
      </c>
      <c r="Q79" s="16">
        <f t="shared" si="8"/>
        <v>0.19728975687524911</v>
      </c>
    </row>
    <row r="80" spans="2:17" x14ac:dyDescent="0.35">
      <c r="M80" s="5">
        <v>2021</v>
      </c>
      <c r="N80" s="5" t="s">
        <v>21</v>
      </c>
      <c r="O80" s="5">
        <f>_xlfn.XLOOKUP(M80&amp;"-"&amp;N80,'Djøf Finance Workers'!D:D,'Djøf Finance Workers'!C:C,0,1)</f>
        <v>10467</v>
      </c>
      <c r="P80" s="5">
        <f>_xlfn.XLOOKUP(M80&amp;"-"&amp;N80,'Djøf Finance Hoppers'!D:D,'Djøf Finance Hoppers'!C:C,0,1)</f>
        <v>1810</v>
      </c>
      <c r="Q80" s="16">
        <f t="shared" si="8"/>
        <v>0.17292442915830705</v>
      </c>
    </row>
    <row r="81" spans="13:17" x14ac:dyDescent="0.35">
      <c r="M81" s="5">
        <v>2021</v>
      </c>
      <c r="N81" s="5" t="s">
        <v>22</v>
      </c>
      <c r="O81" s="5">
        <f>_xlfn.XLOOKUP(M81&amp;"-"&amp;N81,'Djøf Finance Workers'!D:D,'Djøf Finance Workers'!C:C,0,1)</f>
        <v>10749</v>
      </c>
      <c r="P81" s="5">
        <f>_xlfn.XLOOKUP(M81&amp;"-"&amp;N81,'Djøf Finance Hoppers'!D:D,'Djøf Finance Hoppers'!C:C,0,1)</f>
        <v>1631</v>
      </c>
      <c r="Q81" s="16">
        <f t="shared" si="8"/>
        <v>0.15173504512047634</v>
      </c>
    </row>
    <row r="82" spans="13:17" x14ac:dyDescent="0.35">
      <c r="M82" s="5">
        <v>2021</v>
      </c>
      <c r="N82" s="5" t="s">
        <v>23</v>
      </c>
      <c r="O82" s="5">
        <f>_xlfn.XLOOKUP(M82&amp;"-"&amp;N82,'Djøf Finance Workers'!D:D,'Djøf Finance Workers'!C:C,0,1)</f>
        <v>6688</v>
      </c>
      <c r="P82" s="5">
        <f>_xlfn.XLOOKUP(M82&amp;"-"&amp;N82,'Djøf Finance Hoppers'!D:D,'Djøf Finance Hoppers'!C:C,0,1)</f>
        <v>962</v>
      </c>
      <c r="Q82" s="16">
        <f t="shared" si="8"/>
        <v>0.1438397129186603</v>
      </c>
    </row>
    <row r="83" spans="13:17" x14ac:dyDescent="0.35">
      <c r="M83" s="5">
        <v>2021</v>
      </c>
      <c r="N83" s="5" t="s">
        <v>24</v>
      </c>
      <c r="O83" s="5">
        <f>_xlfn.XLOOKUP(M83&amp;"-"&amp;N83,'Djøf Finance Workers'!D:D,'Djøf Finance Workers'!C:C,0,1)</f>
        <v>2522</v>
      </c>
      <c r="P83" s="5">
        <f>_xlfn.XLOOKUP(M83&amp;"-"&amp;N83,'Djøf Finance Hoppers'!D:D,'Djøf Finance Hoppers'!C:C,0,1)</f>
        <v>216</v>
      </c>
      <c r="Q83" s="16">
        <f t="shared" si="8"/>
        <v>8.5646312450436163E-2</v>
      </c>
    </row>
    <row r="84" spans="13:17" x14ac:dyDescent="0.35">
      <c r="M84" s="5">
        <v>2022</v>
      </c>
      <c r="N84" s="5" t="s">
        <v>16</v>
      </c>
      <c r="O84" s="5">
        <f>_xlfn.XLOOKUP(M84&amp;"-"&amp;N84,'Djøf Finance Workers'!D:D,'Djøf Finance Workers'!C:C,0,1)</f>
        <v>8107</v>
      </c>
      <c r="P84" s="5">
        <f>_xlfn.XLOOKUP(M84&amp;"-"&amp;N84,'Djøf Finance Hoppers'!D:D,'Djøf Finance Hoppers'!C:C,0,1)</f>
        <v>3870</v>
      </c>
      <c r="Q84" s="16">
        <f t="shared" si="8"/>
        <v>0.4773652399161219</v>
      </c>
    </row>
    <row r="85" spans="13:17" x14ac:dyDescent="0.35">
      <c r="M85" s="5">
        <v>2022</v>
      </c>
      <c r="N85" s="5" t="s">
        <v>17</v>
      </c>
      <c r="O85" s="5">
        <f>_xlfn.XLOOKUP(M85&amp;"-"&amp;N85,'Djøf Finance Workers'!D:D,'Djøf Finance Workers'!C:C,0,1)</f>
        <v>9307</v>
      </c>
      <c r="P85" s="5">
        <f>_xlfn.XLOOKUP(M85&amp;"-"&amp;N85,'Djøf Finance Hoppers'!D:D,'Djøf Finance Hoppers'!C:C,0,1)</f>
        <v>3004</v>
      </c>
      <c r="Q85" s="16">
        <f t="shared" si="8"/>
        <v>0.3227678091758891</v>
      </c>
    </row>
    <row r="86" spans="13:17" x14ac:dyDescent="0.35">
      <c r="M86" s="5">
        <v>2022</v>
      </c>
      <c r="N86" s="5" t="s">
        <v>18</v>
      </c>
      <c r="O86" s="5">
        <f>_xlfn.XLOOKUP(M86&amp;"-"&amp;N86,'Djøf Finance Workers'!D:D,'Djøf Finance Workers'!C:C,0,1)</f>
        <v>9287</v>
      </c>
      <c r="P86" s="5">
        <f>_xlfn.XLOOKUP(M86&amp;"-"&amp;N86,'Djøf Finance Hoppers'!D:D,'Djøf Finance Hoppers'!C:C,0,1)</f>
        <v>2511</v>
      </c>
      <c r="Q86" s="16">
        <f t="shared" si="8"/>
        <v>0.27037794766878431</v>
      </c>
    </row>
    <row r="87" spans="13:17" x14ac:dyDescent="0.35">
      <c r="M87" s="5">
        <v>2022</v>
      </c>
      <c r="N87" s="5" t="s">
        <v>19</v>
      </c>
      <c r="O87" s="5">
        <f>_xlfn.XLOOKUP(M87&amp;"-"&amp;N87,'Djøf Finance Workers'!D:D,'Djøf Finance Workers'!C:C,0,1)</f>
        <v>9808</v>
      </c>
      <c r="P87" s="5">
        <f>_xlfn.XLOOKUP(M87&amp;"-"&amp;N87,'Djøf Finance Hoppers'!D:D,'Djøf Finance Hoppers'!C:C,0,1)</f>
        <v>2191</v>
      </c>
      <c r="Q87" s="16">
        <f t="shared" si="8"/>
        <v>0.22338907014681891</v>
      </c>
    </row>
    <row r="88" spans="13:17" x14ac:dyDescent="0.35">
      <c r="M88" s="5">
        <v>2022</v>
      </c>
      <c r="N88" s="5" t="s">
        <v>20</v>
      </c>
      <c r="O88" s="5">
        <f>_xlfn.XLOOKUP(M88&amp;"-"&amp;N88,'Djøf Finance Workers'!D:D,'Djøf Finance Workers'!C:C,0,1)</f>
        <v>10063</v>
      </c>
      <c r="P88" s="5">
        <f>_xlfn.XLOOKUP(M88&amp;"-"&amp;N88,'Djøf Finance Hoppers'!D:D,'Djøf Finance Hoppers'!C:C,0,1)</f>
        <v>2044</v>
      </c>
      <c r="Q88" s="16">
        <f t="shared" si="8"/>
        <v>0.20312034184636787</v>
      </c>
    </row>
    <row r="89" spans="13:17" x14ac:dyDescent="0.35">
      <c r="M89" s="5">
        <v>2022</v>
      </c>
      <c r="N89" s="5" t="s">
        <v>21</v>
      </c>
      <c r="O89" s="5">
        <f>_xlfn.XLOOKUP(M89&amp;"-"&amp;N89,'Djøf Finance Workers'!D:D,'Djøf Finance Workers'!C:C,0,1)</f>
        <v>9799</v>
      </c>
      <c r="P89" s="5">
        <f>_xlfn.XLOOKUP(M89&amp;"-"&amp;N89,'Djøf Finance Hoppers'!D:D,'Djøf Finance Hoppers'!C:C,0,1)</f>
        <v>1683</v>
      </c>
      <c r="Q89" s="16">
        <f t="shared" si="8"/>
        <v>0.17175221961424636</v>
      </c>
    </row>
    <row r="90" spans="13:17" x14ac:dyDescent="0.35">
      <c r="M90" s="5">
        <v>2022</v>
      </c>
      <c r="N90" s="5" t="s">
        <v>22</v>
      </c>
      <c r="O90" s="5">
        <f>_xlfn.XLOOKUP(M90&amp;"-"&amp;N90,'Djøf Finance Workers'!D:D,'Djøf Finance Workers'!C:C,0,1)</f>
        <v>11340</v>
      </c>
      <c r="P90" s="5">
        <f>_xlfn.XLOOKUP(M90&amp;"-"&amp;N90,'Djøf Finance Hoppers'!D:D,'Djøf Finance Hoppers'!C:C,0,1)</f>
        <v>1578</v>
      </c>
      <c r="Q90" s="16">
        <f t="shared" si="8"/>
        <v>0.13915343915343914</v>
      </c>
    </row>
    <row r="91" spans="13:17" x14ac:dyDescent="0.35">
      <c r="M91" s="5">
        <v>2022</v>
      </c>
      <c r="N91" s="5" t="s">
        <v>23</v>
      </c>
      <c r="O91" s="5">
        <f>_xlfn.XLOOKUP(M91&amp;"-"&amp;N91,'Djøf Finance Workers'!D:D,'Djøf Finance Workers'!C:C,0,1)</f>
        <v>6943</v>
      </c>
      <c r="P91" s="5">
        <f>_xlfn.XLOOKUP(M91&amp;"-"&amp;N91,'Djøf Finance Hoppers'!D:D,'Djøf Finance Hoppers'!C:C,0,1)</f>
        <v>880</v>
      </c>
      <c r="Q91" s="16">
        <f t="shared" si="8"/>
        <v>0.12674636324355465</v>
      </c>
    </row>
    <row r="92" spans="13:17" x14ac:dyDescent="0.35">
      <c r="M92" s="5">
        <v>2022</v>
      </c>
      <c r="N92" s="5" t="s">
        <v>24</v>
      </c>
      <c r="O92" s="5">
        <f>_xlfn.XLOOKUP(M92&amp;"-"&amp;N92,'Djøf Finance Workers'!D:D,'Djøf Finance Workers'!C:C,0,1)</f>
        <v>2779</v>
      </c>
      <c r="P92" s="5">
        <f>_xlfn.XLOOKUP(M92&amp;"-"&amp;N92,'Djøf Finance Hoppers'!D:D,'Djøf Finance Hoppers'!C:C,0,1)</f>
        <v>265</v>
      </c>
      <c r="Q92" s="16">
        <f t="shared" si="8"/>
        <v>9.5358042461317016E-2</v>
      </c>
    </row>
    <row r="93" spans="13:17" x14ac:dyDescent="0.35">
      <c r="M93" s="5">
        <v>2023</v>
      </c>
      <c r="N93" s="5" t="s">
        <v>16</v>
      </c>
      <c r="O93" s="5">
        <f>_xlfn.XLOOKUP(M93&amp;"-"&amp;N93,'Djøf Finance Workers'!D:D,'Djøf Finance Workers'!C:C,0,1)</f>
        <v>8433</v>
      </c>
      <c r="P93" s="5">
        <f>_xlfn.XLOOKUP(M93&amp;"-"&amp;N93,'Djøf Finance Hoppers'!D:D,'Djøf Finance Hoppers'!C:C,0,1)</f>
        <v>3662</v>
      </c>
      <c r="Q93" s="16">
        <f t="shared" si="8"/>
        <v>0.43424641290169574</v>
      </c>
    </row>
    <row r="94" spans="13:17" x14ac:dyDescent="0.35">
      <c r="M94" s="5">
        <v>2023</v>
      </c>
      <c r="N94" s="5" t="s">
        <v>17</v>
      </c>
      <c r="O94" s="5">
        <f>_xlfn.XLOOKUP(M94&amp;"-"&amp;N94,'Djøf Finance Workers'!D:D,'Djøf Finance Workers'!C:C,0,1)</f>
        <v>9786</v>
      </c>
      <c r="P94" s="5">
        <f>_xlfn.XLOOKUP(M94&amp;"-"&amp;N94,'Djøf Finance Hoppers'!D:D,'Djøf Finance Hoppers'!C:C,0,1)</f>
        <v>2878</v>
      </c>
      <c r="Q94" s="16">
        <f t="shared" si="8"/>
        <v>0.29409360310647864</v>
      </c>
    </row>
    <row r="95" spans="13:17" x14ac:dyDescent="0.35">
      <c r="M95" s="5">
        <v>2023</v>
      </c>
      <c r="N95" s="5" t="s">
        <v>18</v>
      </c>
      <c r="O95" s="5">
        <f>_xlfn.XLOOKUP(M95&amp;"-"&amp;N95,'Djøf Finance Workers'!D:D,'Djøf Finance Workers'!C:C,0,1)</f>
        <v>9648</v>
      </c>
      <c r="P95" s="5">
        <f>_xlfn.XLOOKUP(M95&amp;"-"&amp;N95,'Djøf Finance Hoppers'!D:D,'Djøf Finance Hoppers'!C:C,0,1)</f>
        <v>2160</v>
      </c>
      <c r="Q95" s="16">
        <f t="shared" si="8"/>
        <v>0.22388059701492538</v>
      </c>
    </row>
    <row r="96" spans="13:17" x14ac:dyDescent="0.35">
      <c r="M96" s="5">
        <v>2023</v>
      </c>
      <c r="N96" s="5" t="s">
        <v>19</v>
      </c>
      <c r="O96" s="5">
        <f>_xlfn.XLOOKUP(M96&amp;"-"&amp;N96,'Djøf Finance Workers'!D:D,'Djøf Finance Workers'!C:C,0,1)</f>
        <v>9770</v>
      </c>
      <c r="P96" s="5">
        <f>_xlfn.XLOOKUP(M96&amp;"-"&amp;N96,'Djøf Finance Hoppers'!D:D,'Djøf Finance Hoppers'!C:C,0,1)</f>
        <v>1983</v>
      </c>
      <c r="Q96" s="16">
        <f t="shared" si="8"/>
        <v>0.20296827021494371</v>
      </c>
    </row>
    <row r="97" spans="13:17" x14ac:dyDescent="0.35">
      <c r="M97" s="5">
        <v>2023</v>
      </c>
      <c r="N97" s="5" t="s">
        <v>20</v>
      </c>
      <c r="O97" s="5">
        <f>_xlfn.XLOOKUP(M97&amp;"-"&amp;N97,'Djøf Finance Workers'!D:D,'Djøf Finance Workers'!C:C,0,1)</f>
        <v>10262</v>
      </c>
      <c r="P97" s="5">
        <f>_xlfn.XLOOKUP(M97&amp;"-"&amp;N97,'Djøf Finance Hoppers'!D:D,'Djøf Finance Hoppers'!C:C,0,1)</f>
        <v>1798</v>
      </c>
      <c r="Q97" s="16">
        <f t="shared" si="8"/>
        <v>0.17520951081660496</v>
      </c>
    </row>
    <row r="98" spans="13:17" x14ac:dyDescent="0.35">
      <c r="M98" s="5">
        <v>2023</v>
      </c>
      <c r="N98" s="5" t="s">
        <v>21</v>
      </c>
      <c r="O98" s="5">
        <f>_xlfn.XLOOKUP(M98&amp;"-"&amp;N98,'Djøf Finance Workers'!D:D,'Djøf Finance Workers'!C:C,0,1)</f>
        <v>9513</v>
      </c>
      <c r="P98" s="5">
        <f>_xlfn.XLOOKUP(M98&amp;"-"&amp;N98,'Djøf Finance Hoppers'!D:D,'Djøf Finance Hoppers'!C:C,0,1)</f>
        <v>1564</v>
      </c>
      <c r="Q98" s="16">
        <f t="shared" si="8"/>
        <v>0.1644066014926942</v>
      </c>
    </row>
    <row r="99" spans="13:17" x14ac:dyDescent="0.35">
      <c r="M99" s="5">
        <v>2023</v>
      </c>
      <c r="N99" s="5" t="s">
        <v>22</v>
      </c>
      <c r="O99" s="5">
        <f>_xlfn.XLOOKUP(M99&amp;"-"&amp;N99,'Djøf Finance Workers'!D:D,'Djøf Finance Workers'!C:C,0,1)</f>
        <v>11614</v>
      </c>
      <c r="P99" s="5">
        <f>_xlfn.XLOOKUP(M99&amp;"-"&amp;N99,'Djøf Finance Hoppers'!D:D,'Djøf Finance Hoppers'!C:C,0,1)</f>
        <v>1583</v>
      </c>
      <c r="Q99" s="16">
        <f t="shared" si="8"/>
        <v>0.13630101601515413</v>
      </c>
    </row>
    <row r="100" spans="13:17" x14ac:dyDescent="0.35">
      <c r="M100" s="5">
        <v>2023</v>
      </c>
      <c r="N100" s="5" t="s">
        <v>23</v>
      </c>
      <c r="O100" s="5">
        <f>_xlfn.XLOOKUP(M100&amp;"-"&amp;N100,'Djøf Finance Workers'!D:D,'Djøf Finance Workers'!C:C,0,1)</f>
        <v>7443</v>
      </c>
      <c r="P100" s="5">
        <f>_xlfn.XLOOKUP(M100&amp;"-"&amp;N100,'Djøf Finance Hoppers'!D:D,'Djøf Finance Hoppers'!C:C,0,1)</f>
        <v>896</v>
      </c>
      <c r="Q100" s="16">
        <f t="shared" si="8"/>
        <v>0.12038156657261857</v>
      </c>
    </row>
    <row r="101" spans="13:17" x14ac:dyDescent="0.35">
      <c r="M101" s="5">
        <v>2023</v>
      </c>
      <c r="N101" s="5" t="s">
        <v>24</v>
      </c>
      <c r="O101" s="5">
        <f>_xlfn.XLOOKUP(M101&amp;"-"&amp;N101,'Djøf Finance Workers'!D:D,'Djøf Finance Workers'!C:C,0,1)</f>
        <v>3139</v>
      </c>
      <c r="P101" s="5">
        <f>_xlfn.XLOOKUP(M101&amp;"-"&amp;N101,'Djøf Finance Hoppers'!D:D,'Djøf Finance Hoppers'!C:C,0,1)</f>
        <v>295</v>
      </c>
      <c r="Q101" s="16">
        <f>IF(O101&gt;0, P101/O101, 0)</f>
        <v>9.3978974195603693E-2</v>
      </c>
    </row>
  </sheetData>
  <phoneticPr fontId="8" type="noConversion"/>
  <pageMargins left="0.7" right="0.7" top="0.75" bottom="0.75" header="0.3" footer="0.3"/>
  <tableParts count="3">
    <tablePart r:id="rId1"/>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F7E5-D381-4B3C-9673-A177186DF652}">
  <sheetPr>
    <tabColor theme="9" tint="0.79998168889431442"/>
  </sheetPr>
  <dimension ref="A1:D163"/>
  <sheetViews>
    <sheetView workbookViewId="0">
      <selection activeCell="C8" sqref="C8:C15"/>
    </sheetView>
  </sheetViews>
  <sheetFormatPr defaultRowHeight="14.5" x14ac:dyDescent="0.35"/>
  <cols>
    <col min="2" max="2" width="13" customWidth="1"/>
    <col min="3" max="3" width="56" customWidth="1"/>
  </cols>
  <sheetData>
    <row r="1" spans="1:4" ht="24" thickBot="1" x14ac:dyDescent="0.6">
      <c r="A1" s="6" t="s">
        <v>9</v>
      </c>
      <c r="B1" s="7"/>
      <c r="C1" s="7"/>
    </row>
    <row r="2" spans="1:4" ht="15" thickTop="1" x14ac:dyDescent="0.35">
      <c r="C2" s="8" t="s">
        <v>10</v>
      </c>
    </row>
    <row r="3" spans="1:4" x14ac:dyDescent="0.35">
      <c r="C3" s="8" t="s">
        <v>11</v>
      </c>
    </row>
    <row r="4" spans="1:4" x14ac:dyDescent="0.35">
      <c r="C4" s="8" t="s">
        <v>12</v>
      </c>
    </row>
    <row r="5" spans="1:4" x14ac:dyDescent="0.35">
      <c r="C5" s="8" t="s">
        <v>13</v>
      </c>
    </row>
    <row r="6" spans="1:4" x14ac:dyDescent="0.35">
      <c r="C6" s="8" t="s">
        <v>14</v>
      </c>
    </row>
    <row r="7" spans="1:4" x14ac:dyDescent="0.35">
      <c r="A7" s="8" t="s">
        <v>15</v>
      </c>
      <c r="B7" s="8" t="s">
        <v>16</v>
      </c>
      <c r="C7" s="9">
        <v>6876</v>
      </c>
      <c r="D7" t="str">
        <f t="shared" ref="D7:D70" si="0">A7&amp;"-"&amp;B7</f>
        <v>2008-25-29 år</v>
      </c>
    </row>
    <row r="8" spans="1:4" x14ac:dyDescent="0.35">
      <c r="A8" s="8" t="s">
        <v>15</v>
      </c>
      <c r="B8" s="8" t="s">
        <v>17</v>
      </c>
      <c r="C8" s="9">
        <v>8541</v>
      </c>
      <c r="D8" t="str">
        <f t="shared" si="0"/>
        <v>2008-30-34 år</v>
      </c>
    </row>
    <row r="9" spans="1:4" x14ac:dyDescent="0.35">
      <c r="A9" s="8" t="s">
        <v>15</v>
      </c>
      <c r="B9" s="8" t="s">
        <v>18</v>
      </c>
      <c r="C9" s="9">
        <v>8222</v>
      </c>
      <c r="D9" t="str">
        <f t="shared" si="0"/>
        <v>2008-35-39 år</v>
      </c>
    </row>
    <row r="10" spans="1:4" x14ac:dyDescent="0.35">
      <c r="A10" s="8" t="s">
        <v>15</v>
      </c>
      <c r="B10" s="8" t="s">
        <v>19</v>
      </c>
      <c r="C10" s="9">
        <v>11172</v>
      </c>
      <c r="D10" t="str">
        <f t="shared" si="0"/>
        <v>2008-40-44 år</v>
      </c>
    </row>
    <row r="11" spans="1:4" x14ac:dyDescent="0.35">
      <c r="A11" s="8" t="s">
        <v>15</v>
      </c>
      <c r="B11" s="8" t="s">
        <v>20</v>
      </c>
      <c r="C11" s="9">
        <v>9399</v>
      </c>
      <c r="D11" t="str">
        <f t="shared" si="0"/>
        <v>2008-45-49 år</v>
      </c>
    </row>
    <row r="12" spans="1:4" x14ac:dyDescent="0.35">
      <c r="A12" s="8" t="s">
        <v>15</v>
      </c>
      <c r="B12" s="8" t="s">
        <v>21</v>
      </c>
      <c r="C12" s="9">
        <v>8459</v>
      </c>
      <c r="D12" t="str">
        <f t="shared" si="0"/>
        <v>2008-50-54 år</v>
      </c>
    </row>
    <row r="13" spans="1:4" x14ac:dyDescent="0.35">
      <c r="A13" s="8" t="s">
        <v>15</v>
      </c>
      <c r="B13" s="8" t="s">
        <v>22</v>
      </c>
      <c r="C13" s="9">
        <v>7916</v>
      </c>
      <c r="D13" t="str">
        <f t="shared" si="0"/>
        <v>2008-55-59 år</v>
      </c>
    </row>
    <row r="14" spans="1:4" x14ac:dyDescent="0.35">
      <c r="A14" s="8" t="s">
        <v>15</v>
      </c>
      <c r="B14" s="8" t="s">
        <v>23</v>
      </c>
      <c r="C14" s="9">
        <v>4371</v>
      </c>
      <c r="D14" t="str">
        <f t="shared" si="0"/>
        <v>2008-60-64 år</v>
      </c>
    </row>
    <row r="15" spans="1:4" x14ac:dyDescent="0.35">
      <c r="A15" s="8" t="s">
        <v>15</v>
      </c>
      <c r="B15" s="8" t="s">
        <v>24</v>
      </c>
      <c r="C15" s="9">
        <v>857</v>
      </c>
      <c r="D15" t="str">
        <f t="shared" si="0"/>
        <v>2008-65+ år</v>
      </c>
    </row>
    <row r="16" spans="1:4" x14ac:dyDescent="0.35">
      <c r="A16" s="8" t="s">
        <v>25</v>
      </c>
      <c r="B16" s="8" t="s">
        <v>16</v>
      </c>
      <c r="C16" s="9">
        <v>7284</v>
      </c>
      <c r="D16" t="str">
        <f t="shared" si="0"/>
        <v>2009-25-29 år</v>
      </c>
    </row>
    <row r="17" spans="1:4" x14ac:dyDescent="0.35">
      <c r="A17" s="8" t="s">
        <v>25</v>
      </c>
      <c r="B17" s="8" t="s">
        <v>17</v>
      </c>
      <c r="C17" s="9">
        <v>9750</v>
      </c>
      <c r="D17" t="str">
        <f t="shared" si="0"/>
        <v>2009-30-34 år</v>
      </c>
    </row>
    <row r="18" spans="1:4" x14ac:dyDescent="0.35">
      <c r="A18" s="8" t="s">
        <v>25</v>
      </c>
      <c r="B18" s="8" t="s">
        <v>18</v>
      </c>
      <c r="C18" s="9">
        <v>9328</v>
      </c>
      <c r="D18" t="str">
        <f t="shared" si="0"/>
        <v>2009-35-39 år</v>
      </c>
    </row>
    <row r="19" spans="1:4" x14ac:dyDescent="0.35">
      <c r="A19" s="8" t="s">
        <v>25</v>
      </c>
      <c r="B19" s="8" t="s">
        <v>19</v>
      </c>
      <c r="C19" s="9">
        <v>12571</v>
      </c>
      <c r="D19" t="str">
        <f t="shared" si="0"/>
        <v>2009-40-44 år</v>
      </c>
    </row>
    <row r="20" spans="1:4" x14ac:dyDescent="0.35">
      <c r="A20" s="8" t="s">
        <v>25</v>
      </c>
      <c r="B20" s="8" t="s">
        <v>20</v>
      </c>
      <c r="C20" s="9">
        <v>11248</v>
      </c>
      <c r="D20" t="str">
        <f t="shared" si="0"/>
        <v>2009-45-49 år</v>
      </c>
    </row>
    <row r="21" spans="1:4" x14ac:dyDescent="0.35">
      <c r="A21" s="8" t="s">
        <v>25</v>
      </c>
      <c r="B21" s="8" t="s">
        <v>21</v>
      </c>
      <c r="C21" s="9">
        <v>9862</v>
      </c>
      <c r="D21" t="str">
        <f t="shared" si="0"/>
        <v>2009-50-54 år</v>
      </c>
    </row>
    <row r="22" spans="1:4" x14ac:dyDescent="0.35">
      <c r="A22" s="8" t="s">
        <v>25</v>
      </c>
      <c r="B22" s="8" t="s">
        <v>22</v>
      </c>
      <c r="C22" s="9">
        <v>9081</v>
      </c>
      <c r="D22" t="str">
        <f t="shared" si="0"/>
        <v>2009-55-59 år</v>
      </c>
    </row>
    <row r="23" spans="1:4" x14ac:dyDescent="0.35">
      <c r="A23" s="8" t="s">
        <v>25</v>
      </c>
      <c r="B23" s="8" t="s">
        <v>23</v>
      </c>
      <c r="C23" s="9">
        <v>5056</v>
      </c>
      <c r="D23" t="str">
        <f t="shared" si="0"/>
        <v>2009-60-64 år</v>
      </c>
    </row>
    <row r="24" spans="1:4" x14ac:dyDescent="0.35">
      <c r="A24" s="8" t="s">
        <v>25</v>
      </c>
      <c r="B24" s="8" t="s">
        <v>24</v>
      </c>
      <c r="C24" s="9">
        <v>984</v>
      </c>
      <c r="D24" t="str">
        <f t="shared" si="0"/>
        <v>2009-65+ år</v>
      </c>
    </row>
    <row r="25" spans="1:4" x14ac:dyDescent="0.35">
      <c r="A25" s="8" t="s">
        <v>26</v>
      </c>
      <c r="B25" s="8" t="s">
        <v>16</v>
      </c>
      <c r="C25" s="9">
        <v>6802</v>
      </c>
      <c r="D25" t="str">
        <f t="shared" si="0"/>
        <v>2010-25-29 år</v>
      </c>
    </row>
    <row r="26" spans="1:4" x14ac:dyDescent="0.35">
      <c r="A26" s="8" t="s">
        <v>26</v>
      </c>
      <c r="B26" s="8" t="s">
        <v>17</v>
      </c>
      <c r="C26" s="9">
        <v>9673</v>
      </c>
      <c r="D26" t="str">
        <f t="shared" si="0"/>
        <v>2010-30-34 år</v>
      </c>
    </row>
    <row r="27" spans="1:4" x14ac:dyDescent="0.35">
      <c r="A27" s="8" t="s">
        <v>26</v>
      </c>
      <c r="B27" s="8" t="s">
        <v>18</v>
      </c>
      <c r="C27" s="9">
        <v>9565</v>
      </c>
      <c r="D27" t="str">
        <f t="shared" si="0"/>
        <v>2010-35-39 år</v>
      </c>
    </row>
    <row r="28" spans="1:4" x14ac:dyDescent="0.35">
      <c r="A28" s="8" t="s">
        <v>26</v>
      </c>
      <c r="B28" s="8" t="s">
        <v>19</v>
      </c>
      <c r="C28" s="9">
        <v>11893</v>
      </c>
      <c r="D28" t="str">
        <f t="shared" si="0"/>
        <v>2010-40-44 år</v>
      </c>
    </row>
    <row r="29" spans="1:4" x14ac:dyDescent="0.35">
      <c r="A29" s="8" t="s">
        <v>26</v>
      </c>
      <c r="B29" s="8" t="s">
        <v>20</v>
      </c>
      <c r="C29" s="9">
        <v>11808</v>
      </c>
      <c r="D29" t="str">
        <f t="shared" si="0"/>
        <v>2010-45-49 år</v>
      </c>
    </row>
    <row r="30" spans="1:4" x14ac:dyDescent="0.35">
      <c r="A30" s="8" t="s">
        <v>26</v>
      </c>
      <c r="B30" s="8" t="s">
        <v>21</v>
      </c>
      <c r="C30" s="9">
        <v>10091</v>
      </c>
      <c r="D30" t="str">
        <f t="shared" si="0"/>
        <v>2010-50-54 år</v>
      </c>
    </row>
    <row r="31" spans="1:4" x14ac:dyDescent="0.35">
      <c r="A31" s="8" t="s">
        <v>26</v>
      </c>
      <c r="B31" s="8" t="s">
        <v>22</v>
      </c>
      <c r="C31" s="9">
        <v>9186</v>
      </c>
      <c r="D31" t="str">
        <f t="shared" si="0"/>
        <v>2010-55-59 år</v>
      </c>
    </row>
    <row r="32" spans="1:4" x14ac:dyDescent="0.35">
      <c r="A32" s="8" t="s">
        <v>26</v>
      </c>
      <c r="B32" s="8" t="s">
        <v>23</v>
      </c>
      <c r="C32" s="9">
        <v>5175</v>
      </c>
      <c r="D32" t="str">
        <f t="shared" si="0"/>
        <v>2010-60-64 år</v>
      </c>
    </row>
    <row r="33" spans="1:4" x14ac:dyDescent="0.35">
      <c r="A33" s="8" t="s">
        <v>26</v>
      </c>
      <c r="B33" s="8" t="s">
        <v>24</v>
      </c>
      <c r="C33" s="9">
        <v>1161</v>
      </c>
      <c r="D33" t="str">
        <f t="shared" si="0"/>
        <v>2010-65+ år</v>
      </c>
    </row>
    <row r="34" spans="1:4" x14ac:dyDescent="0.35">
      <c r="A34" s="8" t="s">
        <v>27</v>
      </c>
      <c r="B34" s="8" t="s">
        <v>16</v>
      </c>
      <c r="C34" s="9">
        <v>6619</v>
      </c>
      <c r="D34" t="str">
        <f t="shared" si="0"/>
        <v>2011-25-29 år</v>
      </c>
    </row>
    <row r="35" spans="1:4" x14ac:dyDescent="0.35">
      <c r="A35" s="8" t="s">
        <v>27</v>
      </c>
      <c r="B35" s="8" t="s">
        <v>17</v>
      </c>
      <c r="C35" s="9">
        <v>9409</v>
      </c>
      <c r="D35" t="str">
        <f t="shared" si="0"/>
        <v>2011-30-34 år</v>
      </c>
    </row>
    <row r="36" spans="1:4" x14ac:dyDescent="0.35">
      <c r="A36" s="8" t="s">
        <v>27</v>
      </c>
      <c r="B36" s="8" t="s">
        <v>18</v>
      </c>
      <c r="C36" s="9">
        <v>9809</v>
      </c>
      <c r="D36" t="str">
        <f t="shared" si="0"/>
        <v>2011-35-39 år</v>
      </c>
    </row>
    <row r="37" spans="1:4" x14ac:dyDescent="0.35">
      <c r="A37" s="8" t="s">
        <v>27</v>
      </c>
      <c r="B37" s="8" t="s">
        <v>19</v>
      </c>
      <c r="C37" s="9">
        <v>10924</v>
      </c>
      <c r="D37" t="str">
        <f t="shared" si="0"/>
        <v>2011-40-44 år</v>
      </c>
    </row>
    <row r="38" spans="1:4" x14ac:dyDescent="0.35">
      <c r="A38" s="8" t="s">
        <v>27</v>
      </c>
      <c r="B38" s="8" t="s">
        <v>20</v>
      </c>
      <c r="C38" s="9">
        <v>12323</v>
      </c>
      <c r="D38" t="str">
        <f t="shared" si="0"/>
        <v>2011-45-49 år</v>
      </c>
    </row>
    <row r="39" spans="1:4" x14ac:dyDescent="0.35">
      <c r="A39" s="8" t="s">
        <v>27</v>
      </c>
      <c r="B39" s="8" t="s">
        <v>21</v>
      </c>
      <c r="C39" s="9">
        <v>10305</v>
      </c>
      <c r="D39" t="str">
        <f t="shared" si="0"/>
        <v>2011-50-54 år</v>
      </c>
    </row>
    <row r="40" spans="1:4" x14ac:dyDescent="0.35">
      <c r="A40" s="8" t="s">
        <v>27</v>
      </c>
      <c r="B40" s="8" t="s">
        <v>22</v>
      </c>
      <c r="C40" s="9">
        <v>9210</v>
      </c>
      <c r="D40" t="str">
        <f t="shared" si="0"/>
        <v>2011-55-59 år</v>
      </c>
    </row>
    <row r="41" spans="1:4" x14ac:dyDescent="0.35">
      <c r="A41" s="8" t="s">
        <v>27</v>
      </c>
      <c r="B41" s="8" t="s">
        <v>23</v>
      </c>
      <c r="C41" s="9">
        <v>5200</v>
      </c>
      <c r="D41" t="str">
        <f t="shared" si="0"/>
        <v>2011-60-64 år</v>
      </c>
    </row>
    <row r="42" spans="1:4" x14ac:dyDescent="0.35">
      <c r="A42" s="8" t="s">
        <v>27</v>
      </c>
      <c r="B42" s="8" t="s">
        <v>24</v>
      </c>
      <c r="C42" s="9">
        <v>1320</v>
      </c>
      <c r="D42" t="str">
        <f t="shared" si="0"/>
        <v>2011-65+ år</v>
      </c>
    </row>
    <row r="43" spans="1:4" x14ac:dyDescent="0.35">
      <c r="A43" s="8" t="s">
        <v>28</v>
      </c>
      <c r="B43" s="8" t="s">
        <v>16</v>
      </c>
      <c r="C43" s="9">
        <v>6332</v>
      </c>
      <c r="D43" t="str">
        <f t="shared" si="0"/>
        <v>2012-25-29 år</v>
      </c>
    </row>
    <row r="44" spans="1:4" x14ac:dyDescent="0.35">
      <c r="A44" s="8" t="s">
        <v>28</v>
      </c>
      <c r="B44" s="8" t="s">
        <v>17</v>
      </c>
      <c r="C44" s="9">
        <v>8887</v>
      </c>
      <c r="D44" t="str">
        <f t="shared" si="0"/>
        <v>2012-30-34 år</v>
      </c>
    </row>
    <row r="45" spans="1:4" x14ac:dyDescent="0.35">
      <c r="A45" s="8" t="s">
        <v>28</v>
      </c>
      <c r="B45" s="8" t="s">
        <v>18</v>
      </c>
      <c r="C45" s="9">
        <v>9638</v>
      </c>
      <c r="D45" t="str">
        <f t="shared" si="0"/>
        <v>2012-35-39 år</v>
      </c>
    </row>
    <row r="46" spans="1:4" x14ac:dyDescent="0.35">
      <c r="A46" s="8" t="s">
        <v>28</v>
      </c>
      <c r="B46" s="8" t="s">
        <v>19</v>
      </c>
      <c r="C46" s="9">
        <v>9823</v>
      </c>
      <c r="D46" t="str">
        <f t="shared" si="0"/>
        <v>2012-40-44 år</v>
      </c>
    </row>
    <row r="47" spans="1:4" x14ac:dyDescent="0.35">
      <c r="A47" s="8" t="s">
        <v>28</v>
      </c>
      <c r="B47" s="8" t="s">
        <v>20</v>
      </c>
      <c r="C47" s="9">
        <v>12680</v>
      </c>
      <c r="D47" t="str">
        <f t="shared" si="0"/>
        <v>2012-45-49 år</v>
      </c>
    </row>
    <row r="48" spans="1:4" x14ac:dyDescent="0.35">
      <c r="A48" s="8" t="s">
        <v>28</v>
      </c>
      <c r="B48" s="8" t="s">
        <v>21</v>
      </c>
      <c r="C48" s="9">
        <v>10381</v>
      </c>
      <c r="D48" t="str">
        <f t="shared" si="0"/>
        <v>2012-50-54 år</v>
      </c>
    </row>
    <row r="49" spans="1:4" x14ac:dyDescent="0.35">
      <c r="A49" s="8" t="s">
        <v>28</v>
      </c>
      <c r="B49" s="8" t="s">
        <v>22</v>
      </c>
      <c r="C49" s="9">
        <v>9032</v>
      </c>
      <c r="D49" t="str">
        <f t="shared" si="0"/>
        <v>2012-55-59 år</v>
      </c>
    </row>
    <row r="50" spans="1:4" x14ac:dyDescent="0.35">
      <c r="A50" s="8" t="s">
        <v>28</v>
      </c>
      <c r="B50" s="8" t="s">
        <v>23</v>
      </c>
      <c r="C50" s="9">
        <v>5237</v>
      </c>
      <c r="D50" t="str">
        <f t="shared" si="0"/>
        <v>2012-60-64 år</v>
      </c>
    </row>
    <row r="51" spans="1:4" x14ac:dyDescent="0.35">
      <c r="A51" s="8" t="s">
        <v>28</v>
      </c>
      <c r="B51" s="8" t="s">
        <v>24</v>
      </c>
      <c r="C51" s="9">
        <v>1446</v>
      </c>
      <c r="D51" t="str">
        <f t="shared" si="0"/>
        <v>2012-65+ år</v>
      </c>
    </row>
    <row r="52" spans="1:4" x14ac:dyDescent="0.35">
      <c r="A52" s="8" t="s">
        <v>29</v>
      </c>
      <c r="B52" s="8" t="s">
        <v>16</v>
      </c>
      <c r="C52" s="9">
        <v>6202</v>
      </c>
      <c r="D52" t="str">
        <f t="shared" si="0"/>
        <v>2013-25-29 år</v>
      </c>
    </row>
    <row r="53" spans="1:4" x14ac:dyDescent="0.35">
      <c r="A53" s="8" t="s">
        <v>29</v>
      </c>
      <c r="B53" s="8" t="s">
        <v>17</v>
      </c>
      <c r="C53" s="9">
        <v>8560</v>
      </c>
      <c r="D53" t="str">
        <f t="shared" si="0"/>
        <v>2013-30-34 år</v>
      </c>
    </row>
    <row r="54" spans="1:4" x14ac:dyDescent="0.35">
      <c r="A54" s="8" t="s">
        <v>29</v>
      </c>
      <c r="B54" s="8" t="s">
        <v>18</v>
      </c>
      <c r="C54" s="9">
        <v>9790</v>
      </c>
      <c r="D54" t="str">
        <f t="shared" si="0"/>
        <v>2013-35-39 år</v>
      </c>
    </row>
    <row r="55" spans="1:4" x14ac:dyDescent="0.35">
      <c r="A55" s="8" t="s">
        <v>29</v>
      </c>
      <c r="B55" s="8" t="s">
        <v>19</v>
      </c>
      <c r="C55" s="9">
        <v>9383</v>
      </c>
      <c r="D55" t="str">
        <f t="shared" si="0"/>
        <v>2013-40-44 år</v>
      </c>
    </row>
    <row r="56" spans="1:4" x14ac:dyDescent="0.35">
      <c r="A56" s="8" t="s">
        <v>29</v>
      </c>
      <c r="B56" s="8" t="s">
        <v>20</v>
      </c>
      <c r="C56" s="9">
        <v>12762</v>
      </c>
      <c r="D56" t="str">
        <f t="shared" si="0"/>
        <v>2013-45-49 år</v>
      </c>
    </row>
    <row r="57" spans="1:4" x14ac:dyDescent="0.35">
      <c r="A57" s="8" t="s">
        <v>29</v>
      </c>
      <c r="B57" s="8" t="s">
        <v>21</v>
      </c>
      <c r="C57" s="9">
        <v>10587</v>
      </c>
      <c r="D57" t="str">
        <f t="shared" si="0"/>
        <v>2013-50-54 år</v>
      </c>
    </row>
    <row r="58" spans="1:4" x14ac:dyDescent="0.35">
      <c r="A58" s="8" t="s">
        <v>29</v>
      </c>
      <c r="B58" s="8" t="s">
        <v>22</v>
      </c>
      <c r="C58" s="9">
        <v>8811</v>
      </c>
      <c r="D58" t="str">
        <f t="shared" si="0"/>
        <v>2013-55-59 år</v>
      </c>
    </row>
    <row r="59" spans="1:4" x14ac:dyDescent="0.35">
      <c r="A59" s="8" t="s">
        <v>29</v>
      </c>
      <c r="B59" s="8" t="s">
        <v>23</v>
      </c>
      <c r="C59" s="9">
        <v>5072</v>
      </c>
      <c r="D59" t="str">
        <f t="shared" si="0"/>
        <v>2013-60-64 år</v>
      </c>
    </row>
    <row r="60" spans="1:4" x14ac:dyDescent="0.35">
      <c r="A60" s="8" t="s">
        <v>29</v>
      </c>
      <c r="B60" s="8" t="s">
        <v>24</v>
      </c>
      <c r="C60" s="9">
        <v>1539</v>
      </c>
      <c r="D60" t="str">
        <f t="shared" si="0"/>
        <v>2013-65+ år</v>
      </c>
    </row>
    <row r="61" spans="1:4" x14ac:dyDescent="0.35">
      <c r="A61" s="8" t="s">
        <v>30</v>
      </c>
      <c r="B61" s="8" t="s">
        <v>16</v>
      </c>
      <c r="C61" s="9">
        <v>6041</v>
      </c>
      <c r="D61" t="str">
        <f t="shared" si="0"/>
        <v>2014-25-29 år</v>
      </c>
    </row>
    <row r="62" spans="1:4" x14ac:dyDescent="0.35">
      <c r="A62" s="8" t="s">
        <v>30</v>
      </c>
      <c r="B62" s="8" t="s">
        <v>17</v>
      </c>
      <c r="C62" s="9">
        <v>8203</v>
      </c>
      <c r="D62" t="str">
        <f t="shared" si="0"/>
        <v>2014-30-34 år</v>
      </c>
    </row>
    <row r="63" spans="1:4" x14ac:dyDescent="0.35">
      <c r="A63" s="8" t="s">
        <v>30</v>
      </c>
      <c r="B63" s="8" t="s">
        <v>18</v>
      </c>
      <c r="C63" s="9">
        <v>9972</v>
      </c>
      <c r="D63" t="str">
        <f t="shared" si="0"/>
        <v>2014-35-39 år</v>
      </c>
    </row>
    <row r="64" spans="1:4" x14ac:dyDescent="0.35">
      <c r="A64" s="8" t="s">
        <v>30</v>
      </c>
      <c r="B64" s="8" t="s">
        <v>19</v>
      </c>
      <c r="C64" s="9">
        <v>9409</v>
      </c>
      <c r="D64" t="str">
        <f t="shared" si="0"/>
        <v>2014-40-44 år</v>
      </c>
    </row>
    <row r="65" spans="1:4" x14ac:dyDescent="0.35">
      <c r="A65" s="8" t="s">
        <v>30</v>
      </c>
      <c r="B65" s="8" t="s">
        <v>20</v>
      </c>
      <c r="C65" s="9">
        <v>12377</v>
      </c>
      <c r="D65" t="str">
        <f t="shared" si="0"/>
        <v>2014-45-49 år</v>
      </c>
    </row>
    <row r="66" spans="1:4" x14ac:dyDescent="0.35">
      <c r="A66" s="8" t="s">
        <v>30</v>
      </c>
      <c r="B66" s="8" t="s">
        <v>21</v>
      </c>
      <c r="C66" s="9">
        <v>10828</v>
      </c>
      <c r="D66" t="str">
        <f t="shared" si="0"/>
        <v>2014-50-54 år</v>
      </c>
    </row>
    <row r="67" spans="1:4" x14ac:dyDescent="0.35">
      <c r="A67" s="8" t="s">
        <v>30</v>
      </c>
      <c r="B67" s="8" t="s">
        <v>22</v>
      </c>
      <c r="C67" s="9">
        <v>8888</v>
      </c>
      <c r="D67" t="str">
        <f t="shared" si="0"/>
        <v>2014-55-59 år</v>
      </c>
    </row>
    <row r="68" spans="1:4" x14ac:dyDescent="0.35">
      <c r="A68" s="8" t="s">
        <v>30</v>
      </c>
      <c r="B68" s="8" t="s">
        <v>23</v>
      </c>
      <c r="C68" s="9">
        <v>5141</v>
      </c>
      <c r="D68" t="str">
        <f t="shared" si="0"/>
        <v>2014-60-64 år</v>
      </c>
    </row>
    <row r="69" spans="1:4" x14ac:dyDescent="0.35">
      <c r="A69" s="8" t="s">
        <v>30</v>
      </c>
      <c r="B69" s="8" t="s">
        <v>24</v>
      </c>
      <c r="C69" s="9">
        <v>1600</v>
      </c>
      <c r="D69" t="str">
        <f t="shared" si="0"/>
        <v>2014-65+ år</v>
      </c>
    </row>
    <row r="70" spans="1:4" x14ac:dyDescent="0.35">
      <c r="A70" s="8" t="s">
        <v>31</v>
      </c>
      <c r="B70" s="8" t="s">
        <v>16</v>
      </c>
      <c r="C70" s="9">
        <v>5834</v>
      </c>
      <c r="D70" t="str">
        <f t="shared" si="0"/>
        <v>2015-25-29 år</v>
      </c>
    </row>
    <row r="71" spans="1:4" x14ac:dyDescent="0.35">
      <c r="A71" s="8" t="s">
        <v>31</v>
      </c>
      <c r="B71" s="8" t="s">
        <v>17</v>
      </c>
      <c r="C71" s="9">
        <v>7834</v>
      </c>
      <c r="D71" t="str">
        <f t="shared" ref="D71:D134" si="1">A71&amp;"-"&amp;B71</f>
        <v>2015-30-34 år</v>
      </c>
    </row>
    <row r="72" spans="1:4" x14ac:dyDescent="0.35">
      <c r="A72" s="8" t="s">
        <v>31</v>
      </c>
      <c r="B72" s="8" t="s">
        <v>18</v>
      </c>
      <c r="C72" s="9">
        <v>9897</v>
      </c>
      <c r="D72" t="str">
        <f t="shared" si="1"/>
        <v>2015-35-39 år</v>
      </c>
    </row>
    <row r="73" spans="1:4" x14ac:dyDescent="0.35">
      <c r="A73" s="8" t="s">
        <v>31</v>
      </c>
      <c r="B73" s="8" t="s">
        <v>19</v>
      </c>
      <c r="C73" s="9">
        <v>9571</v>
      </c>
      <c r="D73" t="str">
        <f t="shared" si="1"/>
        <v>2015-40-44 år</v>
      </c>
    </row>
    <row r="74" spans="1:4" x14ac:dyDescent="0.35">
      <c r="A74" s="8" t="s">
        <v>31</v>
      </c>
      <c r="B74" s="8" t="s">
        <v>20</v>
      </c>
      <c r="C74" s="9">
        <v>11603</v>
      </c>
      <c r="D74" t="str">
        <f t="shared" si="1"/>
        <v>2015-45-49 år</v>
      </c>
    </row>
    <row r="75" spans="1:4" x14ac:dyDescent="0.35">
      <c r="A75" s="8" t="s">
        <v>31</v>
      </c>
      <c r="B75" s="8" t="s">
        <v>21</v>
      </c>
      <c r="C75" s="9">
        <v>11160</v>
      </c>
      <c r="D75" t="str">
        <f t="shared" si="1"/>
        <v>2015-50-54 år</v>
      </c>
    </row>
    <row r="76" spans="1:4" x14ac:dyDescent="0.35">
      <c r="A76" s="8" t="s">
        <v>31</v>
      </c>
      <c r="B76" s="8" t="s">
        <v>22</v>
      </c>
      <c r="C76" s="9">
        <v>8969</v>
      </c>
      <c r="D76" t="str">
        <f t="shared" si="1"/>
        <v>2015-55-59 år</v>
      </c>
    </row>
    <row r="77" spans="1:4" x14ac:dyDescent="0.35">
      <c r="A77" s="8" t="s">
        <v>31</v>
      </c>
      <c r="B77" s="8" t="s">
        <v>23</v>
      </c>
      <c r="C77" s="9">
        <v>5167</v>
      </c>
      <c r="D77" t="str">
        <f t="shared" si="1"/>
        <v>2015-60-64 år</v>
      </c>
    </row>
    <row r="78" spans="1:4" x14ac:dyDescent="0.35">
      <c r="A78" s="8" t="s">
        <v>31</v>
      </c>
      <c r="B78" s="8" t="s">
        <v>24</v>
      </c>
      <c r="C78" s="9">
        <v>1642</v>
      </c>
      <c r="D78" t="str">
        <f t="shared" si="1"/>
        <v>2015-65+ år</v>
      </c>
    </row>
    <row r="79" spans="1:4" x14ac:dyDescent="0.35">
      <c r="A79" s="8" t="s">
        <v>32</v>
      </c>
      <c r="B79" s="8" t="s">
        <v>16</v>
      </c>
      <c r="C79" s="9">
        <v>5701</v>
      </c>
      <c r="D79" t="str">
        <f t="shared" si="1"/>
        <v>2016-25-29 år</v>
      </c>
    </row>
    <row r="80" spans="1:4" x14ac:dyDescent="0.35">
      <c r="A80" s="8" t="s">
        <v>32</v>
      </c>
      <c r="B80" s="8" t="s">
        <v>17</v>
      </c>
      <c r="C80" s="9">
        <v>7831</v>
      </c>
      <c r="D80" t="str">
        <f t="shared" si="1"/>
        <v>2016-30-34 år</v>
      </c>
    </row>
    <row r="81" spans="1:4" x14ac:dyDescent="0.35">
      <c r="A81" s="8" t="s">
        <v>32</v>
      </c>
      <c r="B81" s="8" t="s">
        <v>18</v>
      </c>
      <c r="C81" s="9">
        <v>9564</v>
      </c>
      <c r="D81" t="str">
        <f t="shared" si="1"/>
        <v>2016-35-39 år</v>
      </c>
    </row>
    <row r="82" spans="1:4" x14ac:dyDescent="0.35">
      <c r="A82" s="8" t="s">
        <v>32</v>
      </c>
      <c r="B82" s="8" t="s">
        <v>19</v>
      </c>
      <c r="C82" s="9">
        <v>9711</v>
      </c>
      <c r="D82" t="str">
        <f t="shared" si="1"/>
        <v>2016-40-44 år</v>
      </c>
    </row>
    <row r="83" spans="1:4" x14ac:dyDescent="0.35">
      <c r="A83" s="8" t="s">
        <v>32</v>
      </c>
      <c r="B83" s="8" t="s">
        <v>20</v>
      </c>
      <c r="C83" s="9">
        <v>10533</v>
      </c>
      <c r="D83" t="str">
        <f t="shared" si="1"/>
        <v>2016-45-49 år</v>
      </c>
    </row>
    <row r="84" spans="1:4" x14ac:dyDescent="0.35">
      <c r="A84" s="8" t="s">
        <v>32</v>
      </c>
      <c r="B84" s="8" t="s">
        <v>21</v>
      </c>
      <c r="C84" s="9">
        <v>11490</v>
      </c>
      <c r="D84" t="str">
        <f t="shared" si="1"/>
        <v>2016-50-54 år</v>
      </c>
    </row>
    <row r="85" spans="1:4" x14ac:dyDescent="0.35">
      <c r="A85" s="8" t="s">
        <v>32</v>
      </c>
      <c r="B85" s="8" t="s">
        <v>22</v>
      </c>
      <c r="C85" s="9">
        <v>9121</v>
      </c>
      <c r="D85" t="str">
        <f t="shared" si="1"/>
        <v>2016-55-59 år</v>
      </c>
    </row>
    <row r="86" spans="1:4" x14ac:dyDescent="0.35">
      <c r="A86" s="8" t="s">
        <v>32</v>
      </c>
      <c r="B86" s="8" t="s">
        <v>23</v>
      </c>
      <c r="C86" s="9">
        <v>5304</v>
      </c>
      <c r="D86" t="str">
        <f t="shared" si="1"/>
        <v>2016-60-64 år</v>
      </c>
    </row>
    <row r="87" spans="1:4" x14ac:dyDescent="0.35">
      <c r="A87" s="8" t="s">
        <v>32</v>
      </c>
      <c r="B87" s="8" t="s">
        <v>24</v>
      </c>
      <c r="C87" s="9">
        <v>1680</v>
      </c>
      <c r="D87" t="str">
        <f t="shared" si="1"/>
        <v>2016-65+ år</v>
      </c>
    </row>
    <row r="88" spans="1:4" x14ac:dyDescent="0.35">
      <c r="A88" s="8" t="s">
        <v>33</v>
      </c>
      <c r="B88" s="8" t="s">
        <v>16</v>
      </c>
      <c r="C88" s="9">
        <v>5951</v>
      </c>
      <c r="D88" t="str">
        <f t="shared" si="1"/>
        <v>2017-25-29 år</v>
      </c>
    </row>
    <row r="89" spans="1:4" x14ac:dyDescent="0.35">
      <c r="A89" s="8" t="s">
        <v>33</v>
      </c>
      <c r="B89" s="8" t="s">
        <v>17</v>
      </c>
      <c r="C89" s="9">
        <v>8016</v>
      </c>
      <c r="D89" t="str">
        <f t="shared" si="1"/>
        <v>2017-30-34 år</v>
      </c>
    </row>
    <row r="90" spans="1:4" x14ac:dyDescent="0.35">
      <c r="A90" s="8" t="s">
        <v>33</v>
      </c>
      <c r="B90" s="8" t="s">
        <v>18</v>
      </c>
      <c r="C90" s="9">
        <v>9344</v>
      </c>
      <c r="D90" t="str">
        <f t="shared" si="1"/>
        <v>2017-35-39 år</v>
      </c>
    </row>
    <row r="91" spans="1:4" x14ac:dyDescent="0.35">
      <c r="A91" s="8" t="s">
        <v>33</v>
      </c>
      <c r="B91" s="8" t="s">
        <v>19</v>
      </c>
      <c r="C91" s="9">
        <v>9699</v>
      </c>
      <c r="D91" t="str">
        <f t="shared" si="1"/>
        <v>2017-40-44 år</v>
      </c>
    </row>
    <row r="92" spans="1:4" x14ac:dyDescent="0.35">
      <c r="A92" s="8" t="s">
        <v>33</v>
      </c>
      <c r="B92" s="8" t="s">
        <v>20</v>
      </c>
      <c r="C92" s="9">
        <v>9778</v>
      </c>
      <c r="D92" t="str">
        <f t="shared" si="1"/>
        <v>2017-45-49 år</v>
      </c>
    </row>
    <row r="93" spans="1:4" x14ac:dyDescent="0.35">
      <c r="A93" s="8" t="s">
        <v>33</v>
      </c>
      <c r="B93" s="8" t="s">
        <v>21</v>
      </c>
      <c r="C93" s="9">
        <v>11940</v>
      </c>
      <c r="D93" t="str">
        <f t="shared" si="1"/>
        <v>2017-50-54 år</v>
      </c>
    </row>
    <row r="94" spans="1:4" x14ac:dyDescent="0.35">
      <c r="A94" s="8" t="s">
        <v>33</v>
      </c>
      <c r="B94" s="8" t="s">
        <v>22</v>
      </c>
      <c r="C94" s="9">
        <v>9231</v>
      </c>
      <c r="D94" t="str">
        <f t="shared" si="1"/>
        <v>2017-55-59 år</v>
      </c>
    </row>
    <row r="95" spans="1:4" x14ac:dyDescent="0.35">
      <c r="A95" s="8" t="s">
        <v>33</v>
      </c>
      <c r="B95" s="8" t="s">
        <v>23</v>
      </c>
      <c r="C95" s="9">
        <v>5403</v>
      </c>
      <c r="D95" t="str">
        <f t="shared" si="1"/>
        <v>2017-60-64 år</v>
      </c>
    </row>
    <row r="96" spans="1:4" x14ac:dyDescent="0.35">
      <c r="A96" s="8" t="s">
        <v>33</v>
      </c>
      <c r="B96" s="8" t="s">
        <v>24</v>
      </c>
      <c r="C96" s="9">
        <v>1775</v>
      </c>
      <c r="D96" t="str">
        <f t="shared" si="1"/>
        <v>2017-65+ år</v>
      </c>
    </row>
    <row r="97" spans="1:4" x14ac:dyDescent="0.35">
      <c r="A97" s="8" t="s">
        <v>34</v>
      </c>
      <c r="B97" s="8" t="s">
        <v>16</v>
      </c>
      <c r="C97" s="9">
        <v>6353</v>
      </c>
      <c r="D97" t="str">
        <f t="shared" si="1"/>
        <v>2018-25-29 år</v>
      </c>
    </row>
    <row r="98" spans="1:4" x14ac:dyDescent="0.35">
      <c r="A98" s="8" t="s">
        <v>34</v>
      </c>
      <c r="B98" s="8" t="s">
        <v>17</v>
      </c>
      <c r="C98" s="9">
        <v>8276</v>
      </c>
      <c r="D98" t="str">
        <f t="shared" si="1"/>
        <v>2018-30-34 år</v>
      </c>
    </row>
    <row r="99" spans="1:4" x14ac:dyDescent="0.35">
      <c r="A99" s="8" t="s">
        <v>34</v>
      </c>
      <c r="B99" s="8" t="s">
        <v>18</v>
      </c>
      <c r="C99" s="9">
        <v>9245</v>
      </c>
      <c r="D99" t="str">
        <f t="shared" si="1"/>
        <v>2018-35-39 år</v>
      </c>
    </row>
    <row r="100" spans="1:4" x14ac:dyDescent="0.35">
      <c r="A100" s="8" t="s">
        <v>34</v>
      </c>
      <c r="B100" s="8" t="s">
        <v>19</v>
      </c>
      <c r="C100" s="9">
        <v>9937</v>
      </c>
      <c r="D100" t="str">
        <f t="shared" si="1"/>
        <v>2018-40-44 år</v>
      </c>
    </row>
    <row r="101" spans="1:4" x14ac:dyDescent="0.35">
      <c r="A101" s="8" t="s">
        <v>34</v>
      </c>
      <c r="B101" s="8" t="s">
        <v>20</v>
      </c>
      <c r="C101" s="9">
        <v>9488</v>
      </c>
      <c r="D101" t="str">
        <f t="shared" si="1"/>
        <v>2018-45-49 år</v>
      </c>
    </row>
    <row r="102" spans="1:4" x14ac:dyDescent="0.35">
      <c r="A102" s="8" t="s">
        <v>34</v>
      </c>
      <c r="B102" s="8" t="s">
        <v>21</v>
      </c>
      <c r="C102" s="9">
        <v>12171</v>
      </c>
      <c r="D102" t="str">
        <f t="shared" si="1"/>
        <v>2018-50-54 år</v>
      </c>
    </row>
    <row r="103" spans="1:4" x14ac:dyDescent="0.35">
      <c r="A103" s="8" t="s">
        <v>34</v>
      </c>
      <c r="B103" s="8" t="s">
        <v>22</v>
      </c>
      <c r="C103" s="9">
        <v>9537</v>
      </c>
      <c r="D103" t="str">
        <f t="shared" si="1"/>
        <v>2018-55-59 år</v>
      </c>
    </row>
    <row r="104" spans="1:4" x14ac:dyDescent="0.35">
      <c r="A104" s="8" t="s">
        <v>34</v>
      </c>
      <c r="B104" s="8" t="s">
        <v>23</v>
      </c>
      <c r="C104" s="9">
        <v>5638</v>
      </c>
      <c r="D104" t="str">
        <f t="shared" si="1"/>
        <v>2018-60-64 år</v>
      </c>
    </row>
    <row r="105" spans="1:4" x14ac:dyDescent="0.35">
      <c r="A105" s="8" t="s">
        <v>34</v>
      </c>
      <c r="B105" s="8" t="s">
        <v>24</v>
      </c>
      <c r="C105" s="9">
        <v>1897</v>
      </c>
      <c r="D105" t="str">
        <f t="shared" si="1"/>
        <v>2018-65+ år</v>
      </c>
    </row>
    <row r="106" spans="1:4" x14ac:dyDescent="0.35">
      <c r="A106" s="8" t="s">
        <v>35</v>
      </c>
      <c r="B106" s="8" t="s">
        <v>16</v>
      </c>
      <c r="C106" s="9">
        <v>6883</v>
      </c>
      <c r="D106" t="str">
        <f t="shared" si="1"/>
        <v>2019-25-29 år</v>
      </c>
    </row>
    <row r="107" spans="1:4" x14ac:dyDescent="0.35">
      <c r="A107" s="8" t="s">
        <v>35</v>
      </c>
      <c r="B107" s="8" t="s">
        <v>17</v>
      </c>
      <c r="C107" s="9">
        <v>8461</v>
      </c>
      <c r="D107" t="str">
        <f t="shared" si="1"/>
        <v>2019-30-34 år</v>
      </c>
    </row>
    <row r="108" spans="1:4" x14ac:dyDescent="0.35">
      <c r="A108" s="8" t="s">
        <v>35</v>
      </c>
      <c r="B108" s="8" t="s">
        <v>18</v>
      </c>
      <c r="C108" s="9">
        <v>9057</v>
      </c>
      <c r="D108" t="str">
        <f t="shared" si="1"/>
        <v>2019-35-39 år</v>
      </c>
    </row>
    <row r="109" spans="1:4" x14ac:dyDescent="0.35">
      <c r="A109" s="8" t="s">
        <v>35</v>
      </c>
      <c r="B109" s="8" t="s">
        <v>19</v>
      </c>
      <c r="C109" s="9">
        <v>10158</v>
      </c>
      <c r="D109" t="str">
        <f t="shared" si="1"/>
        <v>2019-40-44 år</v>
      </c>
    </row>
    <row r="110" spans="1:4" x14ac:dyDescent="0.35">
      <c r="A110" s="8" t="s">
        <v>35</v>
      </c>
      <c r="B110" s="8" t="s">
        <v>20</v>
      </c>
      <c r="C110" s="9">
        <v>9482</v>
      </c>
      <c r="D110" t="str">
        <f t="shared" si="1"/>
        <v>2019-45-49 år</v>
      </c>
    </row>
    <row r="111" spans="1:4" x14ac:dyDescent="0.35">
      <c r="A111" s="8" t="s">
        <v>35</v>
      </c>
      <c r="B111" s="8" t="s">
        <v>21</v>
      </c>
      <c r="C111" s="9">
        <v>11866</v>
      </c>
      <c r="D111" t="str">
        <f t="shared" si="1"/>
        <v>2019-50-54 år</v>
      </c>
    </row>
    <row r="112" spans="1:4" x14ac:dyDescent="0.35">
      <c r="A112" s="8" t="s">
        <v>35</v>
      </c>
      <c r="B112" s="8" t="s">
        <v>22</v>
      </c>
      <c r="C112" s="9">
        <v>9811</v>
      </c>
      <c r="D112" t="str">
        <f t="shared" si="1"/>
        <v>2019-55-59 år</v>
      </c>
    </row>
    <row r="113" spans="1:4" x14ac:dyDescent="0.35">
      <c r="A113" s="8" t="s">
        <v>35</v>
      </c>
      <c r="B113" s="8" t="s">
        <v>23</v>
      </c>
      <c r="C113" s="9">
        <v>5907</v>
      </c>
      <c r="D113" t="str">
        <f t="shared" si="1"/>
        <v>2019-60-64 år</v>
      </c>
    </row>
    <row r="114" spans="1:4" x14ac:dyDescent="0.35">
      <c r="A114" s="8" t="s">
        <v>35</v>
      </c>
      <c r="B114" s="8" t="s">
        <v>24</v>
      </c>
      <c r="C114" s="9">
        <v>2030</v>
      </c>
      <c r="D114" t="str">
        <f t="shared" si="1"/>
        <v>2019-65+ år</v>
      </c>
    </row>
    <row r="115" spans="1:4" x14ac:dyDescent="0.35">
      <c r="A115" s="8" t="s">
        <v>36</v>
      </c>
      <c r="B115" s="8" t="s">
        <v>16</v>
      </c>
      <c r="C115" s="9">
        <v>7337</v>
      </c>
      <c r="D115" t="str">
        <f t="shared" si="1"/>
        <v>2020-25-29 år</v>
      </c>
    </row>
    <row r="116" spans="1:4" x14ac:dyDescent="0.35">
      <c r="A116" s="8" t="s">
        <v>36</v>
      </c>
      <c r="B116" s="8" t="s">
        <v>17</v>
      </c>
      <c r="C116" s="9">
        <v>8658</v>
      </c>
      <c r="D116" t="str">
        <f t="shared" si="1"/>
        <v>2020-30-34 år</v>
      </c>
    </row>
    <row r="117" spans="1:4" x14ac:dyDescent="0.35">
      <c r="A117" s="8" t="s">
        <v>36</v>
      </c>
      <c r="B117" s="8" t="s">
        <v>18</v>
      </c>
      <c r="C117" s="9">
        <v>8798</v>
      </c>
      <c r="D117" t="str">
        <f t="shared" si="1"/>
        <v>2020-35-39 år</v>
      </c>
    </row>
    <row r="118" spans="1:4" x14ac:dyDescent="0.35">
      <c r="A118" s="8" t="s">
        <v>36</v>
      </c>
      <c r="B118" s="8" t="s">
        <v>19</v>
      </c>
      <c r="C118" s="9">
        <v>10129</v>
      </c>
      <c r="D118" t="str">
        <f t="shared" si="1"/>
        <v>2020-40-44 år</v>
      </c>
    </row>
    <row r="119" spans="1:4" x14ac:dyDescent="0.35">
      <c r="A119" s="8" t="s">
        <v>36</v>
      </c>
      <c r="B119" s="8" t="s">
        <v>20</v>
      </c>
      <c r="C119" s="9">
        <v>9740</v>
      </c>
      <c r="D119" t="str">
        <f t="shared" si="1"/>
        <v>2020-45-49 år</v>
      </c>
    </row>
    <row r="120" spans="1:4" x14ac:dyDescent="0.35">
      <c r="A120" s="8" t="s">
        <v>36</v>
      </c>
      <c r="B120" s="8" t="s">
        <v>21</v>
      </c>
      <c r="C120" s="9">
        <v>11187</v>
      </c>
      <c r="D120" t="str">
        <f t="shared" si="1"/>
        <v>2020-50-54 år</v>
      </c>
    </row>
    <row r="121" spans="1:4" x14ac:dyDescent="0.35">
      <c r="A121" s="8" t="s">
        <v>36</v>
      </c>
      <c r="B121" s="8" t="s">
        <v>22</v>
      </c>
      <c r="C121" s="9">
        <v>10215</v>
      </c>
      <c r="D121" t="str">
        <f t="shared" si="1"/>
        <v>2020-55-59 år</v>
      </c>
    </row>
    <row r="122" spans="1:4" x14ac:dyDescent="0.35">
      <c r="A122" s="8" t="s">
        <v>36</v>
      </c>
      <c r="B122" s="8" t="s">
        <v>23</v>
      </c>
      <c r="C122" s="9">
        <v>6305</v>
      </c>
      <c r="D122" t="str">
        <f t="shared" si="1"/>
        <v>2020-60-64 år</v>
      </c>
    </row>
    <row r="123" spans="1:4" x14ac:dyDescent="0.35">
      <c r="A123" s="8" t="s">
        <v>36</v>
      </c>
      <c r="B123" s="8" t="s">
        <v>24</v>
      </c>
      <c r="C123" s="9">
        <v>2231</v>
      </c>
      <c r="D123" t="str">
        <f t="shared" si="1"/>
        <v>2020-65+ år</v>
      </c>
    </row>
    <row r="124" spans="1:4" x14ac:dyDescent="0.35">
      <c r="A124" s="8" t="s">
        <v>37</v>
      </c>
      <c r="B124" s="8" t="s">
        <v>16</v>
      </c>
      <c r="C124" s="9">
        <v>7687</v>
      </c>
      <c r="D124" t="str">
        <f t="shared" si="1"/>
        <v>2021-25-29 år</v>
      </c>
    </row>
    <row r="125" spans="1:4" x14ac:dyDescent="0.35">
      <c r="A125" s="8" t="s">
        <v>37</v>
      </c>
      <c r="B125" s="8" t="s">
        <v>17</v>
      </c>
      <c r="C125" s="9">
        <v>8844</v>
      </c>
      <c r="D125" t="str">
        <f t="shared" si="1"/>
        <v>2021-30-34 år</v>
      </c>
    </row>
    <row r="126" spans="1:4" x14ac:dyDescent="0.35">
      <c r="A126" s="8" t="s">
        <v>37</v>
      </c>
      <c r="B126" s="8" t="s">
        <v>18</v>
      </c>
      <c r="C126" s="9">
        <v>8987</v>
      </c>
      <c r="D126" t="str">
        <f t="shared" si="1"/>
        <v>2021-35-39 år</v>
      </c>
    </row>
    <row r="127" spans="1:4" x14ac:dyDescent="0.35">
      <c r="A127" s="8" t="s">
        <v>37</v>
      </c>
      <c r="B127" s="8" t="s">
        <v>19</v>
      </c>
      <c r="C127" s="9">
        <v>10002</v>
      </c>
      <c r="D127" t="str">
        <f t="shared" si="1"/>
        <v>2021-40-44 år</v>
      </c>
    </row>
    <row r="128" spans="1:4" x14ac:dyDescent="0.35">
      <c r="A128" s="8" t="s">
        <v>37</v>
      </c>
      <c r="B128" s="8" t="s">
        <v>20</v>
      </c>
      <c r="C128" s="9">
        <v>10036</v>
      </c>
      <c r="D128" t="str">
        <f t="shared" si="1"/>
        <v>2021-45-49 år</v>
      </c>
    </row>
    <row r="129" spans="1:4" x14ac:dyDescent="0.35">
      <c r="A129" s="8" t="s">
        <v>37</v>
      </c>
      <c r="B129" s="8" t="s">
        <v>21</v>
      </c>
      <c r="C129" s="9">
        <v>10467</v>
      </c>
      <c r="D129" t="str">
        <f t="shared" si="1"/>
        <v>2021-50-54 år</v>
      </c>
    </row>
    <row r="130" spans="1:4" x14ac:dyDescent="0.35">
      <c r="A130" s="8" t="s">
        <v>37</v>
      </c>
      <c r="B130" s="8" t="s">
        <v>22</v>
      </c>
      <c r="C130" s="9">
        <v>10749</v>
      </c>
      <c r="D130" t="str">
        <f t="shared" si="1"/>
        <v>2021-55-59 år</v>
      </c>
    </row>
    <row r="131" spans="1:4" x14ac:dyDescent="0.35">
      <c r="A131" s="8" t="s">
        <v>37</v>
      </c>
      <c r="B131" s="8" t="s">
        <v>23</v>
      </c>
      <c r="C131" s="9">
        <v>6688</v>
      </c>
      <c r="D131" t="str">
        <f t="shared" si="1"/>
        <v>2021-60-64 år</v>
      </c>
    </row>
    <row r="132" spans="1:4" x14ac:dyDescent="0.35">
      <c r="A132" s="8" t="s">
        <v>37</v>
      </c>
      <c r="B132" s="8" t="s">
        <v>24</v>
      </c>
      <c r="C132" s="9">
        <v>2522</v>
      </c>
      <c r="D132" t="str">
        <f t="shared" si="1"/>
        <v>2021-65+ år</v>
      </c>
    </row>
    <row r="133" spans="1:4" x14ac:dyDescent="0.35">
      <c r="A133" s="8" t="s">
        <v>38</v>
      </c>
      <c r="B133" s="8" t="s">
        <v>16</v>
      </c>
      <c r="C133" s="9">
        <v>8107</v>
      </c>
      <c r="D133" t="str">
        <f t="shared" si="1"/>
        <v>2022-25-29 år</v>
      </c>
    </row>
    <row r="134" spans="1:4" x14ac:dyDescent="0.35">
      <c r="A134" s="8" t="s">
        <v>38</v>
      </c>
      <c r="B134" s="8" t="s">
        <v>17</v>
      </c>
      <c r="C134" s="9">
        <v>9307</v>
      </c>
      <c r="D134" t="str">
        <f t="shared" si="1"/>
        <v>2022-30-34 år</v>
      </c>
    </row>
    <row r="135" spans="1:4" x14ac:dyDescent="0.35">
      <c r="A135" s="8" t="s">
        <v>38</v>
      </c>
      <c r="B135" s="8" t="s">
        <v>18</v>
      </c>
      <c r="C135" s="9">
        <v>9287</v>
      </c>
      <c r="D135" t="str">
        <f t="shared" ref="D135:D158" si="2">A135&amp;"-"&amp;B135</f>
        <v>2022-35-39 år</v>
      </c>
    </row>
    <row r="136" spans="1:4" x14ac:dyDescent="0.35">
      <c r="A136" s="8" t="s">
        <v>38</v>
      </c>
      <c r="B136" s="8" t="s">
        <v>19</v>
      </c>
      <c r="C136" s="9">
        <v>9808</v>
      </c>
      <c r="D136" t="str">
        <f t="shared" si="2"/>
        <v>2022-40-44 år</v>
      </c>
    </row>
    <row r="137" spans="1:4" x14ac:dyDescent="0.35">
      <c r="A137" s="8" t="s">
        <v>38</v>
      </c>
      <c r="B137" s="8" t="s">
        <v>20</v>
      </c>
      <c r="C137" s="9">
        <v>10063</v>
      </c>
      <c r="D137" t="str">
        <f t="shared" si="2"/>
        <v>2022-45-49 år</v>
      </c>
    </row>
    <row r="138" spans="1:4" x14ac:dyDescent="0.35">
      <c r="A138" s="8" t="s">
        <v>38</v>
      </c>
      <c r="B138" s="8" t="s">
        <v>21</v>
      </c>
      <c r="C138" s="9">
        <v>9799</v>
      </c>
      <c r="D138" t="str">
        <f t="shared" si="2"/>
        <v>2022-50-54 år</v>
      </c>
    </row>
    <row r="139" spans="1:4" x14ac:dyDescent="0.35">
      <c r="A139" s="8" t="s">
        <v>38</v>
      </c>
      <c r="B139" s="8" t="s">
        <v>22</v>
      </c>
      <c r="C139" s="9">
        <v>11340</v>
      </c>
      <c r="D139" t="str">
        <f t="shared" si="2"/>
        <v>2022-55-59 år</v>
      </c>
    </row>
    <row r="140" spans="1:4" x14ac:dyDescent="0.35">
      <c r="A140" s="8" t="s">
        <v>38</v>
      </c>
      <c r="B140" s="8" t="s">
        <v>23</v>
      </c>
      <c r="C140" s="9">
        <v>6943</v>
      </c>
      <c r="D140" t="str">
        <f t="shared" si="2"/>
        <v>2022-60-64 år</v>
      </c>
    </row>
    <row r="141" spans="1:4" x14ac:dyDescent="0.35">
      <c r="A141" s="8" t="s">
        <v>38</v>
      </c>
      <c r="B141" s="8" t="s">
        <v>24</v>
      </c>
      <c r="C141" s="9">
        <v>2779</v>
      </c>
      <c r="D141" t="str">
        <f t="shared" si="2"/>
        <v>2022-65+ år</v>
      </c>
    </row>
    <row r="142" spans="1:4" x14ac:dyDescent="0.35">
      <c r="A142" s="8" t="s">
        <v>39</v>
      </c>
      <c r="B142" s="8" t="s">
        <v>16</v>
      </c>
      <c r="C142" s="9">
        <v>8433</v>
      </c>
      <c r="D142" t="str">
        <f t="shared" si="2"/>
        <v>2023-25-29 år</v>
      </c>
    </row>
    <row r="143" spans="1:4" x14ac:dyDescent="0.35">
      <c r="A143" s="8" t="s">
        <v>39</v>
      </c>
      <c r="B143" s="8" t="s">
        <v>17</v>
      </c>
      <c r="C143" s="9">
        <v>9786</v>
      </c>
      <c r="D143" t="str">
        <f t="shared" si="2"/>
        <v>2023-30-34 år</v>
      </c>
    </row>
    <row r="144" spans="1:4" x14ac:dyDescent="0.35">
      <c r="A144" s="8" t="s">
        <v>39</v>
      </c>
      <c r="B144" s="8" t="s">
        <v>18</v>
      </c>
      <c r="C144" s="9">
        <v>9648</v>
      </c>
      <c r="D144" t="str">
        <f t="shared" si="2"/>
        <v>2023-35-39 år</v>
      </c>
    </row>
    <row r="145" spans="1:4" x14ac:dyDescent="0.35">
      <c r="A145" s="8" t="s">
        <v>39</v>
      </c>
      <c r="B145" s="8" t="s">
        <v>19</v>
      </c>
      <c r="C145" s="9">
        <v>9770</v>
      </c>
      <c r="D145" t="str">
        <f t="shared" si="2"/>
        <v>2023-40-44 år</v>
      </c>
    </row>
    <row r="146" spans="1:4" x14ac:dyDescent="0.35">
      <c r="A146" s="8" t="s">
        <v>39</v>
      </c>
      <c r="B146" s="8" t="s">
        <v>20</v>
      </c>
      <c r="C146" s="9">
        <v>10262</v>
      </c>
      <c r="D146" t="str">
        <f t="shared" si="2"/>
        <v>2023-45-49 år</v>
      </c>
    </row>
    <row r="147" spans="1:4" x14ac:dyDescent="0.35">
      <c r="A147" s="8" t="s">
        <v>39</v>
      </c>
      <c r="B147" s="8" t="s">
        <v>21</v>
      </c>
      <c r="C147" s="9">
        <v>9513</v>
      </c>
      <c r="D147" t="str">
        <f t="shared" si="2"/>
        <v>2023-50-54 år</v>
      </c>
    </row>
    <row r="148" spans="1:4" x14ac:dyDescent="0.35">
      <c r="A148" s="8" t="s">
        <v>39</v>
      </c>
      <c r="B148" s="8" t="s">
        <v>22</v>
      </c>
      <c r="C148" s="9">
        <v>11614</v>
      </c>
      <c r="D148" t="str">
        <f t="shared" si="2"/>
        <v>2023-55-59 år</v>
      </c>
    </row>
    <row r="149" spans="1:4" x14ac:dyDescent="0.35">
      <c r="A149" s="8" t="s">
        <v>39</v>
      </c>
      <c r="B149" s="8" t="s">
        <v>23</v>
      </c>
      <c r="C149" s="9">
        <v>7443</v>
      </c>
      <c r="D149" t="str">
        <f t="shared" si="2"/>
        <v>2023-60-64 år</v>
      </c>
    </row>
    <row r="150" spans="1:4" x14ac:dyDescent="0.35">
      <c r="A150" s="8" t="s">
        <v>39</v>
      </c>
      <c r="B150" s="8" t="s">
        <v>24</v>
      </c>
      <c r="C150" s="9">
        <v>3139</v>
      </c>
      <c r="D150" t="str">
        <f t="shared" si="2"/>
        <v>2023-65+ år</v>
      </c>
    </row>
    <row r="151" spans="1:4" x14ac:dyDescent="0.35">
      <c r="A151" s="8" t="s">
        <v>40</v>
      </c>
      <c r="B151" s="8" t="s">
        <v>16</v>
      </c>
      <c r="C151" s="9">
        <v>8560</v>
      </c>
      <c r="D151" t="str">
        <f t="shared" si="2"/>
        <v>2024-25-29 år</v>
      </c>
    </row>
    <row r="152" spans="1:4" x14ac:dyDescent="0.35">
      <c r="A152" s="8" t="s">
        <v>40</v>
      </c>
      <c r="B152" s="8" t="s">
        <v>17</v>
      </c>
      <c r="C152" s="9">
        <v>10150</v>
      </c>
      <c r="D152" t="str">
        <f t="shared" si="2"/>
        <v>2024-30-34 år</v>
      </c>
    </row>
    <row r="153" spans="1:4" x14ac:dyDescent="0.35">
      <c r="A153" s="8" t="s">
        <v>40</v>
      </c>
      <c r="B153" s="8" t="s">
        <v>18</v>
      </c>
      <c r="C153" s="9">
        <v>9885</v>
      </c>
      <c r="D153" t="str">
        <f t="shared" si="2"/>
        <v>2024-35-39 år</v>
      </c>
    </row>
    <row r="154" spans="1:4" x14ac:dyDescent="0.35">
      <c r="A154" s="8" t="s">
        <v>40</v>
      </c>
      <c r="B154" s="8" t="s">
        <v>19</v>
      </c>
      <c r="C154" s="9">
        <v>9594</v>
      </c>
      <c r="D154" t="str">
        <f t="shared" si="2"/>
        <v>2024-40-44 år</v>
      </c>
    </row>
    <row r="155" spans="1:4" x14ac:dyDescent="0.35">
      <c r="A155" s="8" t="s">
        <v>40</v>
      </c>
      <c r="B155" s="8" t="s">
        <v>20</v>
      </c>
      <c r="C155" s="9">
        <v>10483</v>
      </c>
      <c r="D155" t="str">
        <f t="shared" si="2"/>
        <v>2024-45-49 år</v>
      </c>
    </row>
    <row r="156" spans="1:4" x14ac:dyDescent="0.35">
      <c r="A156" s="8" t="s">
        <v>40</v>
      </c>
      <c r="B156" s="8" t="s">
        <v>21</v>
      </c>
      <c r="C156" s="9">
        <v>9604</v>
      </c>
      <c r="D156" t="str">
        <f t="shared" si="2"/>
        <v>2024-50-54 år</v>
      </c>
    </row>
    <row r="157" spans="1:4" x14ac:dyDescent="0.35">
      <c r="A157" s="8" t="s">
        <v>40</v>
      </c>
      <c r="B157" s="8" t="s">
        <v>22</v>
      </c>
      <c r="C157" s="9">
        <v>11402</v>
      </c>
      <c r="D157" t="str">
        <f t="shared" si="2"/>
        <v>2024-55-59 år</v>
      </c>
    </row>
    <row r="158" spans="1:4" x14ac:dyDescent="0.35">
      <c r="A158" s="8" t="s">
        <v>40</v>
      </c>
      <c r="B158" s="8" t="s">
        <v>23</v>
      </c>
      <c r="C158" s="9">
        <v>7871</v>
      </c>
      <c r="D158" t="str">
        <f t="shared" si="2"/>
        <v>2024-60-64 år</v>
      </c>
    </row>
    <row r="159" spans="1:4" ht="15" thickBot="1" x14ac:dyDescent="0.4">
      <c r="A159" s="8" t="s">
        <v>40</v>
      </c>
      <c r="B159" s="8" t="s">
        <v>24</v>
      </c>
      <c r="C159" s="9">
        <v>3573</v>
      </c>
      <c r="D159" t="str">
        <f>A159&amp;"-"&amp;B159</f>
        <v>2024-65+ år</v>
      </c>
    </row>
    <row r="160" spans="1:4" ht="15" thickTop="1" x14ac:dyDescent="0.35">
      <c r="A160" s="10"/>
      <c r="B160" s="10"/>
      <c r="C160" s="10"/>
    </row>
    <row r="162" spans="1:1" x14ac:dyDescent="0.35">
      <c r="A162" t="s">
        <v>41</v>
      </c>
    </row>
    <row r="163" spans="1:1" x14ac:dyDescent="0.35">
      <c r="A163" t="s">
        <v>42</v>
      </c>
    </row>
  </sheetData>
  <pageMargins left="0.7" right="0.7" top="0.75" bottom="0.75" header="0.3" footer="0.3"/>
  <pageSetup orientation="portrait" horizontalDpi="4294967295" verticalDpi="429496729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F9C8-6D12-4BCB-A3D1-086DAA0F4CF8}">
  <sheetPr>
    <tabColor theme="9" tint="0.79998168889431442"/>
  </sheetPr>
  <dimension ref="A1:D146"/>
  <sheetViews>
    <sheetView workbookViewId="0">
      <selection activeCell="C8" sqref="C8:C13"/>
    </sheetView>
  </sheetViews>
  <sheetFormatPr defaultRowHeight="14.5" x14ac:dyDescent="0.35"/>
  <cols>
    <col min="2" max="2" width="13" customWidth="1"/>
    <col min="3" max="3" width="31" customWidth="1"/>
  </cols>
  <sheetData>
    <row r="1" spans="1:4" ht="24" thickBot="1" x14ac:dyDescent="0.6">
      <c r="A1" s="6" t="s">
        <v>43</v>
      </c>
      <c r="B1" s="7"/>
      <c r="C1" s="7"/>
    </row>
    <row r="2" spans="1:4" ht="15" thickTop="1" x14ac:dyDescent="0.35">
      <c r="C2" s="8" t="s">
        <v>10</v>
      </c>
    </row>
    <row r="3" spans="1:4" x14ac:dyDescent="0.35">
      <c r="C3" s="8" t="s">
        <v>44</v>
      </c>
    </row>
    <row r="4" spans="1:4" x14ac:dyDescent="0.35">
      <c r="C4" s="8" t="s">
        <v>11</v>
      </c>
    </row>
    <row r="5" spans="1:4" x14ac:dyDescent="0.35">
      <c r="C5" s="8" t="s">
        <v>12</v>
      </c>
    </row>
    <row r="6" spans="1:4" x14ac:dyDescent="0.35">
      <c r="C6" s="8" t="s">
        <v>13</v>
      </c>
    </row>
    <row r="7" spans="1:4" x14ac:dyDescent="0.35">
      <c r="C7" s="8" t="s">
        <v>45</v>
      </c>
    </row>
    <row r="8" spans="1:4" x14ac:dyDescent="0.35">
      <c r="A8" s="8" t="s">
        <v>25</v>
      </c>
      <c r="B8" s="8" t="s">
        <v>16</v>
      </c>
      <c r="C8" s="9">
        <v>3410</v>
      </c>
      <c r="D8" t="str">
        <f t="shared" ref="D8:D71" si="0">A8&amp;"-"&amp;B8</f>
        <v>2009-25-29 år</v>
      </c>
    </row>
    <row r="9" spans="1:4" x14ac:dyDescent="0.35">
      <c r="A9" s="8" t="s">
        <v>25</v>
      </c>
      <c r="B9" s="8" t="s">
        <v>17</v>
      </c>
      <c r="C9" s="9">
        <v>3525</v>
      </c>
      <c r="D9" t="str">
        <f t="shared" si="0"/>
        <v>2009-30-34 år</v>
      </c>
    </row>
    <row r="10" spans="1:4" x14ac:dyDescent="0.35">
      <c r="A10" s="8" t="s">
        <v>25</v>
      </c>
      <c r="B10" s="8" t="s">
        <v>18</v>
      </c>
      <c r="C10" s="9">
        <v>3090</v>
      </c>
      <c r="D10" t="str">
        <f t="shared" si="0"/>
        <v>2009-35-39 år</v>
      </c>
    </row>
    <row r="11" spans="1:4" x14ac:dyDescent="0.35">
      <c r="A11" s="8" t="s">
        <v>25</v>
      </c>
      <c r="B11" s="8" t="s">
        <v>19</v>
      </c>
      <c r="C11" s="9">
        <v>4180</v>
      </c>
      <c r="D11" t="str">
        <f t="shared" si="0"/>
        <v>2009-40-44 år</v>
      </c>
    </row>
    <row r="12" spans="1:4" x14ac:dyDescent="0.35">
      <c r="A12" s="8" t="s">
        <v>25</v>
      </c>
      <c r="B12" s="8" t="s">
        <v>20</v>
      </c>
      <c r="C12" s="9">
        <v>3533</v>
      </c>
      <c r="D12" t="str">
        <f t="shared" si="0"/>
        <v>2009-45-49 år</v>
      </c>
    </row>
    <row r="13" spans="1:4" x14ac:dyDescent="0.35">
      <c r="A13" s="8" t="s">
        <v>25</v>
      </c>
      <c r="B13" s="8" t="s">
        <v>21</v>
      </c>
      <c r="C13" s="9">
        <v>2940</v>
      </c>
      <c r="D13" t="str">
        <f t="shared" si="0"/>
        <v>2009-50-54 år</v>
      </c>
    </row>
    <row r="14" spans="1:4" x14ac:dyDescent="0.35">
      <c r="A14" s="8" t="s">
        <v>25</v>
      </c>
      <c r="B14" s="8" t="s">
        <v>22</v>
      </c>
      <c r="C14" s="9">
        <v>2419</v>
      </c>
      <c r="D14" t="str">
        <f t="shared" si="0"/>
        <v>2009-55-59 år</v>
      </c>
    </row>
    <row r="15" spans="1:4" x14ac:dyDescent="0.35">
      <c r="A15" s="8" t="s">
        <v>25</v>
      </c>
      <c r="B15" s="8" t="s">
        <v>23</v>
      </c>
      <c r="C15" s="9">
        <v>1263</v>
      </c>
      <c r="D15" t="str">
        <f t="shared" si="0"/>
        <v>2009-60-64 år</v>
      </c>
    </row>
    <row r="16" spans="1:4" x14ac:dyDescent="0.35">
      <c r="A16" s="8" t="s">
        <v>25</v>
      </c>
      <c r="B16" s="8" t="s">
        <v>46</v>
      </c>
      <c r="C16" s="9">
        <v>196</v>
      </c>
      <c r="D16" t="str">
        <f t="shared" si="0"/>
        <v>2009-65-69 år</v>
      </c>
    </row>
    <row r="17" spans="1:4" x14ac:dyDescent="0.35">
      <c r="A17" s="8" t="s">
        <v>26</v>
      </c>
      <c r="B17" s="8" t="s">
        <v>16</v>
      </c>
      <c r="C17" s="9">
        <v>2457</v>
      </c>
      <c r="D17" t="str">
        <f t="shared" si="0"/>
        <v>2010-25-29 år</v>
      </c>
    </row>
    <row r="18" spans="1:4" x14ac:dyDescent="0.35">
      <c r="A18" s="8" t="s">
        <v>26</v>
      </c>
      <c r="B18" s="8" t="s">
        <v>17</v>
      </c>
      <c r="C18" s="9">
        <v>2382</v>
      </c>
      <c r="D18" t="str">
        <f t="shared" si="0"/>
        <v>2010-30-34 år</v>
      </c>
    </row>
    <row r="19" spans="1:4" x14ac:dyDescent="0.35">
      <c r="A19" s="8" t="s">
        <v>26</v>
      </c>
      <c r="B19" s="8" t="s">
        <v>18</v>
      </c>
      <c r="C19" s="9">
        <v>1880</v>
      </c>
      <c r="D19" t="str">
        <f t="shared" si="0"/>
        <v>2010-35-39 år</v>
      </c>
    </row>
    <row r="20" spans="1:4" x14ac:dyDescent="0.35">
      <c r="A20" s="8" t="s">
        <v>26</v>
      </c>
      <c r="B20" s="8" t="s">
        <v>19</v>
      </c>
      <c r="C20" s="9">
        <v>2045</v>
      </c>
      <c r="D20" t="str">
        <f t="shared" si="0"/>
        <v>2010-40-44 år</v>
      </c>
    </row>
    <row r="21" spans="1:4" x14ac:dyDescent="0.35">
      <c r="A21" s="8" t="s">
        <v>26</v>
      </c>
      <c r="B21" s="8" t="s">
        <v>20</v>
      </c>
      <c r="C21" s="9">
        <v>1826</v>
      </c>
      <c r="D21" t="str">
        <f t="shared" si="0"/>
        <v>2010-45-49 år</v>
      </c>
    </row>
    <row r="22" spans="1:4" x14ac:dyDescent="0.35">
      <c r="A22" s="8" t="s">
        <v>26</v>
      </c>
      <c r="B22" s="8" t="s">
        <v>21</v>
      </c>
      <c r="C22" s="9">
        <v>1417</v>
      </c>
      <c r="D22" t="str">
        <f t="shared" si="0"/>
        <v>2010-50-54 år</v>
      </c>
    </row>
    <row r="23" spans="1:4" x14ac:dyDescent="0.35">
      <c r="A23" s="8" t="s">
        <v>26</v>
      </c>
      <c r="B23" s="8" t="s">
        <v>22</v>
      </c>
      <c r="C23" s="9">
        <v>1229</v>
      </c>
      <c r="D23" t="str">
        <f t="shared" si="0"/>
        <v>2010-55-59 år</v>
      </c>
    </row>
    <row r="24" spans="1:4" x14ac:dyDescent="0.35">
      <c r="A24" s="8" t="s">
        <v>26</v>
      </c>
      <c r="B24" s="8" t="s">
        <v>23</v>
      </c>
      <c r="C24" s="9">
        <v>712</v>
      </c>
      <c r="D24" t="str">
        <f t="shared" si="0"/>
        <v>2010-60-64 år</v>
      </c>
    </row>
    <row r="25" spans="1:4" x14ac:dyDescent="0.35">
      <c r="A25" s="8" t="s">
        <v>26</v>
      </c>
      <c r="B25" s="8" t="s">
        <v>46</v>
      </c>
      <c r="C25" s="9">
        <v>220</v>
      </c>
      <c r="D25" t="str">
        <f t="shared" si="0"/>
        <v>2010-65-69 år</v>
      </c>
    </row>
    <row r="26" spans="1:4" x14ac:dyDescent="0.35">
      <c r="A26" s="8" t="s">
        <v>27</v>
      </c>
      <c r="B26" s="8" t="s">
        <v>16</v>
      </c>
      <c r="C26" s="9">
        <v>2791</v>
      </c>
      <c r="D26" t="str">
        <f t="shared" si="0"/>
        <v>2011-25-29 år</v>
      </c>
    </row>
    <row r="27" spans="1:4" x14ac:dyDescent="0.35">
      <c r="A27" s="8" t="s">
        <v>27</v>
      </c>
      <c r="B27" s="8" t="s">
        <v>17</v>
      </c>
      <c r="C27" s="9">
        <v>2600</v>
      </c>
      <c r="D27" t="str">
        <f t="shared" si="0"/>
        <v>2011-30-34 år</v>
      </c>
    </row>
    <row r="28" spans="1:4" x14ac:dyDescent="0.35">
      <c r="A28" s="8" t="s">
        <v>27</v>
      </c>
      <c r="B28" s="8" t="s">
        <v>18</v>
      </c>
      <c r="C28" s="9">
        <v>2164</v>
      </c>
      <c r="D28" t="str">
        <f t="shared" si="0"/>
        <v>2011-35-39 år</v>
      </c>
    </row>
    <row r="29" spans="1:4" x14ac:dyDescent="0.35">
      <c r="A29" s="8" t="s">
        <v>27</v>
      </c>
      <c r="B29" s="8" t="s">
        <v>19</v>
      </c>
      <c r="C29" s="9">
        <v>2134</v>
      </c>
      <c r="D29" t="str">
        <f t="shared" si="0"/>
        <v>2011-40-44 år</v>
      </c>
    </row>
    <row r="30" spans="1:4" x14ac:dyDescent="0.35">
      <c r="A30" s="8" t="s">
        <v>27</v>
      </c>
      <c r="B30" s="8" t="s">
        <v>20</v>
      </c>
      <c r="C30" s="9">
        <v>2030</v>
      </c>
      <c r="D30" t="str">
        <f t="shared" si="0"/>
        <v>2011-45-49 år</v>
      </c>
    </row>
    <row r="31" spans="1:4" x14ac:dyDescent="0.35">
      <c r="A31" s="8" t="s">
        <v>27</v>
      </c>
      <c r="B31" s="8" t="s">
        <v>21</v>
      </c>
      <c r="C31" s="9">
        <v>1660</v>
      </c>
      <c r="D31" t="str">
        <f t="shared" si="0"/>
        <v>2011-50-54 år</v>
      </c>
    </row>
    <row r="32" spans="1:4" x14ac:dyDescent="0.35">
      <c r="A32" s="8" t="s">
        <v>27</v>
      </c>
      <c r="B32" s="8" t="s">
        <v>22</v>
      </c>
      <c r="C32" s="9">
        <v>1415</v>
      </c>
      <c r="D32" t="str">
        <f t="shared" si="0"/>
        <v>2011-55-59 år</v>
      </c>
    </row>
    <row r="33" spans="1:4" x14ac:dyDescent="0.35">
      <c r="A33" s="8" t="s">
        <v>27</v>
      </c>
      <c r="B33" s="8" t="s">
        <v>23</v>
      </c>
      <c r="C33" s="9">
        <v>726</v>
      </c>
      <c r="D33" t="str">
        <f t="shared" si="0"/>
        <v>2011-60-64 år</v>
      </c>
    </row>
    <row r="34" spans="1:4" x14ac:dyDescent="0.35">
      <c r="A34" s="8" t="s">
        <v>27</v>
      </c>
      <c r="B34" s="8" t="s">
        <v>46</v>
      </c>
      <c r="C34" s="9">
        <v>197</v>
      </c>
      <c r="D34" t="str">
        <f t="shared" si="0"/>
        <v>2011-65-69 år</v>
      </c>
    </row>
    <row r="35" spans="1:4" x14ac:dyDescent="0.35">
      <c r="A35" s="8" t="s">
        <v>28</v>
      </c>
      <c r="B35" s="8" t="s">
        <v>16</v>
      </c>
      <c r="C35" s="9">
        <v>2457</v>
      </c>
      <c r="D35" t="str">
        <f t="shared" si="0"/>
        <v>2012-25-29 år</v>
      </c>
    </row>
    <row r="36" spans="1:4" x14ac:dyDescent="0.35">
      <c r="A36" s="8" t="s">
        <v>28</v>
      </c>
      <c r="B36" s="8" t="s">
        <v>17</v>
      </c>
      <c r="C36" s="9">
        <v>2116</v>
      </c>
      <c r="D36" t="str">
        <f t="shared" si="0"/>
        <v>2012-30-34 år</v>
      </c>
    </row>
    <row r="37" spans="1:4" x14ac:dyDescent="0.35">
      <c r="A37" s="8" t="s">
        <v>28</v>
      </c>
      <c r="B37" s="8" t="s">
        <v>18</v>
      </c>
      <c r="C37" s="9">
        <v>1935</v>
      </c>
      <c r="D37" t="str">
        <f t="shared" si="0"/>
        <v>2012-35-39 år</v>
      </c>
    </row>
    <row r="38" spans="1:4" x14ac:dyDescent="0.35">
      <c r="A38" s="8" t="s">
        <v>28</v>
      </c>
      <c r="B38" s="8" t="s">
        <v>19</v>
      </c>
      <c r="C38" s="9">
        <v>1734</v>
      </c>
      <c r="D38" t="str">
        <f t="shared" si="0"/>
        <v>2012-40-44 år</v>
      </c>
    </row>
    <row r="39" spans="1:4" x14ac:dyDescent="0.35">
      <c r="A39" s="8" t="s">
        <v>28</v>
      </c>
      <c r="B39" s="8" t="s">
        <v>20</v>
      </c>
      <c r="C39" s="9">
        <v>1913</v>
      </c>
      <c r="D39" t="str">
        <f t="shared" si="0"/>
        <v>2012-45-49 år</v>
      </c>
    </row>
    <row r="40" spans="1:4" x14ac:dyDescent="0.35">
      <c r="A40" s="8" t="s">
        <v>28</v>
      </c>
      <c r="B40" s="8" t="s">
        <v>21</v>
      </c>
      <c r="C40" s="9">
        <v>1465</v>
      </c>
      <c r="D40" t="str">
        <f t="shared" si="0"/>
        <v>2012-50-54 år</v>
      </c>
    </row>
    <row r="41" spans="1:4" x14ac:dyDescent="0.35">
      <c r="A41" s="8" t="s">
        <v>28</v>
      </c>
      <c r="B41" s="8" t="s">
        <v>22</v>
      </c>
      <c r="C41" s="9">
        <v>1254</v>
      </c>
      <c r="D41" t="str">
        <f t="shared" si="0"/>
        <v>2012-55-59 år</v>
      </c>
    </row>
    <row r="42" spans="1:4" x14ac:dyDescent="0.35">
      <c r="A42" s="8" t="s">
        <v>28</v>
      </c>
      <c r="B42" s="8" t="s">
        <v>23</v>
      </c>
      <c r="C42" s="9">
        <v>718</v>
      </c>
      <c r="D42" t="str">
        <f t="shared" si="0"/>
        <v>2012-60-64 år</v>
      </c>
    </row>
    <row r="43" spans="1:4" x14ac:dyDescent="0.35">
      <c r="A43" s="8" t="s">
        <v>28</v>
      </c>
      <c r="B43" s="8" t="s">
        <v>46</v>
      </c>
      <c r="C43" s="9">
        <v>208</v>
      </c>
      <c r="D43" t="str">
        <f t="shared" si="0"/>
        <v>2012-65-69 år</v>
      </c>
    </row>
    <row r="44" spans="1:4" x14ac:dyDescent="0.35">
      <c r="A44" s="8" t="s">
        <v>29</v>
      </c>
      <c r="B44" s="8" t="s">
        <v>16</v>
      </c>
      <c r="C44" s="9">
        <v>2524</v>
      </c>
      <c r="D44" t="str">
        <f t="shared" si="0"/>
        <v>2013-25-29 år</v>
      </c>
    </row>
    <row r="45" spans="1:4" x14ac:dyDescent="0.35">
      <c r="A45" s="8" t="s">
        <v>29</v>
      </c>
      <c r="B45" s="8" t="s">
        <v>17</v>
      </c>
      <c r="C45" s="9">
        <v>2176</v>
      </c>
      <c r="D45" t="str">
        <f t="shared" si="0"/>
        <v>2013-30-34 år</v>
      </c>
    </row>
    <row r="46" spans="1:4" x14ac:dyDescent="0.35">
      <c r="A46" s="8" t="s">
        <v>29</v>
      </c>
      <c r="B46" s="8" t="s">
        <v>18</v>
      </c>
      <c r="C46" s="9">
        <v>1896</v>
      </c>
      <c r="D46" t="str">
        <f t="shared" si="0"/>
        <v>2013-35-39 år</v>
      </c>
    </row>
    <row r="47" spans="1:4" x14ac:dyDescent="0.35">
      <c r="A47" s="8" t="s">
        <v>29</v>
      </c>
      <c r="B47" s="8" t="s">
        <v>19</v>
      </c>
      <c r="C47" s="9">
        <v>1579</v>
      </c>
      <c r="D47" t="str">
        <f t="shared" si="0"/>
        <v>2013-40-44 år</v>
      </c>
    </row>
    <row r="48" spans="1:4" x14ac:dyDescent="0.35">
      <c r="A48" s="8" t="s">
        <v>29</v>
      </c>
      <c r="B48" s="8" t="s">
        <v>20</v>
      </c>
      <c r="C48" s="9">
        <v>1915</v>
      </c>
      <c r="D48" t="str">
        <f t="shared" si="0"/>
        <v>2013-45-49 år</v>
      </c>
    </row>
    <row r="49" spans="1:4" x14ac:dyDescent="0.35">
      <c r="A49" s="8" t="s">
        <v>29</v>
      </c>
      <c r="B49" s="8" t="s">
        <v>21</v>
      </c>
      <c r="C49" s="9">
        <v>1462</v>
      </c>
      <c r="D49" t="str">
        <f t="shared" si="0"/>
        <v>2013-50-54 år</v>
      </c>
    </row>
    <row r="50" spans="1:4" x14ac:dyDescent="0.35">
      <c r="A50" s="8" t="s">
        <v>29</v>
      </c>
      <c r="B50" s="8" t="s">
        <v>22</v>
      </c>
      <c r="C50" s="9">
        <v>1227</v>
      </c>
      <c r="D50" t="str">
        <f t="shared" si="0"/>
        <v>2013-55-59 år</v>
      </c>
    </row>
    <row r="51" spans="1:4" x14ac:dyDescent="0.35">
      <c r="A51" s="8" t="s">
        <v>29</v>
      </c>
      <c r="B51" s="8" t="s">
        <v>23</v>
      </c>
      <c r="C51" s="9">
        <v>667</v>
      </c>
      <c r="D51" t="str">
        <f t="shared" si="0"/>
        <v>2013-60-64 år</v>
      </c>
    </row>
    <row r="52" spans="1:4" x14ac:dyDescent="0.35">
      <c r="A52" s="8" t="s">
        <v>29</v>
      </c>
      <c r="B52" s="8" t="s">
        <v>46</v>
      </c>
      <c r="C52" s="9">
        <v>224</v>
      </c>
      <c r="D52" t="str">
        <f t="shared" si="0"/>
        <v>2013-65-69 år</v>
      </c>
    </row>
    <row r="53" spans="1:4" x14ac:dyDescent="0.35">
      <c r="A53" s="8" t="s">
        <v>30</v>
      </c>
      <c r="B53" s="8" t="s">
        <v>16</v>
      </c>
      <c r="C53" s="9">
        <v>2521</v>
      </c>
      <c r="D53" t="str">
        <f t="shared" si="0"/>
        <v>2014-25-29 år</v>
      </c>
    </row>
    <row r="54" spans="1:4" x14ac:dyDescent="0.35">
      <c r="A54" s="8" t="s">
        <v>30</v>
      </c>
      <c r="B54" s="8" t="s">
        <v>17</v>
      </c>
      <c r="C54" s="9">
        <v>2178</v>
      </c>
      <c r="D54" t="str">
        <f t="shared" si="0"/>
        <v>2014-30-34 år</v>
      </c>
    </row>
    <row r="55" spans="1:4" x14ac:dyDescent="0.35">
      <c r="A55" s="8" t="s">
        <v>30</v>
      </c>
      <c r="B55" s="8" t="s">
        <v>18</v>
      </c>
      <c r="C55" s="9">
        <v>2066</v>
      </c>
      <c r="D55" t="str">
        <f t="shared" si="0"/>
        <v>2014-35-39 år</v>
      </c>
    </row>
    <row r="56" spans="1:4" x14ac:dyDescent="0.35">
      <c r="A56" s="8" t="s">
        <v>30</v>
      </c>
      <c r="B56" s="8" t="s">
        <v>19</v>
      </c>
      <c r="C56" s="9">
        <v>1647</v>
      </c>
      <c r="D56" t="str">
        <f t="shared" si="0"/>
        <v>2014-40-44 år</v>
      </c>
    </row>
    <row r="57" spans="1:4" x14ac:dyDescent="0.35">
      <c r="A57" s="8" t="s">
        <v>30</v>
      </c>
      <c r="B57" s="8" t="s">
        <v>20</v>
      </c>
      <c r="C57" s="9">
        <v>1953</v>
      </c>
      <c r="D57" t="str">
        <f t="shared" si="0"/>
        <v>2014-45-49 år</v>
      </c>
    </row>
    <row r="58" spans="1:4" x14ac:dyDescent="0.35">
      <c r="A58" s="8" t="s">
        <v>30</v>
      </c>
      <c r="B58" s="8" t="s">
        <v>21</v>
      </c>
      <c r="C58" s="9">
        <v>1636</v>
      </c>
      <c r="D58" t="str">
        <f t="shared" si="0"/>
        <v>2014-50-54 år</v>
      </c>
    </row>
    <row r="59" spans="1:4" x14ac:dyDescent="0.35">
      <c r="A59" s="8" t="s">
        <v>30</v>
      </c>
      <c r="B59" s="8" t="s">
        <v>22</v>
      </c>
      <c r="C59" s="9">
        <v>1231</v>
      </c>
      <c r="D59" t="str">
        <f t="shared" si="0"/>
        <v>2014-55-59 år</v>
      </c>
    </row>
    <row r="60" spans="1:4" x14ac:dyDescent="0.35">
      <c r="A60" s="8" t="s">
        <v>30</v>
      </c>
      <c r="B60" s="8" t="s">
        <v>23</v>
      </c>
      <c r="C60" s="9">
        <v>706</v>
      </c>
      <c r="D60" t="str">
        <f t="shared" si="0"/>
        <v>2014-60-64 år</v>
      </c>
    </row>
    <row r="61" spans="1:4" x14ac:dyDescent="0.35">
      <c r="A61" s="8" t="s">
        <v>30</v>
      </c>
      <c r="B61" s="8" t="s">
        <v>46</v>
      </c>
      <c r="C61" s="9">
        <v>204</v>
      </c>
      <c r="D61" t="str">
        <f t="shared" si="0"/>
        <v>2014-65-69 år</v>
      </c>
    </row>
    <row r="62" spans="1:4" x14ac:dyDescent="0.35">
      <c r="A62" s="8" t="s">
        <v>31</v>
      </c>
      <c r="B62" s="8" t="s">
        <v>16</v>
      </c>
      <c r="C62" s="9">
        <v>2715</v>
      </c>
      <c r="D62" t="str">
        <f t="shared" si="0"/>
        <v>2015-25-29 år</v>
      </c>
    </row>
    <row r="63" spans="1:4" x14ac:dyDescent="0.35">
      <c r="A63" s="8" t="s">
        <v>31</v>
      </c>
      <c r="B63" s="8" t="s">
        <v>17</v>
      </c>
      <c r="C63" s="9">
        <v>2473</v>
      </c>
      <c r="D63" t="str">
        <f t="shared" si="0"/>
        <v>2015-30-34 år</v>
      </c>
    </row>
    <row r="64" spans="1:4" x14ac:dyDescent="0.35">
      <c r="A64" s="8" t="s">
        <v>31</v>
      </c>
      <c r="B64" s="8" t="s">
        <v>18</v>
      </c>
      <c r="C64" s="9">
        <v>2378</v>
      </c>
      <c r="D64" t="str">
        <f t="shared" si="0"/>
        <v>2015-35-39 år</v>
      </c>
    </row>
    <row r="65" spans="1:4" x14ac:dyDescent="0.35">
      <c r="A65" s="8" t="s">
        <v>31</v>
      </c>
      <c r="B65" s="8" t="s">
        <v>19</v>
      </c>
      <c r="C65" s="9">
        <v>1902</v>
      </c>
      <c r="D65" t="str">
        <f t="shared" si="0"/>
        <v>2015-40-44 år</v>
      </c>
    </row>
    <row r="66" spans="1:4" x14ac:dyDescent="0.35">
      <c r="A66" s="8" t="s">
        <v>31</v>
      </c>
      <c r="B66" s="8" t="s">
        <v>20</v>
      </c>
      <c r="C66" s="9">
        <v>2085</v>
      </c>
      <c r="D66" t="str">
        <f t="shared" si="0"/>
        <v>2015-45-49 år</v>
      </c>
    </row>
    <row r="67" spans="1:4" x14ac:dyDescent="0.35">
      <c r="A67" s="8" t="s">
        <v>31</v>
      </c>
      <c r="B67" s="8" t="s">
        <v>21</v>
      </c>
      <c r="C67" s="9">
        <v>1717</v>
      </c>
      <c r="D67" t="str">
        <f t="shared" si="0"/>
        <v>2015-50-54 år</v>
      </c>
    </row>
    <row r="68" spans="1:4" x14ac:dyDescent="0.35">
      <c r="A68" s="8" t="s">
        <v>31</v>
      </c>
      <c r="B68" s="8" t="s">
        <v>22</v>
      </c>
      <c r="C68" s="9">
        <v>1226</v>
      </c>
      <c r="D68" t="str">
        <f t="shared" si="0"/>
        <v>2015-55-59 år</v>
      </c>
    </row>
    <row r="69" spans="1:4" x14ac:dyDescent="0.35">
      <c r="A69" s="8" t="s">
        <v>31</v>
      </c>
      <c r="B69" s="8" t="s">
        <v>23</v>
      </c>
      <c r="C69" s="9">
        <v>583</v>
      </c>
      <c r="D69" t="str">
        <f t="shared" si="0"/>
        <v>2015-60-64 år</v>
      </c>
    </row>
    <row r="70" spans="1:4" x14ac:dyDescent="0.35">
      <c r="A70" s="8" t="s">
        <v>31</v>
      </c>
      <c r="B70" s="8" t="s">
        <v>46</v>
      </c>
      <c r="C70" s="9">
        <v>211</v>
      </c>
      <c r="D70" t="str">
        <f t="shared" si="0"/>
        <v>2015-65-69 år</v>
      </c>
    </row>
    <row r="71" spans="1:4" x14ac:dyDescent="0.35">
      <c r="A71" s="8" t="s">
        <v>32</v>
      </c>
      <c r="B71" s="8" t="s">
        <v>16</v>
      </c>
      <c r="C71" s="9">
        <v>3005</v>
      </c>
      <c r="D71" t="str">
        <f t="shared" si="0"/>
        <v>2016-25-29 år</v>
      </c>
    </row>
    <row r="72" spans="1:4" x14ac:dyDescent="0.35">
      <c r="A72" s="8" t="s">
        <v>32</v>
      </c>
      <c r="B72" s="8" t="s">
        <v>17</v>
      </c>
      <c r="C72" s="9">
        <v>2584</v>
      </c>
      <c r="D72" t="str">
        <f t="shared" ref="D72:D135" si="1">A72&amp;"-"&amp;B72</f>
        <v>2016-30-34 år</v>
      </c>
    </row>
    <row r="73" spans="1:4" x14ac:dyDescent="0.35">
      <c r="A73" s="8" t="s">
        <v>32</v>
      </c>
      <c r="B73" s="8" t="s">
        <v>18</v>
      </c>
      <c r="C73" s="9">
        <v>2311</v>
      </c>
      <c r="D73" t="str">
        <f t="shared" si="1"/>
        <v>2016-35-39 år</v>
      </c>
    </row>
    <row r="74" spans="1:4" x14ac:dyDescent="0.35">
      <c r="A74" s="8" t="s">
        <v>32</v>
      </c>
      <c r="B74" s="8" t="s">
        <v>19</v>
      </c>
      <c r="C74" s="9">
        <v>2111</v>
      </c>
      <c r="D74" t="str">
        <f t="shared" si="1"/>
        <v>2016-40-44 år</v>
      </c>
    </row>
    <row r="75" spans="1:4" x14ac:dyDescent="0.35">
      <c r="A75" s="8" t="s">
        <v>32</v>
      </c>
      <c r="B75" s="8" t="s">
        <v>20</v>
      </c>
      <c r="C75" s="9">
        <v>2000</v>
      </c>
      <c r="D75" t="str">
        <f t="shared" si="1"/>
        <v>2016-45-49 år</v>
      </c>
    </row>
    <row r="76" spans="1:4" x14ac:dyDescent="0.35">
      <c r="A76" s="8" t="s">
        <v>32</v>
      </c>
      <c r="B76" s="8" t="s">
        <v>21</v>
      </c>
      <c r="C76" s="9">
        <v>1808</v>
      </c>
      <c r="D76" t="str">
        <f t="shared" si="1"/>
        <v>2016-50-54 år</v>
      </c>
    </row>
    <row r="77" spans="1:4" x14ac:dyDescent="0.35">
      <c r="A77" s="8" t="s">
        <v>32</v>
      </c>
      <c r="B77" s="8" t="s">
        <v>22</v>
      </c>
      <c r="C77" s="9">
        <v>1301</v>
      </c>
      <c r="D77" t="str">
        <f t="shared" si="1"/>
        <v>2016-55-59 år</v>
      </c>
    </row>
    <row r="78" spans="1:4" x14ac:dyDescent="0.35">
      <c r="A78" s="8" t="s">
        <v>32</v>
      </c>
      <c r="B78" s="8" t="s">
        <v>23</v>
      </c>
      <c r="C78" s="9">
        <v>708</v>
      </c>
      <c r="D78" t="str">
        <f t="shared" si="1"/>
        <v>2016-60-64 år</v>
      </c>
    </row>
    <row r="79" spans="1:4" x14ac:dyDescent="0.35">
      <c r="A79" s="8" t="s">
        <v>32</v>
      </c>
      <c r="B79" s="8" t="s">
        <v>46</v>
      </c>
      <c r="C79" s="9">
        <v>183</v>
      </c>
      <c r="D79" t="str">
        <f t="shared" si="1"/>
        <v>2016-65-69 år</v>
      </c>
    </row>
    <row r="80" spans="1:4" x14ac:dyDescent="0.35">
      <c r="A80" s="8" t="s">
        <v>33</v>
      </c>
      <c r="B80" s="8" t="s">
        <v>16</v>
      </c>
      <c r="C80" s="9">
        <v>3106</v>
      </c>
      <c r="D80" t="str">
        <f t="shared" si="1"/>
        <v>2017-25-29 år</v>
      </c>
    </row>
    <row r="81" spans="1:4" x14ac:dyDescent="0.35">
      <c r="A81" s="8" t="s">
        <v>33</v>
      </c>
      <c r="B81" s="8" t="s">
        <v>17</v>
      </c>
      <c r="C81" s="9">
        <v>2692</v>
      </c>
      <c r="D81" t="str">
        <f t="shared" si="1"/>
        <v>2017-30-34 år</v>
      </c>
    </row>
    <row r="82" spans="1:4" x14ac:dyDescent="0.35">
      <c r="A82" s="8" t="s">
        <v>33</v>
      </c>
      <c r="B82" s="8" t="s">
        <v>18</v>
      </c>
      <c r="C82" s="9">
        <v>2452</v>
      </c>
      <c r="D82" t="str">
        <f t="shared" si="1"/>
        <v>2017-35-39 år</v>
      </c>
    </row>
    <row r="83" spans="1:4" x14ac:dyDescent="0.35">
      <c r="A83" s="8" t="s">
        <v>33</v>
      </c>
      <c r="B83" s="8" t="s">
        <v>19</v>
      </c>
      <c r="C83" s="9">
        <v>2105</v>
      </c>
      <c r="D83" t="str">
        <f t="shared" si="1"/>
        <v>2017-40-44 år</v>
      </c>
    </row>
    <row r="84" spans="1:4" x14ac:dyDescent="0.35">
      <c r="A84" s="8" t="s">
        <v>33</v>
      </c>
      <c r="B84" s="8" t="s">
        <v>20</v>
      </c>
      <c r="C84" s="9">
        <v>1892</v>
      </c>
      <c r="D84" t="str">
        <f t="shared" si="1"/>
        <v>2017-45-49 år</v>
      </c>
    </row>
    <row r="85" spans="1:4" x14ac:dyDescent="0.35">
      <c r="A85" s="8" t="s">
        <v>33</v>
      </c>
      <c r="B85" s="8" t="s">
        <v>21</v>
      </c>
      <c r="C85" s="9">
        <v>2042</v>
      </c>
      <c r="D85" t="str">
        <f t="shared" si="1"/>
        <v>2017-50-54 år</v>
      </c>
    </row>
    <row r="86" spans="1:4" x14ac:dyDescent="0.35">
      <c r="A86" s="8" t="s">
        <v>33</v>
      </c>
      <c r="B86" s="8" t="s">
        <v>22</v>
      </c>
      <c r="C86" s="9">
        <v>1410</v>
      </c>
      <c r="D86" t="str">
        <f t="shared" si="1"/>
        <v>2017-55-59 år</v>
      </c>
    </row>
    <row r="87" spans="1:4" x14ac:dyDescent="0.35">
      <c r="A87" s="8" t="s">
        <v>33</v>
      </c>
      <c r="B87" s="8" t="s">
        <v>23</v>
      </c>
      <c r="C87" s="9">
        <v>757</v>
      </c>
      <c r="D87" t="str">
        <f t="shared" si="1"/>
        <v>2017-60-64 år</v>
      </c>
    </row>
    <row r="88" spans="1:4" x14ac:dyDescent="0.35">
      <c r="A88" s="8" t="s">
        <v>33</v>
      </c>
      <c r="B88" s="8" t="s">
        <v>46</v>
      </c>
      <c r="C88" s="9">
        <v>194</v>
      </c>
      <c r="D88" t="str">
        <f t="shared" si="1"/>
        <v>2017-65-69 år</v>
      </c>
    </row>
    <row r="89" spans="1:4" x14ac:dyDescent="0.35">
      <c r="A89" s="8" t="s">
        <v>34</v>
      </c>
      <c r="B89" s="8" t="s">
        <v>16</v>
      </c>
      <c r="C89" s="9">
        <v>3149</v>
      </c>
      <c r="D89" t="str">
        <f t="shared" si="1"/>
        <v>2018-25-29 år</v>
      </c>
    </row>
    <row r="90" spans="1:4" x14ac:dyDescent="0.35">
      <c r="A90" s="8" t="s">
        <v>34</v>
      </c>
      <c r="B90" s="8" t="s">
        <v>17</v>
      </c>
      <c r="C90" s="9">
        <v>2658</v>
      </c>
      <c r="D90" t="str">
        <f t="shared" si="1"/>
        <v>2018-30-34 år</v>
      </c>
    </row>
    <row r="91" spans="1:4" x14ac:dyDescent="0.35">
      <c r="A91" s="8" t="s">
        <v>34</v>
      </c>
      <c r="B91" s="8" t="s">
        <v>18</v>
      </c>
      <c r="C91" s="9">
        <v>2333</v>
      </c>
      <c r="D91" t="str">
        <f t="shared" si="1"/>
        <v>2018-35-39 år</v>
      </c>
    </row>
    <row r="92" spans="1:4" x14ac:dyDescent="0.35">
      <c r="A92" s="8" t="s">
        <v>34</v>
      </c>
      <c r="B92" s="8" t="s">
        <v>19</v>
      </c>
      <c r="C92" s="9">
        <v>2068</v>
      </c>
      <c r="D92" t="str">
        <f t="shared" si="1"/>
        <v>2018-40-44 år</v>
      </c>
    </row>
    <row r="93" spans="1:4" x14ac:dyDescent="0.35">
      <c r="A93" s="8" t="s">
        <v>34</v>
      </c>
      <c r="B93" s="8" t="s">
        <v>20</v>
      </c>
      <c r="C93" s="9">
        <v>1770</v>
      </c>
      <c r="D93" t="str">
        <f t="shared" si="1"/>
        <v>2018-45-49 år</v>
      </c>
    </row>
    <row r="94" spans="1:4" x14ac:dyDescent="0.35">
      <c r="A94" s="8" t="s">
        <v>34</v>
      </c>
      <c r="B94" s="8" t="s">
        <v>21</v>
      </c>
      <c r="C94" s="9">
        <v>2055</v>
      </c>
      <c r="D94" t="str">
        <f t="shared" si="1"/>
        <v>2018-50-54 år</v>
      </c>
    </row>
    <row r="95" spans="1:4" x14ac:dyDescent="0.35">
      <c r="A95" s="8" t="s">
        <v>34</v>
      </c>
      <c r="B95" s="8" t="s">
        <v>22</v>
      </c>
      <c r="C95" s="9">
        <v>1415</v>
      </c>
      <c r="D95" t="str">
        <f t="shared" si="1"/>
        <v>2018-55-59 år</v>
      </c>
    </row>
    <row r="96" spans="1:4" x14ac:dyDescent="0.35">
      <c r="A96" s="8" t="s">
        <v>34</v>
      </c>
      <c r="B96" s="8" t="s">
        <v>23</v>
      </c>
      <c r="C96" s="9">
        <v>681</v>
      </c>
      <c r="D96" t="str">
        <f t="shared" si="1"/>
        <v>2018-60-64 år</v>
      </c>
    </row>
    <row r="97" spans="1:4" x14ac:dyDescent="0.35">
      <c r="A97" s="8" t="s">
        <v>34</v>
      </c>
      <c r="B97" s="8" t="s">
        <v>46</v>
      </c>
      <c r="C97" s="9">
        <v>174</v>
      </c>
      <c r="D97" t="str">
        <f t="shared" si="1"/>
        <v>2018-65-69 år</v>
      </c>
    </row>
    <row r="98" spans="1:4" x14ac:dyDescent="0.35">
      <c r="A98" s="8" t="s">
        <v>35</v>
      </c>
      <c r="B98" s="8" t="s">
        <v>16</v>
      </c>
      <c r="C98" s="9">
        <v>3477</v>
      </c>
      <c r="D98" t="str">
        <f t="shared" si="1"/>
        <v>2019-25-29 år</v>
      </c>
    </row>
    <row r="99" spans="1:4" x14ac:dyDescent="0.35">
      <c r="A99" s="8" t="s">
        <v>35</v>
      </c>
      <c r="B99" s="8" t="s">
        <v>17</v>
      </c>
      <c r="C99" s="9">
        <v>2839</v>
      </c>
      <c r="D99" t="str">
        <f t="shared" si="1"/>
        <v>2019-30-34 år</v>
      </c>
    </row>
    <row r="100" spans="1:4" x14ac:dyDescent="0.35">
      <c r="A100" s="8" t="s">
        <v>35</v>
      </c>
      <c r="B100" s="8" t="s">
        <v>18</v>
      </c>
      <c r="C100" s="9">
        <v>2298</v>
      </c>
      <c r="D100" t="str">
        <f t="shared" si="1"/>
        <v>2019-35-39 år</v>
      </c>
    </row>
    <row r="101" spans="1:4" x14ac:dyDescent="0.35">
      <c r="A101" s="8" t="s">
        <v>35</v>
      </c>
      <c r="B101" s="8" t="s">
        <v>19</v>
      </c>
      <c r="C101" s="9">
        <v>2100</v>
      </c>
      <c r="D101" t="str">
        <f t="shared" si="1"/>
        <v>2019-40-44 år</v>
      </c>
    </row>
    <row r="102" spans="1:4" x14ac:dyDescent="0.35">
      <c r="A102" s="8" t="s">
        <v>35</v>
      </c>
      <c r="B102" s="8" t="s">
        <v>20</v>
      </c>
      <c r="C102" s="9">
        <v>1802</v>
      </c>
      <c r="D102" t="str">
        <f t="shared" si="1"/>
        <v>2019-45-49 år</v>
      </c>
    </row>
    <row r="103" spans="1:4" x14ac:dyDescent="0.35">
      <c r="A103" s="8" t="s">
        <v>35</v>
      </c>
      <c r="B103" s="8" t="s">
        <v>21</v>
      </c>
      <c r="C103" s="9">
        <v>2054</v>
      </c>
      <c r="D103" t="str">
        <f t="shared" si="1"/>
        <v>2019-50-54 år</v>
      </c>
    </row>
    <row r="104" spans="1:4" x14ac:dyDescent="0.35">
      <c r="A104" s="8" t="s">
        <v>35</v>
      </c>
      <c r="B104" s="8" t="s">
        <v>22</v>
      </c>
      <c r="C104" s="9">
        <v>1383</v>
      </c>
      <c r="D104" t="str">
        <f t="shared" si="1"/>
        <v>2019-55-59 år</v>
      </c>
    </row>
    <row r="105" spans="1:4" x14ac:dyDescent="0.35">
      <c r="A105" s="8" t="s">
        <v>35</v>
      </c>
      <c r="B105" s="8" t="s">
        <v>23</v>
      </c>
      <c r="C105" s="9">
        <v>791</v>
      </c>
      <c r="D105" t="str">
        <f t="shared" si="1"/>
        <v>2019-60-64 år</v>
      </c>
    </row>
    <row r="106" spans="1:4" x14ac:dyDescent="0.35">
      <c r="A106" s="8" t="s">
        <v>35</v>
      </c>
      <c r="B106" s="8" t="s">
        <v>46</v>
      </c>
      <c r="C106" s="9">
        <v>188</v>
      </c>
      <c r="D106" t="str">
        <f t="shared" si="1"/>
        <v>2019-65-69 år</v>
      </c>
    </row>
    <row r="107" spans="1:4" x14ac:dyDescent="0.35">
      <c r="A107" s="8" t="s">
        <v>36</v>
      </c>
      <c r="B107" s="8" t="s">
        <v>16</v>
      </c>
      <c r="C107" s="9">
        <v>3028</v>
      </c>
      <c r="D107" t="str">
        <f t="shared" si="1"/>
        <v>2020-25-29 år</v>
      </c>
    </row>
    <row r="108" spans="1:4" x14ac:dyDescent="0.35">
      <c r="A108" s="8" t="s">
        <v>36</v>
      </c>
      <c r="B108" s="8" t="s">
        <v>17</v>
      </c>
      <c r="C108" s="9">
        <v>2339</v>
      </c>
      <c r="D108" t="str">
        <f t="shared" si="1"/>
        <v>2020-30-34 år</v>
      </c>
    </row>
    <row r="109" spans="1:4" x14ac:dyDescent="0.35">
      <c r="A109" s="8" t="s">
        <v>36</v>
      </c>
      <c r="B109" s="8" t="s">
        <v>18</v>
      </c>
      <c r="C109" s="9">
        <v>1929</v>
      </c>
      <c r="D109" t="str">
        <f t="shared" si="1"/>
        <v>2020-35-39 år</v>
      </c>
    </row>
    <row r="110" spans="1:4" x14ac:dyDescent="0.35">
      <c r="A110" s="8" t="s">
        <v>36</v>
      </c>
      <c r="B110" s="8" t="s">
        <v>19</v>
      </c>
      <c r="C110" s="9">
        <v>1758</v>
      </c>
      <c r="D110" t="str">
        <f t="shared" si="1"/>
        <v>2020-40-44 år</v>
      </c>
    </row>
    <row r="111" spans="1:4" x14ac:dyDescent="0.35">
      <c r="A111" s="8" t="s">
        <v>36</v>
      </c>
      <c r="B111" s="8" t="s">
        <v>20</v>
      </c>
      <c r="C111" s="9">
        <v>1654</v>
      </c>
      <c r="D111" t="str">
        <f t="shared" si="1"/>
        <v>2020-45-49 år</v>
      </c>
    </row>
    <row r="112" spans="1:4" x14ac:dyDescent="0.35">
      <c r="A112" s="8" t="s">
        <v>36</v>
      </c>
      <c r="B112" s="8" t="s">
        <v>21</v>
      </c>
      <c r="C112" s="9">
        <v>1616</v>
      </c>
      <c r="D112" t="str">
        <f t="shared" si="1"/>
        <v>2020-50-54 år</v>
      </c>
    </row>
    <row r="113" spans="1:4" x14ac:dyDescent="0.35">
      <c r="A113" s="8" t="s">
        <v>36</v>
      </c>
      <c r="B113" s="8" t="s">
        <v>22</v>
      </c>
      <c r="C113" s="9">
        <v>1279</v>
      </c>
      <c r="D113" t="str">
        <f t="shared" si="1"/>
        <v>2020-55-59 år</v>
      </c>
    </row>
    <row r="114" spans="1:4" x14ac:dyDescent="0.35">
      <c r="A114" s="8" t="s">
        <v>36</v>
      </c>
      <c r="B114" s="8" t="s">
        <v>23</v>
      </c>
      <c r="C114" s="9">
        <v>623</v>
      </c>
      <c r="D114" t="str">
        <f t="shared" si="1"/>
        <v>2020-60-64 år</v>
      </c>
    </row>
    <row r="115" spans="1:4" x14ac:dyDescent="0.35">
      <c r="A115" s="8" t="s">
        <v>36</v>
      </c>
      <c r="B115" s="8" t="s">
        <v>46</v>
      </c>
      <c r="C115" s="9">
        <v>201</v>
      </c>
      <c r="D115" t="str">
        <f t="shared" si="1"/>
        <v>2020-65-69 år</v>
      </c>
    </row>
    <row r="116" spans="1:4" x14ac:dyDescent="0.35">
      <c r="A116" s="8" t="s">
        <v>37</v>
      </c>
      <c r="B116" s="8" t="s">
        <v>16</v>
      </c>
      <c r="C116" s="9">
        <v>3854</v>
      </c>
      <c r="D116" t="str">
        <f t="shared" si="1"/>
        <v>2021-25-29 år</v>
      </c>
    </row>
    <row r="117" spans="1:4" x14ac:dyDescent="0.35">
      <c r="A117" s="8" t="s">
        <v>37</v>
      </c>
      <c r="B117" s="8" t="s">
        <v>17</v>
      </c>
      <c r="C117" s="9">
        <v>3059</v>
      </c>
      <c r="D117" t="str">
        <f t="shared" si="1"/>
        <v>2021-30-34 år</v>
      </c>
    </row>
    <row r="118" spans="1:4" x14ac:dyDescent="0.35">
      <c r="A118" s="8" t="s">
        <v>37</v>
      </c>
      <c r="B118" s="8" t="s">
        <v>18</v>
      </c>
      <c r="C118" s="9">
        <v>2330</v>
      </c>
      <c r="D118" t="str">
        <f t="shared" si="1"/>
        <v>2021-35-39 år</v>
      </c>
    </row>
    <row r="119" spans="1:4" x14ac:dyDescent="0.35">
      <c r="A119" s="8" t="s">
        <v>37</v>
      </c>
      <c r="B119" s="8" t="s">
        <v>19</v>
      </c>
      <c r="C119" s="9">
        <v>2220</v>
      </c>
      <c r="D119" t="str">
        <f t="shared" si="1"/>
        <v>2021-40-44 år</v>
      </c>
    </row>
    <row r="120" spans="1:4" x14ac:dyDescent="0.35">
      <c r="A120" s="8" t="s">
        <v>37</v>
      </c>
      <c r="B120" s="8" t="s">
        <v>20</v>
      </c>
      <c r="C120" s="9">
        <v>1980</v>
      </c>
      <c r="D120" t="str">
        <f t="shared" si="1"/>
        <v>2021-45-49 år</v>
      </c>
    </row>
    <row r="121" spans="1:4" x14ac:dyDescent="0.35">
      <c r="A121" s="8" t="s">
        <v>37</v>
      </c>
      <c r="B121" s="8" t="s">
        <v>21</v>
      </c>
      <c r="C121" s="9">
        <v>1810</v>
      </c>
      <c r="D121" t="str">
        <f t="shared" si="1"/>
        <v>2021-50-54 år</v>
      </c>
    </row>
    <row r="122" spans="1:4" x14ac:dyDescent="0.35">
      <c r="A122" s="8" t="s">
        <v>37</v>
      </c>
      <c r="B122" s="8" t="s">
        <v>22</v>
      </c>
      <c r="C122" s="9">
        <v>1631</v>
      </c>
      <c r="D122" t="str">
        <f t="shared" si="1"/>
        <v>2021-55-59 år</v>
      </c>
    </row>
    <row r="123" spans="1:4" x14ac:dyDescent="0.35">
      <c r="A123" s="8" t="s">
        <v>37</v>
      </c>
      <c r="B123" s="8" t="s">
        <v>23</v>
      </c>
      <c r="C123" s="9">
        <v>962</v>
      </c>
      <c r="D123" t="str">
        <f t="shared" si="1"/>
        <v>2021-60-64 år</v>
      </c>
    </row>
    <row r="124" spans="1:4" x14ac:dyDescent="0.35">
      <c r="A124" s="8" t="s">
        <v>37</v>
      </c>
      <c r="B124" s="8" t="s">
        <v>46</v>
      </c>
      <c r="C124" s="9">
        <v>216</v>
      </c>
      <c r="D124" t="str">
        <f t="shared" si="1"/>
        <v>2021-65-69 år</v>
      </c>
    </row>
    <row r="125" spans="1:4" x14ac:dyDescent="0.35">
      <c r="A125" s="8" t="s">
        <v>38</v>
      </c>
      <c r="B125" s="8" t="s">
        <v>16</v>
      </c>
      <c r="C125" s="9">
        <v>3870</v>
      </c>
      <c r="D125" t="str">
        <f t="shared" si="1"/>
        <v>2022-25-29 år</v>
      </c>
    </row>
    <row r="126" spans="1:4" x14ac:dyDescent="0.35">
      <c r="A126" s="8" t="s">
        <v>38</v>
      </c>
      <c r="B126" s="8" t="s">
        <v>17</v>
      </c>
      <c r="C126" s="9">
        <v>3004</v>
      </c>
      <c r="D126" t="str">
        <f t="shared" si="1"/>
        <v>2022-30-34 år</v>
      </c>
    </row>
    <row r="127" spans="1:4" x14ac:dyDescent="0.35">
      <c r="A127" s="8" t="s">
        <v>38</v>
      </c>
      <c r="B127" s="8" t="s">
        <v>18</v>
      </c>
      <c r="C127" s="9">
        <v>2511</v>
      </c>
      <c r="D127" t="str">
        <f t="shared" si="1"/>
        <v>2022-35-39 år</v>
      </c>
    </row>
    <row r="128" spans="1:4" x14ac:dyDescent="0.35">
      <c r="A128" s="8" t="s">
        <v>38</v>
      </c>
      <c r="B128" s="8" t="s">
        <v>19</v>
      </c>
      <c r="C128" s="9">
        <v>2191</v>
      </c>
      <c r="D128" t="str">
        <f t="shared" si="1"/>
        <v>2022-40-44 år</v>
      </c>
    </row>
    <row r="129" spans="1:4" x14ac:dyDescent="0.35">
      <c r="A129" s="8" t="s">
        <v>38</v>
      </c>
      <c r="B129" s="8" t="s">
        <v>20</v>
      </c>
      <c r="C129" s="9">
        <v>2044</v>
      </c>
      <c r="D129" t="str">
        <f t="shared" si="1"/>
        <v>2022-45-49 år</v>
      </c>
    </row>
    <row r="130" spans="1:4" x14ac:dyDescent="0.35">
      <c r="A130" s="8" t="s">
        <v>38</v>
      </c>
      <c r="B130" s="8" t="s">
        <v>21</v>
      </c>
      <c r="C130" s="9">
        <v>1683</v>
      </c>
      <c r="D130" t="str">
        <f t="shared" si="1"/>
        <v>2022-50-54 år</v>
      </c>
    </row>
    <row r="131" spans="1:4" x14ac:dyDescent="0.35">
      <c r="A131" s="8" t="s">
        <v>38</v>
      </c>
      <c r="B131" s="8" t="s">
        <v>22</v>
      </c>
      <c r="C131" s="9">
        <v>1578</v>
      </c>
      <c r="D131" t="str">
        <f t="shared" si="1"/>
        <v>2022-55-59 år</v>
      </c>
    </row>
    <row r="132" spans="1:4" x14ac:dyDescent="0.35">
      <c r="A132" s="8" t="s">
        <v>38</v>
      </c>
      <c r="B132" s="8" t="s">
        <v>23</v>
      </c>
      <c r="C132" s="9">
        <v>880</v>
      </c>
      <c r="D132" t="str">
        <f t="shared" si="1"/>
        <v>2022-60-64 år</v>
      </c>
    </row>
    <row r="133" spans="1:4" x14ac:dyDescent="0.35">
      <c r="A133" s="8" t="s">
        <v>38</v>
      </c>
      <c r="B133" s="8" t="s">
        <v>46</v>
      </c>
      <c r="C133" s="9">
        <v>265</v>
      </c>
      <c r="D133" t="str">
        <f t="shared" si="1"/>
        <v>2022-65-69 år</v>
      </c>
    </row>
    <row r="134" spans="1:4" x14ac:dyDescent="0.35">
      <c r="A134" s="8" t="s">
        <v>39</v>
      </c>
      <c r="B134" s="8" t="s">
        <v>16</v>
      </c>
      <c r="C134" s="9">
        <v>3662</v>
      </c>
      <c r="D134" t="str">
        <f t="shared" si="1"/>
        <v>2023-25-29 år</v>
      </c>
    </row>
    <row r="135" spans="1:4" x14ac:dyDescent="0.35">
      <c r="A135" s="8" t="s">
        <v>39</v>
      </c>
      <c r="B135" s="8" t="s">
        <v>17</v>
      </c>
      <c r="C135" s="9">
        <v>2878</v>
      </c>
      <c r="D135" t="str">
        <f t="shared" si="1"/>
        <v>2023-30-34 år</v>
      </c>
    </row>
    <row r="136" spans="1:4" x14ac:dyDescent="0.35">
      <c r="A136" s="8" t="s">
        <v>39</v>
      </c>
      <c r="B136" s="8" t="s">
        <v>18</v>
      </c>
      <c r="C136" s="9">
        <v>2160</v>
      </c>
      <c r="D136" t="str">
        <f t="shared" ref="D136:D141" si="2">A136&amp;"-"&amp;B136</f>
        <v>2023-35-39 år</v>
      </c>
    </row>
    <row r="137" spans="1:4" x14ac:dyDescent="0.35">
      <c r="A137" s="8" t="s">
        <v>39</v>
      </c>
      <c r="B137" s="8" t="s">
        <v>19</v>
      </c>
      <c r="C137" s="9">
        <v>1983</v>
      </c>
      <c r="D137" t="str">
        <f t="shared" si="2"/>
        <v>2023-40-44 år</v>
      </c>
    </row>
    <row r="138" spans="1:4" x14ac:dyDescent="0.35">
      <c r="A138" s="8" t="s">
        <v>39</v>
      </c>
      <c r="B138" s="8" t="s">
        <v>20</v>
      </c>
      <c r="C138" s="9">
        <v>1798</v>
      </c>
      <c r="D138" t="str">
        <f t="shared" si="2"/>
        <v>2023-45-49 år</v>
      </c>
    </row>
    <row r="139" spans="1:4" x14ac:dyDescent="0.35">
      <c r="A139" s="8" t="s">
        <v>39</v>
      </c>
      <c r="B139" s="8" t="s">
        <v>21</v>
      </c>
      <c r="C139" s="9">
        <v>1564</v>
      </c>
      <c r="D139" t="str">
        <f t="shared" si="2"/>
        <v>2023-50-54 år</v>
      </c>
    </row>
    <row r="140" spans="1:4" x14ac:dyDescent="0.35">
      <c r="A140" s="8" t="s">
        <v>39</v>
      </c>
      <c r="B140" s="8" t="s">
        <v>22</v>
      </c>
      <c r="C140" s="9">
        <v>1583</v>
      </c>
      <c r="D140" t="str">
        <f t="shared" si="2"/>
        <v>2023-55-59 år</v>
      </c>
    </row>
    <row r="141" spans="1:4" x14ac:dyDescent="0.35">
      <c r="A141" s="8" t="s">
        <v>39</v>
      </c>
      <c r="B141" s="8" t="s">
        <v>23</v>
      </c>
      <c r="C141" s="9">
        <v>896</v>
      </c>
      <c r="D141" t="str">
        <f t="shared" si="2"/>
        <v>2023-60-64 år</v>
      </c>
    </row>
    <row r="142" spans="1:4" ht="15" thickBot="1" x14ac:dyDescent="0.4">
      <c r="A142" s="8" t="s">
        <v>39</v>
      </c>
      <c r="B142" s="8" t="s">
        <v>46</v>
      </c>
      <c r="C142" s="9">
        <v>295</v>
      </c>
      <c r="D142" t="str">
        <f t="shared" ref="D142" si="3">A142&amp;"-"&amp;B142</f>
        <v>2023-65-69 år</v>
      </c>
    </row>
    <row r="143" spans="1:4" ht="15" thickTop="1" x14ac:dyDescent="0.35">
      <c r="A143" s="10"/>
      <c r="B143" s="10"/>
      <c r="C143" s="10"/>
    </row>
    <row r="145" spans="1:1" x14ac:dyDescent="0.35">
      <c r="A145" t="s">
        <v>41</v>
      </c>
    </row>
    <row r="146" spans="1:1" x14ac:dyDescent="0.35">
      <c r="A146" t="s">
        <v>42</v>
      </c>
    </row>
  </sheetData>
  <pageMargins left="0.7" right="0.7" top="0.75" bottom="0.75" header="0.3" footer="0.3"/>
  <pageSetup orientation="portrait" horizontalDpi="4294967295" verticalDpi="429496729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0747C7E06F68594C832843A2A297E6B8" ma:contentTypeVersion="12" ma:contentTypeDescription="Create a new document." ma:contentTypeScope="" ma:versionID="bf4d9be53f28fa48be3d4f8525463ac9">
  <xsd:schema xmlns:xsd="http://www.w3.org/2001/XMLSchema" xmlns:xs="http://www.w3.org/2001/XMLSchema" xmlns:p="http://schemas.microsoft.com/office/2006/metadata/properties" xmlns:ns2="64f53783-b5a5-4d99-8a2b-abe1fa7247d9" xmlns:ns3="de2c18d1-4ac4-4843-b059-04cdc20ce7e6" targetNamespace="http://schemas.microsoft.com/office/2006/metadata/properties" ma:root="true" ma:fieldsID="cff3a27e14b6e5b34e42e73e2eda303c" ns2:_="" ns3:_="">
    <xsd:import namespace="64f53783-b5a5-4d99-8a2b-abe1fa7247d9"/>
    <xsd:import namespace="de2c18d1-4ac4-4843-b059-04cdc20ce7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f53783-b5a5-4d99-8a2b-abe1fa7247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62caacc-edf8-42da-adb8-e01fde2280f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2c18d1-4ac4-4843-b059-04cdc20ce7e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a784c0-37d8-4c06-9a28-1e798b77a756}" ma:internalName="TaxCatchAll" ma:showField="CatchAllData" ma:web="de2c18d1-4ac4-4843-b059-04cdc20ce7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de2c18d1-4ac4-4843-b059-04cdc20ce7e6" xsi:nil="true"/>
    <lcf76f155ced4ddcb4097134ff3c332f xmlns="64f53783-b5a5-4d99-8a2b-abe1fa7247d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E06E7C1-9404-4A4A-B964-A85FD9F3B2E6}">
  <ds:schemaRefs>
    <ds:schemaRef ds:uri="http://schemas.microsoft.com/sharepoint/v3/contenttype/forms"/>
  </ds:schemaRefs>
</ds:datastoreItem>
</file>

<file path=customXml/itemProps2.xml><?xml version="1.0" encoding="utf-8"?>
<ds:datastoreItem xmlns:ds="http://schemas.openxmlformats.org/officeDocument/2006/customXml" ds:itemID="{EEA68922-5A48-4B96-9E98-5EC81105CF13}">
  <ds:schemaRefs>
    <ds:schemaRef ds:uri="http://www.w3.org/2001/XMLSchema"/>
    <ds:schemaRef ds:uri="http://www.boozallen.com/argo/guid"/>
  </ds:schemaRefs>
</ds:datastoreItem>
</file>

<file path=customXml/itemProps3.xml><?xml version="1.0" encoding="utf-8"?>
<ds:datastoreItem xmlns:ds="http://schemas.openxmlformats.org/officeDocument/2006/customXml" ds:itemID="{F72042E3-5FEB-4E07-89F4-AD90E5835F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f53783-b5a5-4d99-8a2b-abe1fa7247d9"/>
    <ds:schemaRef ds:uri="de2c18d1-4ac4-4843-b059-04cdc20ce7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8CD3132-F5D7-44C2-99AC-298B8E426299}">
  <ds:schemaRefs>
    <ds:schemaRef ds:uri="http://schemas.microsoft.com/office/2006/metadata/properties"/>
    <ds:schemaRef ds:uri="http://schemas.microsoft.com/office/infopath/2007/PartnerControls"/>
    <ds:schemaRef ds:uri="de2c18d1-4ac4-4843-b059-04cdc20ce7e6"/>
    <ds:schemaRef ds:uri="64f53783-b5a5-4d99-8a2b-abe1fa7247d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Index</vt:lpstr>
      <vt:lpstr>Loop</vt:lpstr>
      <vt:lpstr>Sheet2</vt:lpstr>
      <vt:lpstr>Sheet1</vt:lpstr>
      <vt:lpstr>Aktiesparekonto Increase</vt:lpstr>
      <vt:lpstr>Goals</vt:lpstr>
      <vt:lpstr>GBI Goals P1</vt:lpstr>
      <vt:lpstr>FinalWealth</vt:lpstr>
      <vt:lpstr>Salary</vt:lpstr>
      <vt:lpstr>Wealth</vt:lpstr>
      <vt:lpstr>GBI Allocations P1</vt:lpstr>
      <vt:lpstr>GBI Allocations P2</vt:lpstr>
      <vt:lpstr>notes next time talk</vt:lpstr>
      <vt:lpstr>GBI Goals P2</vt:lpstr>
      <vt:lpstr>Returns</vt:lpstr>
      <vt:lpstr>BasisPointCost</vt:lpstr>
      <vt:lpstr>Returns2</vt:lpstr>
      <vt:lpstr>Volatilities</vt:lpstr>
      <vt:lpstr>Volatilities2</vt:lpstr>
      <vt:lpstr>Correlation</vt:lpstr>
      <vt:lpstr>Correlation2</vt:lpstr>
      <vt:lpstr>Income</vt:lpstr>
      <vt:lpstr>Job Hopping</vt:lpstr>
      <vt:lpstr>Djøf Finance Workers</vt:lpstr>
      <vt:lpstr>Djøf Finance Hoppers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Justo Ezequiel Retorta</dc:creator>
  <cp:lastModifiedBy>Justo Ezequiel Retorta</cp:lastModifiedBy>
  <dcterms:created xsi:type="dcterms:W3CDTF">2025-02-13T10:09:46Z</dcterms:created>
  <dcterms:modified xsi:type="dcterms:W3CDTF">2025-04-23T14:09:32Z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0x0101000747C7E06F68594C832843A2A297E6B8</vt:lpwstr>
  </property>
  <property fmtid="{D5CDD505-2E9C-101B-9397-08002B2CF9AE}" pid="3" name="MediaServiceImageTags">
    <vt:lpwstr/>
  </property>
</Properties>
</file>