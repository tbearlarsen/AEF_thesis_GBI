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3.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202300"/>
  <mc:AlternateContent xmlns:mc="http://schemas.openxmlformats.org/markup-compatibility/2006">
    <mc:Choice Requires="x15">
      <x15ac:absPath xmlns:x15ac="http://schemas.microsoft.com/office/spreadsheetml/2010/11/ac" url="C:\Users\admin\Desktop\Thesis New\AEF_thesis_GBI\GBI Optimisation\Data\"/>
    </mc:Choice>
  </mc:AlternateContent>
  <xr:revisionPtr revIDLastSave="0" documentId="13_ncr:1_{B3FACB7C-D5A6-4E4F-8D60-FE93DD0F8201}" xr6:coauthVersionLast="47" xr6:coauthVersionMax="47" xr10:uidLastSave="{00000000-0000-0000-0000-000000000000}"/>
  <bookViews>
    <workbookView xWindow="-110" yWindow="-110" windowWidth="19420" windowHeight="10300" tabRatio="972" activeTab="3" xr2:uid="{4E182251-F803-4366-87DB-239E9FF40EE2}"/>
  </bookViews>
  <sheets>
    <sheet name="Front Page" sheetId="7" r:id="rId1"/>
    <sheet name="Salary Variables" sheetId="51" r:id="rId2"/>
    <sheet name="Income - P2 Helper" sheetId="53" r:id="rId3"/>
    <sheet name="Income" sheetId="2" r:id="rId4"/>
    <sheet name="Pensions P1" sheetId="46" r:id="rId5"/>
    <sheet name="Pensions P2" sheetId="55" r:id="rId6"/>
    <sheet name="Net Salary P2" sheetId="56" r:id="rId7"/>
    <sheet name="Net Salary P1" sheetId="47" r:id="rId8"/>
    <sheet name="Job Hopping" sheetId="8" r:id="rId9"/>
    <sheet name="Djøf Finance Hoppers" sheetId="6" r:id="rId10"/>
    <sheet name="Djøf Finance Workers" sheetId="5" r:id="rId11"/>
    <sheet name="Goals" sheetId="10" r:id="rId12"/>
    <sheet name="Loop" sheetId="45" r:id="rId13"/>
    <sheet name="Aktiesparekonto Increase" sheetId="43" r:id="rId14"/>
    <sheet name="Salary" sheetId="30" r:id="rId15"/>
    <sheet name="Wealth" sheetId="33" r:id="rId16"/>
    <sheet name="notes next time talk" sheetId="18" state="hidden" r:id="rId17"/>
    <sheet name="Real Returns" sheetId="44" r:id="rId18"/>
    <sheet name="Returns" sheetId="23" r:id="rId19"/>
    <sheet name="BasisPointCost" sheetId="38" r:id="rId20"/>
    <sheet name="Returns2" sheetId="39" r:id="rId21"/>
    <sheet name="Volatilities" sheetId="20" r:id="rId22"/>
    <sheet name="Volatilities2" sheetId="24" r:id="rId23"/>
    <sheet name="Correlation" sheetId="22" r:id="rId24"/>
    <sheet name="Correlation2" sheetId="2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_FDS_HYPERLINK_TOGGLE_STATE__" hidden="1">"ON"</definedName>
    <definedName name="_DLX1">[1]Rates!#REF!</definedName>
    <definedName name="_DLX1.INC">'[2]Car Air'!#REF!</definedName>
    <definedName name="_DLX10.INC">'[3]US&amp;Europe'!#REF!</definedName>
    <definedName name="_DLX10_INC">#REF!</definedName>
    <definedName name="_DLX100.INC">'[3]Bonds Data BIS'!#REF!</definedName>
    <definedName name="_DLX14.INC">#REF!</definedName>
    <definedName name="_DLX15.INC">'[3]Bonds Data BIS'!#REF!</definedName>
    <definedName name="_DLX16.INC">'[3]Bonds Data BIS'!#REF!</definedName>
    <definedName name="_DLX2.INC">#REF!</definedName>
    <definedName name="_DLX20.INC">#REF!</definedName>
    <definedName name="_DLX3.INC">#REF!</definedName>
    <definedName name="_DLX4.INC">#REF!</definedName>
    <definedName name="_DLX5.INC">#REF!</definedName>
    <definedName name="_DLX5_INC">#REF!</definedName>
    <definedName name="_DLX50.INC">'[3]US&amp;Europe'!#REF!</definedName>
    <definedName name="_DLX52.INC">#REF!</definedName>
    <definedName name="_DLX53.INC">'[3]US&amp;Europe'!#REF!</definedName>
    <definedName name="_DLX54.INC">'[3]US&amp;Europe'!#REF!</definedName>
    <definedName name="_DLX56.INC">'[3]US&amp;Europe'!#REF!</definedName>
    <definedName name="_DLX6.INC">#REF!</definedName>
    <definedName name="_DLX60.INC">#REF!</definedName>
    <definedName name="_DLX7.INC">'[3]US&amp;Europe'!#REF!</definedName>
    <definedName name="_DLX8.INC">'[3]US&amp;Europe'!#REF!</definedName>
    <definedName name="_DLX80.INC">'[3]Bonds Data BIS'!#REF!</definedName>
    <definedName name="_DLX9.INC">'[3]US&amp;Europe'!#REF!</definedName>
    <definedName name="_Regression_Int" hidden="1">1</definedName>
    <definedName name="_wrn1"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_wrn111" localSheetId="12" hidden="1">{#N/A,#N/A,FALSE,"One Pager";#N/A,#N/A,FALSE,"Technical"}</definedName>
    <definedName name="_wrn111" hidden="1">{#N/A,#N/A,FALSE,"One Pager";#N/A,#N/A,FALSE,"Technical"}</definedName>
    <definedName name="_wrn2" localSheetId="12" hidden="1">{#N/A,#N/A,TRUE,"Financials";#N/A,#N/A,TRUE,"Operating Statistics";#N/A,#N/A,TRUE,"Capex &amp; Depreciation";#N/A,#N/A,TRUE,"Debt"}</definedName>
    <definedName name="_wrn2" hidden="1">{#N/A,#N/A,TRUE,"Financials";#N/A,#N/A,TRUE,"Operating Statistics";#N/A,#N/A,TRUE,"Capex &amp; Depreciation";#N/A,#N/A,TRUE,"Debt"}</definedName>
    <definedName name="_wrn3" localSheetId="12" hidden="1">{#N/A,#N/A,FALSE,"One Pager";#N/A,#N/A,FALSE,"Technical"}</definedName>
    <definedName name="_wrn3" hidden="1">{#N/A,#N/A,FALSE,"One Pager";#N/A,#N/A,FALSE,"Technical"}</definedName>
    <definedName name="AUD_Nom">#REF!</definedName>
    <definedName name="AUD_Tenor">#REF!</definedName>
    <definedName name="AUD_yr">#REF!</definedName>
    <definedName name="BLPH1" hidden="1">#REF!</definedName>
    <definedName name="BLPH2" hidden="1">#REF!</definedName>
    <definedName name="BLPH3" hidden="1">#REF!</definedName>
    <definedName name="BLPH4" hidden="1">#REF!</definedName>
    <definedName name="BLPH5" hidden="1">#REF!</definedName>
    <definedName name="BLPH6" hidden="1">#REF!</definedName>
    <definedName name="BLPH7" hidden="1">#REF!</definedName>
    <definedName name="CAD_Nom">#REF!</definedName>
    <definedName name="CAD_Tenor">#REF!</definedName>
    <definedName name="CAD_yr">#REF!</definedName>
    <definedName name="CHF_Nom">#REF!</definedName>
    <definedName name="CHF_Tenor">#REF!</definedName>
    <definedName name="CHF_yr">#REF!</definedName>
    <definedName name="CIQWBGuid" hidden="1">"b0891d4e-ba28-4aca-aa83-e3df72dfeb1c"</definedName>
    <definedName name="CIQWBInfo" hidden="1">"{ ""CIQVersion"":""9.45.614.5792"" }"</definedName>
    <definedName name="cn_asia">[4]Weights!$J$5</definedName>
    <definedName name="code">[5]CONSTANT!#REF!</definedName>
    <definedName name="Currency_cusip">'[6]Currency bucketing mapping'!$B$35:$B$160</definedName>
    <definedName name="Currency_name">'[6]Currency bucketing mapping'!$B$35:$BF$35</definedName>
    <definedName name="Currency_table">'[6]Currency bucketing mapping'!$B$35:$BF$160</definedName>
    <definedName name="D_0">#REF!</definedName>
    <definedName name="D_0_DE">#REF!</definedName>
    <definedName name="D_0_FR">#REF!</definedName>
    <definedName name="D_0_IT">#REF!</definedName>
    <definedName name="D_0_JP">#REF!</definedName>
    <definedName name="D_0_UK">#REF!</definedName>
    <definedName name="DaysInYear">[7]C!$B$29</definedName>
    <definedName name="DE_gwth">#REF!</definedName>
    <definedName name="DE_S">#REF!</definedName>
    <definedName name="ERP">[8]CF20!$C$18</definedName>
    <definedName name="EUR_Nom">#REF!</definedName>
    <definedName name="EUR_Tenor">#REF!</definedName>
    <definedName name="EUR_yr">#REF!</definedName>
    <definedName name="FR_gwth">#REF!</definedName>
    <definedName name="FR_S">#REF!</definedName>
    <definedName name="GBP_Nom">#REF!</definedName>
    <definedName name="GBP_Tenor">#REF!</definedName>
    <definedName name="GBP_yr">#REF!</definedName>
    <definedName name="gGDP">[8]CF20!$C$14</definedName>
    <definedName name="gls_ACT_EST_ROW" hidden="1">#REF!</definedName>
    <definedName name="gls_ACT_FORM_OFFSET" hidden="1">#REF!</definedName>
    <definedName name="gls_ADMIN" hidden="1">[9]_Control!$D$30</definedName>
    <definedName name="gls_ALLOW_BOTH_PC" hidden="1">[9]_Control!$D$52</definedName>
    <definedName name="gls_ALLOW_PARENT_OR_CONSOLIDATED" hidden="1">[9]_Control!$D$41</definedName>
    <definedName name="gls_ALLOW_PUBLISH" hidden="1">[9]_Control!$D$27</definedName>
    <definedName name="gls_AnalystEmpNoHeading" hidden="1">#REF!</definedName>
    <definedName name="gls_AnalystNameHeading" hidden="1">#REF!</definedName>
    <definedName name="gls_CF_BEGINS" hidden="1">[9]_Control!$D$38</definedName>
    <definedName name="gls_CFD_CHANGEACT" hidden="1">[9]_Control!$D$45</definedName>
    <definedName name="gls_CFD_CHANGEEST" hidden="1">[9]_Control!$D$46</definedName>
    <definedName name="gls_CFD_FIRSTAVAIL" hidden="1">[9]_Control!$D$47</definedName>
    <definedName name="gls_CFD_LISTAVAIL" hidden="1">[9]_Control!$D$48</definedName>
    <definedName name="gls_CFD_SELECTED" hidden="1">[9]_Control!$D$44</definedName>
    <definedName name="gls_CHANGED_NAMES" hidden="1">[9]_Control!$D$25</definedName>
    <definedName name="gls_CHG_KEY_USER" hidden="1">[9]_Control!$D$10</definedName>
    <definedName name="gls_CHG_SEL_ONLY" hidden="1">[9]_Control!$D$9</definedName>
    <definedName name="gls_COMPANY_WORKBOOK_ID" hidden="1">[9]_Control!$D$17</definedName>
    <definedName name="gls_DELETED_PERIODS" hidden="1">[9]_Control!$J$1</definedName>
    <definedName name="gls_EST_FORM_OFFSET" hidden="1">#REF!</definedName>
    <definedName name="gls_EXC_NOT_EXT" hidden="1">[9]_Control!$D$35</definedName>
    <definedName name="gls_EXISTING_PERIODS" hidden="1">[9]_Control!$G$1</definedName>
    <definedName name="gls_EXT_BELOW_PBT" hidden="1">[9]_Control!$D$39</definedName>
    <definedName name="gls_EXT_LINK_GLOSS" hidden="1">[9]_Control!$D$50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enAccountingConvention" hidden="1">#REF!</definedName>
    <definedName name="gls_GenAdditionalInfo" hidden="1">#REF!</definedName>
    <definedName name="gls_GenComments" hidden="1">#REF!</definedName>
    <definedName name="gls_GenCompany" hidden="1">#REF!</definedName>
    <definedName name="gls_GenCompanyInfo" hidden="1">#REF!</definedName>
    <definedName name="gls_GenCountry" hidden="1">#REF!</definedName>
    <definedName name="gls_GenCurrency" hidden="1">#REF!</definedName>
    <definedName name="gls_GenCurrencyMultiplier" hidden="1">#REF!</definedName>
    <definedName name="gls_GenEnterCompInfo" hidden="1">#REF!</definedName>
    <definedName name="gls_GenEPSComment" hidden="1">#REF!</definedName>
    <definedName name="gls_GenHomeRegion" hidden="1">#REF!</definedName>
    <definedName name="gls_GenLastPublished" hidden="1">#REF!</definedName>
    <definedName name="gls_GenLastRecRevised" hidden="1">#REF!</definedName>
    <definedName name="gls_GenMainInfo" hidden="1">#REF!</definedName>
    <definedName name="gls_GenNoteComment" hidden="1">#REF!</definedName>
    <definedName name="gls_GenProfile" hidden="1">#REF!</definedName>
    <definedName name="gls_GenRecComment" hidden="1">#REF!</definedName>
    <definedName name="gls_GenSaleslineInfo" hidden="1">#REF!</definedName>
    <definedName name="gls_GenSalesSplitByRegion" hidden="1">#REF!</definedName>
    <definedName name="gls_GenSalesSplitHeading" hidden="1">#REF!</definedName>
    <definedName name="gls_GenSheetVersion" hidden="1">#REF!</definedName>
    <definedName name="gls_genStockCore" hidden="1">#REF!</definedName>
    <definedName name="gls_genStockRec" hidden="1">#REF!</definedName>
    <definedName name="gls_GLOSS_MONTHS" hidden="1">[9]_Control!$A$1:$A$12</definedName>
    <definedName name="gls_GW_IN" hidden="1">[9]_Control!$D$36</definedName>
    <definedName name="gls_IIAA_IN" hidden="1">[9]_Control!$D$37</definedName>
    <definedName name="gls_InterimValue" hidden="1">[9]_Control!$D$22</definedName>
    <definedName name="gls_IssuedStockClassHeading" hidden="1">#REF!</definedName>
    <definedName name="gls_IssuedStockCodeHeading" hidden="1">#REF!</definedName>
    <definedName name="gls_IssuedStockFreeFloatHeading" hidden="1">#REF!</definedName>
    <definedName name="gls_KEY_DATA" hidden="1">#REF!</definedName>
    <definedName name="gls_KEY_VALUE" hidden="1">#REF!</definedName>
    <definedName name="gls_LANGUAGE" hidden="1">[9]_Control!$D$23</definedName>
    <definedName name="gls_NEXT_PK" hidden="1">[9]_Control!$D$21</definedName>
    <definedName name="gls_PERIOD_CODE" hidden="1">#REF!</definedName>
    <definedName name="gls_PERIOD_INDICATOR" hidden="1">#REF!</definedName>
    <definedName name="gls_PERIOD_PARENT_OR_CONSOL" hidden="1">#REF!</definedName>
    <definedName name="gls_PERIOD_TYPE" hidden="1">#REF!</definedName>
    <definedName name="gls_PrincipalStockClass" hidden="1">#REF!</definedName>
    <definedName name="gls_PROFILE_NAME" hidden="1">[9]_Control!$D$19</definedName>
    <definedName name="gls_SASS5HistEPSGrowth" hidden="1">#REF!</definedName>
    <definedName name="gls_SASS5ProjEPSGrowth" hidden="1">#REF!</definedName>
    <definedName name="gls_SASSDirectorHoldings" hidden="1">#REF!</definedName>
    <definedName name="gls_SASSEPS45AGR" hidden="1">#REF!</definedName>
    <definedName name="gls_SASSIsInterimLastAnnounce" hidden="1">#REF!</definedName>
    <definedName name="gls_SASSLastAnnounce" hidden="1">#REF!</definedName>
    <definedName name="gls_SASSNETDIV45AGR" hidden="1">#REF!</definedName>
    <definedName name="gls_SaveBeforePublish" hidden="1">[9]_Control!$D$26</definedName>
    <definedName name="gls_SaveWkbForNewPeriodCodes" hidden="1">[9]_Control!$D$28</definedName>
    <definedName name="gls_ShareholderClassHeading" hidden="1">#REF!</definedName>
    <definedName name="gls_ShareholderHolding" hidden="1">#REF!</definedName>
    <definedName name="gls_ShareholderHoldingHeading" hidden="1">#REF!</definedName>
    <definedName name="gls_ShareholderName" hidden="1">#REF!</definedName>
    <definedName name="gls_ShareholderNameHeading" hidden="1">#REF!</definedName>
    <definedName name="gls_ShareholdingName" hidden="1">#REF!</definedName>
    <definedName name="gls_SHOW_CONTROL_VALUE" hidden="1">[9]_Control!$D$1</definedName>
    <definedName name="gls_SHOW_KEY_VAL_COLUMN" hidden="1">[9]_Control!$D$11</definedName>
    <definedName name="gls_SHOW_KEY_VALUES" hidden="1">[9]_Control!$D$8</definedName>
    <definedName name="gls_SHOW_LINKED_ITEMS" hidden="1">[9]_Control!$D$6</definedName>
    <definedName name="gls_SHOW_LOCAL_NAMES" hidden="1">[9]_Control!$D$2</definedName>
    <definedName name="gls_SHOW_MULTIPLIERS" hidden="1">[9]_Control!$D$7</definedName>
    <definedName name="gls_SHOW_PK_COLUMN" hidden="1">[9]_Control!$D$5</definedName>
    <definedName name="gls_SHOW_STATUS_INFORMATION" hidden="1">[9]_Control!$D$3</definedName>
    <definedName name="gls_SHOW_UNITS" hidden="1">[9]_Control!$D$4</definedName>
    <definedName name="gls_SPARE_YEARS" hidden="1">#REF!</definedName>
    <definedName name="gls_SPECIAL_DIALOG" hidden="1">[9]_Control!$D$49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[9]_Control!$D$20</definedName>
    <definedName name="gls_TEMP_PERIOD_CODE" hidden="1">#REF!</definedName>
    <definedName name="gls_THISWORKBOOK_NAME" hidden="1">[9]_Control!$D$18</definedName>
    <definedName name="gls_UNUSUAL_POS" hidden="1">[9]_Control!$D$40</definedName>
    <definedName name="gls_USER_CELL_FORMAT" hidden="1">[9]_Control!$D$51</definedName>
    <definedName name="gls_USING_CONSOLIDATED" hidden="1">[9]_Control!$D$34</definedName>
    <definedName name="gls_YEAR_AE_CONTROL" hidden="1">#REF!</definedName>
    <definedName name="gls_YEAR_END_ROW" hidden="1">#REF!</definedName>
    <definedName name="gls_YetToRunStartupWizard" hidden="1">[9]_Control!$D$29</definedName>
    <definedName name="hk_asia">[4]Weights!$J$6</definedName>
    <definedName name="hk_nie">[4]Weights!$K$6</definedName>
    <definedName name="id_asean">[4]Weights!$L$8</definedName>
    <definedName name="id_asean5">[4]Weights!$M$8</definedName>
    <definedName name="id_asia">[4]Weights!$J$8</definedName>
    <definedName name="in_asia">[4]Weights!$J$7</definedName>
    <definedName name="Index_PRICE">[8]CF20!$C$12</definedName>
    <definedName name="IQ_ADDIN" hidden="1">"AUTO"</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43872.5396759259</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IT_gwth">#REF!</definedName>
    <definedName name="IT_S">#REF!</definedName>
    <definedName name="JP_gwth">#REF!</definedName>
    <definedName name="JP_S">#REF!</definedName>
    <definedName name="JPY_Nom">#REF!</definedName>
    <definedName name="JPY_Tenor">#REF!</definedName>
    <definedName name="JPY_yr">#REF!</definedName>
    <definedName name="k">#REF!</definedName>
    <definedName name="kr_asia">[4]Weights!$J$9</definedName>
    <definedName name="kr_nie">[4]Weights!$K$9</definedName>
    <definedName name="M_PlaceofPath" hidden="1">"\\SNYCEQT0100\HOME\LZURLO\DATA\TELMEX\Models\tmx_vdf.xls"</definedName>
    <definedName name="MKT_5yFWD">#REF!</definedName>
    <definedName name="MKT_5yFWD_ccy">#REF!</definedName>
    <definedName name="MKT_5yFWD_tenor">#REF!</definedName>
    <definedName name="my_asean">[4]Weights!$L$10</definedName>
    <definedName name="my_asean5">[4]Weights!$M$10</definedName>
    <definedName name="my_asia">[4]Weights!$J$10</definedName>
    <definedName name="OMO_RRR">#REF!</definedName>
    <definedName name="Page_0026">#N/A</definedName>
    <definedName name="Page_0027">#N/A</definedName>
    <definedName name="ph_asean">[4]Weights!$L$11</definedName>
    <definedName name="ph_asean5">[4]Weights!$M$11</definedName>
    <definedName name="ph_asia">[4]Weights!$J$11</definedName>
    <definedName name="Players"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Player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_xlnm.Print_Area">#N/A</definedName>
    <definedName name="sg_asean5">[4]Weights!$M$12</definedName>
    <definedName name="sg_asia">[4]Weights!$J$12</definedName>
    <definedName name="sg_nie">[4]Weights!$K$12</definedName>
    <definedName name="SolvedReturn">[10]CF20!$F$50</definedName>
    <definedName name="SolvedReturn2">[8]CF20!$F$59</definedName>
    <definedName name="spd_EUR_linkers">#REF!</definedName>
    <definedName name="SpreadsheetBuilder_1" hidden="1">#REF!</definedName>
    <definedName name="SpreadsheetBuilder_2" hidden="1">#REF!</definedName>
    <definedName name="SpreadsheetBuilder_3" hidden="1">#REF!</definedName>
    <definedName name="SpreadsheetBuilder_4" hidden="1">#REF!</definedName>
    <definedName name="SpreadsheetBuilder_5" hidden="1">#REF!</definedName>
    <definedName name="SpreadsheetBuilder_7" hidden="1">#REF!</definedName>
    <definedName name="th_asean">[4]Weights!$L$14</definedName>
    <definedName name="th_asean5">[4]Weights!$M$14</definedName>
    <definedName name="th_asia">[4]Weights!$J$14</definedName>
    <definedName name="Tigr_Exhibit052c116f_fa03_453e_98be_14a9d0dd2058" hidden="1">#REF!</definedName>
    <definedName name="Tigr_Exhibit1113a9ef_7b01_4439_86db_1d2bbe7df0ac" hidden="1">#REF!</definedName>
    <definedName name="Tigr_Exhibit35b4bd78_d1e7_47d7_9864_956742c3e774" hidden="1">#REF!</definedName>
    <definedName name="Tigr_Exhibit397f6bfd_406c_40a1_9009_f5d98b80386f" hidden="1">[11]table!#REF!</definedName>
    <definedName name="Tigr_Exhibit5170b4cc_c7f3_46f9_904a_3aacaf1d7bdc" hidden="1">#REF!</definedName>
    <definedName name="Tigr_Exhibit54d8a2f4_eba6_4aec_9e5b_245ab3dbf58e" hidden="1">#REF!</definedName>
    <definedName name="Tigr_Exhibit576261f4_88db_4080_ae87_1b1914c9adb3" hidden="1">#REF!</definedName>
    <definedName name="Tigr_Exhibit5a33439a_d266_4ce7_8f98_be0140951553" hidden="1">[11]table!#REF!</definedName>
    <definedName name="Tigr_Exhibit624067c3_9ca8_4b04_8f5d_e3af8e62f374" hidden="1">#REF!</definedName>
    <definedName name="Tigr_Exhibit85fa87ab_c172_44b2_864d_78796004dd90" hidden="1">#REF!</definedName>
    <definedName name="Tigr_Exhibit9344d486_5b89_4b33_b900_19a7edd4aa3c" hidden="1">#REF!</definedName>
    <definedName name="Tigr_Exhibit9e9e0bd5_38bb_463b_bac6_e3b8e4b25555" hidden="1">#REF!</definedName>
    <definedName name="Tigr_Exhibitad91ea03_81cd_48cb_8b2b_0aa43c450efa" hidden="1">#REF!</definedName>
    <definedName name="Tigr_Exhibitb4317050_8e37_410d_9395_60290cc834c2" hidden="1">[11]table!#REF!</definedName>
    <definedName name="Tigr_Exhibitb6a2f72d_5780_438a_bc18_ddfdc55327ab" hidden="1">#REF!</definedName>
    <definedName name="Tigr_Exhibitc2fe1ca1_6833_4470_a00b_0b31a20ce419" hidden="1">[11]table!#REF!</definedName>
    <definedName name="Tigr_Exhibitc72ef51d_f40f_4f26_bc18_214f1da98272" hidden="1">#REF!</definedName>
    <definedName name="Tigr_Exhibitcb4442e9_d113_4670_8b2e_72dc16ff2245" hidden="1">#REF!</definedName>
    <definedName name="Tigr_Exhibitd07d21f6_e7c1_4c44_aec5_80a56b5e291b" hidden="1">#REF!</definedName>
    <definedName name="Tigr_Exhibitd128574e_653f_4165_8efb_b0bfc8e0b363" hidden="1">[11]table!#REF!</definedName>
    <definedName name="Tigr_Exhibitdab8e344_3648_43b7_bd5c_cb0212370d7d" hidden="1">#REF!</definedName>
    <definedName name="Tigr_Exhibitdcbc2a45_f882_40e3_aa68_e89f64f59b5f" hidden="1">#REF!</definedName>
    <definedName name="Tigr_Exhibitf5f21f65_69c7_4860_bb92_d262bba1f1bb" hidden="1">#REF!</definedName>
    <definedName name="Tigr_Exhibitf687f29e_825f_4649_b503_90666490e5ac" hidden="1">#REF!</definedName>
    <definedName name="Tigr_Exhibitfb02c44d_a8a5_4bd9_aaba_19b80c5a8f22" hidden="1">#REF!</definedName>
    <definedName name="TRNR_0022038504de447abd8a933ff7ebe766_1_2" hidden="1">#REF!</definedName>
    <definedName name="TRNR_009f5003b0f74013b8a5778bf8c40b5e_114_4" hidden="1" xml:space="preserve">    '[12]25 energy performance'!$B$7</definedName>
    <definedName name="TRNR_01e02471d7604ee88f2e36cadd8f094d_354_2" hidden="1">#REF!</definedName>
    <definedName name="TRNR_023df90456774c4babbeba2a51298872_184_0" hidden="1">'[13]Price move from peak'!#REF!</definedName>
    <definedName name="TRNR_02571366124c4be8a90baec84b360a6f_808_4" hidden="1" xml:space="preserve">                        '[14]Front end repricing'!$E$2</definedName>
    <definedName name="TRNR_02c5ed77fc674760bb39ca5f1999a853_131_3" hidden="1" xml:space="preserve">                        '[15]Forward Earnings'!$A$1</definedName>
    <definedName name="TRNR_02d9f7785fc240e3b9f78371ef301d31_184_0" hidden="1">'[13]Price move from peak'!#REF!</definedName>
    <definedName name="TRNR_02fb48280ee148ea8ce5a53d1af52471_133_1" hidden="1" xml:space="preserve">                        '[14]Core PCE YoY'!$A$1</definedName>
    <definedName name="TRNR_03330a6294b94741b7463e8bd998c237_132_0" hidden="1">'[13]Price move from peak'!#REF!</definedName>
    <definedName name="TRNR_033bc21edfbf433095a7619eb48b7b2a_2_6" hidden="1">#REF!</definedName>
    <definedName name="TRNR_03a8e3d59832403581e4d9ffffa5a9dc_52_2" hidden="1" xml:space="preserve">                                                                                        '[16]2 equity bond scatter'!$B$7</definedName>
    <definedName name="TRNR_03b5b758e87049098cfea1146a22f2bb_262_2" hidden="1">#REF!</definedName>
    <definedName name="TRNR_03d2d266c69d48cc8a1af23df1ad8ad8_713_3" hidden="1" xml:space="preserve">                        '[17]Yield breakdown'!$B$4</definedName>
    <definedName name="TRNR_03e4f5a9f94f4b3a927a7d0aae8e0ac7_3653_2" hidden="1">#REF!</definedName>
    <definedName name="TRNR_058badf99ad740458bdc9600b19b0357_3_2" hidden="1">#REF!</definedName>
    <definedName name="TRNR_05d4ea35cf254312a5a029d3c300bf41_51_3" hidden="1">#REF!</definedName>
    <definedName name="TRNR_05d8e688f8be4c29a2b24f7f2bc4323d_1_1" hidden="1" xml:space="preserve">                                                                                                                                '[16]2 equity bond scatter'!$Q$5</definedName>
    <definedName name="TRNR_06452938cc28454d8730b4afd5d8a300_52_2" hidden="1" xml:space="preserve">                                        '[16]2 equity bond scatter'!$B$7</definedName>
    <definedName name="TRNR_0695b177738b4d2bbe532564186a8d63_42_0" hidden="1">'[13]Price move from peak'!#REF!</definedName>
    <definedName name="TRNR_069d482229be49c3a4454968e8b95def_2611_3" hidden="1">#REF!</definedName>
    <definedName name="TRNR_06b69a8c01b6485aabbb4da7f45496a8_131_4" hidden="1" xml:space="preserve">                        '[18]Forward Earnings'!$A$1</definedName>
    <definedName name="TRNR_06fc6e6aefeb461d88957e02f07fc87a_354_2" hidden="1">#REF!</definedName>
    <definedName name="TRNR_06fcd81e21b249c1b9179115cbc8c7ae_204_11" hidden="1">[19]Yields!#REF!</definedName>
    <definedName name="TRNR_08b994993ca74a6997af161f4e3028ed_285_0" hidden="1">#REF!</definedName>
    <definedName name="TRNR_0927a714a696439f883008e70eac0026_132_0" hidden="1">'[13]Price move from peak'!#REF!</definedName>
    <definedName name="TRNR_0952e1325265498e822e7671e5b52f14_24_2" hidden="1">#REF!</definedName>
    <definedName name="TRNR_09961c64069d405e8fc7af5e7050e754_86_3" hidden="1" xml:space="preserve">                          '[20]P9 Margins'!$B$9</definedName>
    <definedName name="TRNR_09ec4f68ed5c4963a85fd07d7ac370a3_354_2" hidden="1">#REF!</definedName>
    <definedName name="TRNR_0a528f8b24f94d04882519bcd4c4c374_53_3" hidden="1" xml:space="preserve">                                                                                    '[16]2 equity bond scatter'!$G$7</definedName>
    <definedName name="TRNR_0a90e5cf5ef44b68bda7723c7a7132e7_184_1" hidden="1">'[13]Price move from peak'!#REF!</definedName>
    <definedName name="TRNR_0ab50ac2f96d4e829dfe727b4fe80dbb_3_2" hidden="1">#REF!</definedName>
    <definedName name="TRNR_0ad002cd71bc48fc918f597e0f5c0dc0_69_12" hidden="1">#REF!</definedName>
    <definedName name="TRNR_0af661a046b545098b61d5b679753138_22_1" hidden="1">#REF!</definedName>
    <definedName name="TRNR_0b3c1f9db42e4d0dad7f651d8481426e_1364_4" hidden="1">#REF!</definedName>
    <definedName name="TRNR_0b9e5a0c11414b5c96ebf68ca1a51260_1_1" hidden="1" xml:space="preserve">                                                                                                                                                                                                  '[21]P3 Equity Bond returns'!$N$5</definedName>
    <definedName name="TRNR_0bcc0200341b4c3d891a3a123cd005ad_713_3" hidden="1" xml:space="preserve">                        '[17]Yield breakdown'!$B$4</definedName>
    <definedName name="TRNR_0c58e63d6a4c485e84ffca15697d6014_22_1" hidden="1">#REF!</definedName>
    <definedName name="TRNR_0c60889b11054055862c351b15269474_152_1" hidden="1">#REF!</definedName>
    <definedName name="TRNR_0c77e8b20404444693cd1c8ccfba92f8_109_2" hidden="1">#REF!</definedName>
    <definedName name="TRNR_0d04f28dd6b24959af4624b234968264_122_1" hidden="1" xml:space="preserve">                                                                                        '[22]19 earnings'!$N$1</definedName>
    <definedName name="TRNR_0db19cfbf27a4998b9e6810a85292ff8_522_25" hidden="1">#REF!</definedName>
    <definedName name="TRNR_0dc5eb7bc071459d95a50387909e81a3_1_1" hidden="1" xml:space="preserve">                                                                                        '[16]2 equity bond scatter'!$Q$5</definedName>
    <definedName name="TRNR_0dd083e5f2eb483f934fa1e3a5cfe0a8_103_22" hidden="1">#REF!</definedName>
    <definedName name="TRNR_0e2928f722444093be5ca2f5aa65e453_1_1" hidden="1" xml:space="preserve">                        '[23]US rate paths'!$C$5</definedName>
    <definedName name="TRNR_0e4e8dcdf25c4ee386e8ecc609aed7cf_9767_2" hidden="1">#REF!</definedName>
    <definedName name="TRNR_0e9f7e2b95934d50b7c9202e6ae70d7d_1_1" hidden="1" xml:space="preserve">                                                                                                                '[16]2 equity bond scatter'!$Q$5</definedName>
    <definedName name="TRNR_0ed1d890895747f0b9abb31352e06e25_1_2" hidden="1">#REF!</definedName>
    <definedName name="TRNR_0eed335a95da4e5b84dfaab8cd3ed9f4_7159_1" hidden="1">#REF!</definedName>
    <definedName name="TRNR_0f42e7950da8458ca981da53f3783240_2_1" hidden="1" xml:space="preserve">                            '[12]25 energy performance'!#REF!</definedName>
    <definedName name="TRNR_0f8192d927ed431994b4120977d394be_1_16" hidden="1">#REF!</definedName>
    <definedName name="TRNR_0fe186b5c0684094a7a449ad8601a4c9_53_3" hidden="1" xml:space="preserve">                                                                                        '[16]2 equity bond scatter'!$G$7</definedName>
    <definedName name="TRNR_103fade85aad429c9392d37a18c76ba1_329_4" hidden="1">'[24]Regional PE Ratios'!#REF!</definedName>
    <definedName name="TRNR_10b2608a99094f93aa41152cbeedad10_1_1" hidden="1">#REF!</definedName>
    <definedName name="TRNR_10f04cf0bfba47a4bca7c2d95e860da7_1_32" hidden="1">#REF!</definedName>
    <definedName name="TRNR_10f460ca41dd4d11b0c837622463a4e2_2_1" hidden="1">#REF!</definedName>
    <definedName name="TRNR_110f9d2dbc194b60a96303eba513e802_109_2" hidden="1">#REF!</definedName>
    <definedName name="TRNR_112bf0614b2f4b7182d0baaff78b9d3b_635_1" hidden="1">#REF!</definedName>
    <definedName name="TRNR_1204ec8b2ebd4e0994a27f2ea91c3079_0_0" hidden="1">#REF!</definedName>
    <definedName name="TRNR_1248fe869bb54a06bb44f19171fdf55a_5_3" hidden="1" xml:space="preserve">                                                                                                                '[22]20 earnings growth'!$C$124</definedName>
    <definedName name="TRNR_124e6eaf16444d1389b5b24d758b019f_284_1" hidden="1" xml:space="preserve">                                                '[16]5 reallocation'!$R$3</definedName>
    <definedName name="TRNR_125ce7401f1543fbac73bc256f412311_1_16" hidden="1">#REF!</definedName>
    <definedName name="TRNR_1280b6f2ae74488aaee39c5b4e9648e8_3_0" hidden="1">#REF!</definedName>
    <definedName name="TRNR_12ad6a2b00024bfeb3a250aa0fb21094_3_0" hidden="1" xml:space="preserve">                                                                                                                                                                        '[21]P8 Commodity prices'!$AK$4</definedName>
    <definedName name="TRNR_12c0872c497549b9ae9a51a419d63128_522_9" hidden="1">#REF!</definedName>
    <definedName name="TRNR_12d9cc4dcadd4985865f8ff44f76cc97_99_2" hidden="1">#REF!</definedName>
    <definedName name="TRNR_131228f3dd29455cbc85f609d1d7a1c6_2_5" hidden="1">#REF!</definedName>
    <definedName name="TRNR_1348913699b549c9a461c17555e758f6_42_0" hidden="1">'[13]Price move from peak'!#REF!</definedName>
    <definedName name="TRNR_13bafd09ca3a449cab60a2022fd43149_53_3" hidden="1" xml:space="preserve">                                                                                      '[16]2 equity bond scatter'!$G$7</definedName>
    <definedName name="TRNR_13ec0d2f069c4a9aa65b9439650fc51c_131_3" hidden="1">#REF!</definedName>
    <definedName name="TRNR_140f9f9e576e4f649d45f06fea5daf48_357_1" hidden="1">#REF!</definedName>
    <definedName name="TRNR_143ffb9adef64df09d9388195e4de716_52_22" hidden="1">#REF!</definedName>
    <definedName name="TRNR_147e2e6abdf04a2c8090927bd1927ca2_1_2" hidden="1">#REF!</definedName>
    <definedName name="TRNR_1483c6a70b2e487e9687f420a8dedca3_354_2" hidden="1">#REF!</definedName>
    <definedName name="TRNR_14cf539c69b844c4ae464e59c87a7ba0_24_2" hidden="1">#REF!</definedName>
    <definedName name="TRNR_15a5553da3ce45cdaa1fbae61b47b4de_1135_4" hidden="1">#REF!</definedName>
    <definedName name="TRNR_15ce99caacdf457298fff89919e623d3_3_0" hidden="1">#REF!</definedName>
    <definedName name="TRNR_162c9677ce1b432dad60cfd39512918c_52_2" hidden="1" xml:space="preserve">                                            '[16]2 equity bond scatter'!$B$7</definedName>
    <definedName name="TRNR_163d4ba639b147229f9c1f8d4bf21c77_56_2" hidden="1">#REF!</definedName>
    <definedName name="TRNR_16491ea54b384106be905505a488a34c_56_2" hidden="1">#REF!</definedName>
    <definedName name="TRNR_1654c5c8811948ca978777d3a599c835_1826_4" hidden="1">#REF!</definedName>
    <definedName name="TRNR_16634befd77747e1a3c2db3f69d6ecfd_9_1" hidden="1">#REF!</definedName>
    <definedName name="TRNR_16c2411c5c744737ace3fc4dc374c84e_522_3" hidden="1">#REF!</definedName>
    <definedName name="TRNR_16ffc2601da94412bb02f45e71af0cea_472_25" hidden="1">#REF!</definedName>
    <definedName name="TRNR_171a341da3d9490aae75825a25c24ae1_52_2" hidden="1" xml:space="preserve">                                  '[16]2 equity bond scatter'!$B$7</definedName>
    <definedName name="TRNR_1755142f0d224eab894d1142698ebb70_444_25" hidden="1">#REF!</definedName>
    <definedName name="TRNR_176c27c646744197badfd0c40eefd110_1826_4" hidden="1">#REF!</definedName>
    <definedName name="TRNR_179cea9620474640acc1ce8a704f89bc_1_32" hidden="1">#REF!</definedName>
    <definedName name="TRNR_188f382276504567996caf1401f83a08_1_1" hidden="1" xml:space="preserve">                                            '[16]2 equity bond scatter'!$N$5</definedName>
    <definedName name="TRNR_1901f7631c054956846696055358198c_1_1" hidden="1" xml:space="preserve">                              '[20]P9 Margins'!$I$2</definedName>
    <definedName name="TRNR_19033554cf8e4903926214cc052aeea0_1464_1" hidden="1">'[25]Market Overview'!#REF!</definedName>
    <definedName name="TRNR_194ba81d102f41d3bccbd07c26674d0d_52_2" hidden="1" xml:space="preserve">                                            '[16]2 equity bond scatter'!$B$7</definedName>
    <definedName name="TRNR_198d2498a5c649bf857c9860e6cefb20_109_2" hidden="1">#REF!</definedName>
    <definedName name="TRNR_19b02aba1ccf475a976fcc4261897ad0_132_0" hidden="1">'[13]Price move from peak'!#REF!</definedName>
    <definedName name="TRNR_1a76fc0d6eee4af98ea855de11850adc_630_1" hidden="1">'[26]Consumer confidence'!#REF!</definedName>
    <definedName name="TRNR_1a923f58b83d4c67ba99fd5e918b0e1e_522_1" hidden="1">#REF!</definedName>
    <definedName name="TRNR_1ab45169b7dd45d3bb3b69f865cb617d_184_0" hidden="1">'[13]Price move from peak'!#REF!</definedName>
    <definedName name="TRNR_1b32cca261544e789ac267db2f3c49ce_7_1" hidden="1" xml:space="preserve">                                                 '[16]7 Bev curve'!$B$9</definedName>
    <definedName name="TRNR_1b3c45ab744d4797b983e899653536b7_354_2" hidden="1">#REF!</definedName>
    <definedName name="TRNR_1beb6a5d42c04c09bfb28d77f79095cb_93_3" hidden="1">#REF!</definedName>
    <definedName name="TRNR_1c150b7ffd3343a1a5180452e07d1f8c_627_2" hidden="1">#REF!</definedName>
    <definedName name="TRNR_1c4109679f1f43f9af2d8545cdaa31a6_662_2" hidden="1">#REF!</definedName>
    <definedName name="TRNR_1e1a605c109644a28df4b279a05d0d0a_13_1" hidden="1" xml:space="preserve">                                                                                                                                                                                  '[21]P6 Cutting through confusion'!#REF!</definedName>
    <definedName name="TRNR_1e3b0befaeab4f8389cd09bb0e5d6f3f_3_2" hidden="1">#REF!</definedName>
    <definedName name="TRNR_1e6a5b9761ae489c89ad6cd7b6cf88d9_69_22" hidden="1">#REF!</definedName>
    <definedName name="TRNR_1eb8a91826e543798b067ef406cdfdac_2_6" hidden="1">#REF!</definedName>
    <definedName name="TRNR_1f939ccb531b469faf56ea779834a189_52_3" hidden="1" xml:space="preserve">                        '[16]2 equity bond scatter'!$G$7</definedName>
    <definedName name="TRNR_2059bde9c69942cfbd049b7421f84890_568_2" hidden="1">#REF!</definedName>
    <definedName name="TRNR_212e1c448bfc4d8fabfd9774f6ee3e2b_56_2" hidden="1">#REF!</definedName>
    <definedName name="TRNR_21387fb04754483b8151c05acd2b35f3_1_2" hidden="1">#REF!</definedName>
    <definedName name="TRNR_217ac1c0c91c44ac8c6f53af799977b4_30_4" hidden="1">#REF!</definedName>
    <definedName name="TRNR_21b9cfe68abd4cbcb534a928ba242268_3_0" hidden="1">#REF!</definedName>
    <definedName name="TRNR_22328570d3864970a2f59fb840e0b45c_42_0" hidden="1">'[13]Price move from peak'!#REF!</definedName>
    <definedName name="TRNR_23261311fe5942b2be66ea7f6dcb0278_522_3" hidden="1">#REF!</definedName>
    <definedName name="TRNR_241fc6fb835d44a2aa611200013ff0f7_0_0" hidden="1">#REF!</definedName>
    <definedName name="TRNR_2422538fb9fb4294ab1e0d641fc5bebe_88_7" hidden="1">#REF!</definedName>
    <definedName name="TRNR_243824d937714a64ae3c57be84508484_1_1" hidden="1" xml:space="preserve">                                                                                                                '[16]2 equity bond scatter'!$Q$5</definedName>
    <definedName name="TRNR_2439fe4aa3144cb4a4cc6adb96f26233_354_2" hidden="1">#REF!</definedName>
    <definedName name="TRNR_244b156d402d401d9dfce4d1c006eaa3_628_2" hidden="1">#REF!</definedName>
    <definedName name="TRNR_248c102b648c4f90bef605312dbab57f_569_2" hidden="1">#REF!</definedName>
    <definedName name="TRNR_2499ea3221df4855918db5e1744c7f04_23_3" hidden="1">#REF!</definedName>
    <definedName name="TRNR_25509cab880c4b9caea7561f12ab51a6_662_2" hidden="1">#REF!</definedName>
    <definedName name="TRNR_25bd1612ee9543c2863d524a25b3b90b_16_6" hidden="1">#REF!</definedName>
    <definedName name="TRNR_25deafa667464b479e4983b7a1fdc306_86_2" hidden="1">#REF!</definedName>
    <definedName name="TRNR_264bb6388a7349a299e0328bf4b2764f_1135_5" hidden="1">#REF!</definedName>
    <definedName name="TRNR_269ee402894640b286824878af79dd82_266_2" hidden="1" xml:space="preserve">                                                                                                                '[22]14 US unemployment'!$A$6</definedName>
    <definedName name="TRNR_26fed1823d48472b8319729a82598fbf_109_2" hidden="1">#REF!</definedName>
    <definedName name="TRNR_270da73763444de48994778ed1d564a1_119_1" hidden="1" xml:space="preserve">                        '[22]19 earnings'!$A$1</definedName>
    <definedName name="TRNR_271dd887607742dd888fad30d697f595_1_1" hidden="1">#REF!</definedName>
    <definedName name="TRNR_271eaa364249408e8821342c725888ec_22_1" hidden="1">#REF!</definedName>
    <definedName name="TRNR_2767db6ad56e4ea492b4f07884f4f382_56_2" hidden="1">#REF!</definedName>
    <definedName name="TRNR_278c636e7f2143d29ec5a43e7d71a6d8_1_1" hidden="1" xml:space="preserve">                                                  '[16]2 equity bond scatter'!$Q$5</definedName>
    <definedName name="TRNR_27b5b925622f4ae2affdcbf6ee7d3e5c_3_2" hidden="1">#REF!</definedName>
    <definedName name="TRNR_27d86fbd3c2b4378b05a9a13a80da44b_3_2" hidden="1">#REF!</definedName>
    <definedName name="TRNR_280e7e69613f4b2e99987b422ef6900c_1305_1" hidden="1" xml:space="preserve">                        '[23]US rate paths'!$C$5</definedName>
    <definedName name="TRNR_2834186cf2e541dcbf43fad5c57937f0_875_3" hidden="1">#REF!</definedName>
    <definedName name="TRNR_2869fb90a1ad45b582b2ce3f2fc0c556_18_1" hidden="1">#REF!</definedName>
    <definedName name="TRNR_289b92a3f251448aafc0efa562de6b17_1_32" hidden="1">#REF!</definedName>
    <definedName name="TRNR_28b1f0ae048f4a408153aaece20f3bcd_1397_5" hidden="1">#REF!</definedName>
    <definedName name="TRNR_290d399556e64950a9b2ecde80939fc1_1_32" hidden="1">#REF!</definedName>
    <definedName name="TRNR_29198288034e41a58aac8ec8a3571f5f_264_2" hidden="1" xml:space="preserve">                                                                                                                '[22]22 5y5y inflation vs  10y'!$BF$6</definedName>
    <definedName name="TRNR_294f83ab00fc48149300a65a899e91f7_192_2" hidden="1">#REF!</definedName>
    <definedName name="TRNR_2a696123317a41e29034659c22f501a3_132_3" hidden="1" xml:space="preserve">                                            '[16]23 EM perf'!$C$8</definedName>
    <definedName name="TRNR_2a7528d46a39412c9fd5070d25f30b31_7757_1" hidden="1" xml:space="preserve">                        '[17]US rate path'!$B$4</definedName>
    <definedName name="TRNR_2a9a0ba3e2c54844a59756b7fc8d8828_187_2" hidden="1">#REF!</definedName>
    <definedName name="TRNR_2ab2a9fb79504fbf9ea0b594f8675fca_623_3" hidden="1">#REF!</definedName>
    <definedName name="TRNR_2adff21ca4a24ba1a50de13720887930_3_0" hidden="1">#REF!</definedName>
    <definedName name="TRNR_2b3d985f7e7d41ecb20362f7f6f856bc_485_3" hidden="1">#REF!</definedName>
    <definedName name="TRNR_2b53265c98684c0e905ec95f0f1b5911_1_1" hidden="1" xml:space="preserve">                                                                        '[16]2 equity bond scatter'!$N$5</definedName>
    <definedName name="TRNR_2b67df83cf7940c4b962ab45fa198f2a_132_0" hidden="1">'[13]Price move from peak'!#REF!</definedName>
    <definedName name="TRNR_2b6e5039832743fd974a2f04c0fd10b5_132_0" hidden="1">'[13]Price move from peak'!#REF!</definedName>
    <definedName name="TRNR_2bb90b0fcd824806a0cbb2df13e6b733_1_1" hidden="1" xml:space="preserve">                                '[16]2 equity bond scatter'!$Q$5</definedName>
    <definedName name="TRNR_2bdd2c04bcd248898d2c0cd90bbb5168_128_1" hidden="1" xml:space="preserve">                                                                                                                                                                          '[21]P6 Cutting through confusion'!#REF!</definedName>
    <definedName name="TRNR_2c6d8d93a4ba4952bfd1db3f7d33d432_1_2" hidden="1">#REF!</definedName>
    <definedName name="TRNR_2ca21ab43de245eeb1fae09e0b883ebe_629_2" hidden="1">#REF!</definedName>
    <definedName name="TRNR_2cba9cf7785e4db8bbdd10d9ddd1b478_53_3" hidden="1" xml:space="preserve">                                                                                      '[16]2 equity bond scatter'!$G$7</definedName>
    <definedName name="TRNR_2d1fa54fe8a14643a5fd5ae6e6be3c78_1_1" hidden="1" xml:space="preserve">                                            '[16]2 equity bond scatter'!$Q$5</definedName>
    <definedName name="TRNR_2d2afd9413aa48fb948263f718b766ad_264_2" hidden="1" xml:space="preserve">                                                                                                                '[22]22 5y5y inflation vs  10y'!$BA$6</definedName>
    <definedName name="TRNR_2d6d5bbcee404431bfaf5e9707f29e3f_919_3" hidden="1" xml:space="preserve">                             '[16]21 yield breakdown'!$C$5</definedName>
    <definedName name="TRNR_2dd106e25d4644ebb2fe0459e60c5f7c_131_3" hidden="1">#REF!</definedName>
    <definedName name="TRNR_2e9c842a04e64cb1a3a190f7c7700194_1527_1" hidden="1" xml:space="preserve">                        '[27]One-week repo'!$B$4</definedName>
    <definedName name="TRNR_2e9fc950c23849f8be768bad7f9ff89c_90_3" hidden="1">#REF!</definedName>
    <definedName name="TRNR_2f1b5d01d85c4161a1da8c5f371478d7_662_2" hidden="1">#REF!</definedName>
    <definedName name="TRNR_2f38b40639e645ecaf794fb567b737b0_97_2" hidden="1">#REF!</definedName>
    <definedName name="TRNR_2f53ed21e70c4de182b646a277fdf9cd_187_2" hidden="1">#REF!</definedName>
    <definedName name="TRNR_2f6666c16fc04e93b700cd252295a15b_3_2" hidden="1">#REF!</definedName>
    <definedName name="TRNR_2f6cf7c3e5e040be89495bff9e403669_51_2" hidden="1" xml:space="preserve">                                                                                                                                                                                          '[21]P3 Equity Bond returns'!$B$7</definedName>
    <definedName name="TRNR_2f92e24ed1ae4c5fad38fa07f8dfe33a_98_2" hidden="1">#REF!</definedName>
    <definedName name="TRNR_2f934da538394633ba64d1273323c587_3_0" hidden="1">#REF!</definedName>
    <definedName name="TRNR_2f96b2b7e8494556b38d2d960b6fb36e_1_5" hidden="1">#REF!</definedName>
    <definedName name="TRNR_2fd4f8a6f5864cf28fd3bb6110e85361_627_3" hidden="1" xml:space="preserve">                                                '[14]UW US Treasuries'!$B$6</definedName>
    <definedName name="TRNR_30070d0fe59b4abfa879c284e02ddb26_3_2" hidden="1">#REF!</definedName>
    <definedName name="TRNR_30742d257990456395b2ef7ac651c384_184_0" hidden="1">'[13]Price move from peak'!#REF!</definedName>
    <definedName name="TRNR_3076cc4e0d7349728097981da1da70be_192_1" hidden="1" xml:space="preserve">                                                                                                                                                              '[21]P5 Living with inflation'!$S$2</definedName>
    <definedName name="TRNR_30e265b973044369b1c1a4b6f5cff15c_5_3" hidden="1" xml:space="preserve">                                                                                                                '[22]20 earnings growth'!$C$124</definedName>
    <definedName name="TRNR_316abb6abe04402d826aba4b30e591aa_147_4" hidden="1" xml:space="preserve">                                                                                        '[22]10 US PCE'!$A$2</definedName>
    <definedName name="TRNR_326ad92fab894aff896e9a5b5e5dd4ea_372_2" hidden="1">#REF!</definedName>
    <definedName name="TRNR_329c7461baed4e75b47f8e4288e27ee0_3_2" hidden="1">#REF!</definedName>
    <definedName name="TRNR_33dc2efc94684e34a8fda0661eedba77_86_4" hidden="1">#REF!</definedName>
    <definedName name="TRNR_3457a2703fb245ad9f4d7504143e7b5e_132_0" hidden="1">'[13]Price move from peak'!#REF!</definedName>
    <definedName name="TRNR_348d230be3ae41bd9b60f16efee103da_99_2" hidden="1">#REF!</definedName>
    <definedName name="TRNR_3513c489eb294b329fba20cc97972897_1_32" hidden="1">#REF!</definedName>
    <definedName name="TRNR_355091f948b34062b7dca7762466a9e9_50_2" hidden="1" xml:space="preserve">                                                                                                                '[22]13 Labor market'!$A$6</definedName>
    <definedName name="TRNR_3555682d4fa14f9d8e6c8c70b111846a_42_0" hidden="1">'[13]Price move from peak'!#REF!</definedName>
    <definedName name="TRNR_35662209cddb49af9f783649386e3d7d_97_2" hidden="1">#REF!</definedName>
    <definedName name="TRNR_359639a6556c405984880945ab66261d_3_2" hidden="1">#REF!</definedName>
    <definedName name="TRNR_362b95ac3b294a1e8c67a6461f96718c_634_1" hidden="1">#REF!</definedName>
    <definedName name="TRNR_374d28037bf24ad086df32e2fe402fb3_131_6" hidden="1" xml:space="preserve">                        '[22]20 earnings growth'!$R$1</definedName>
    <definedName name="TRNR_37c7dffb11a44814b835c0be79db784b_52_2" hidden="1" xml:space="preserve">                                  '[16]2 equity bond scatter'!$B$7</definedName>
    <definedName name="TRNR_37d14926bbe84cd7a5b01f0f71a64f3d_97_2" hidden="1">#REF!</definedName>
    <definedName name="TRNR_37fd508a95f64726b2b48a16e5488d27_662_2" hidden="1">#REF!</definedName>
    <definedName name="TRNR_384a04b2920c443cb310c774cc9b5189_3_0" hidden="1">#REF!</definedName>
    <definedName name="TRNR_392828ec508746a8a823359d22dc50ea_1_16" hidden="1">#REF!</definedName>
    <definedName name="TRNR_3ab4b67339d942c19655e555adec1079_1_1" hidden="1">#REF!</definedName>
    <definedName name="TRNR_3aef964708a541caadaacac75ab1af07_23_3" hidden="1">'[28]Gov. Bond Returns YTD'!#REF!</definedName>
    <definedName name="TRNR_3b45c693a95b4f78acb6c94ea7b1ecee_26_1" hidden="1">#REF!</definedName>
    <definedName name="TRNR_3b4bc04d41a74750bcfd76421bf75593_53_3" hidden="1" xml:space="preserve">                                                                                      '[16]2 equity bond scatter'!$G$7</definedName>
    <definedName name="TRNR_3bde59b2284441dcb1169c9f2d8f6379_60_3" hidden="1">#REF!</definedName>
    <definedName name="TRNR_3c1df4fbc5cd45ceabef05a02cb8f522_6091_1" hidden="1">#REF!</definedName>
    <definedName name="TRNR_3c243511dc33479fb9c2d93ad45380b2_612_3" hidden="1">#REF!</definedName>
    <definedName name="TRNR_3c59622afec24c70beb314e80cf9dbe1_1_4" hidden="1">#REF!</definedName>
    <definedName name="TRNR_3caec76bcea645c09a727fb817ac6b43_50_2" hidden="1" xml:space="preserve">                                                                                                                '[22]13 Labor market'!$A$6</definedName>
    <definedName name="TRNR_3cc26214bbd349508b589d4757e02d29_7756_1" hidden="1" xml:space="preserve">                        '[23]US rate paths'!$N$6</definedName>
    <definedName name="TRNR_3cdd1fcbb7a3440d9fec564aae4e83e8_198_3" hidden="1">#REF!</definedName>
    <definedName name="TRNR_3d04cad8e52a4d18ba2b433ffa97dc3c_2_1" hidden="1">#REF!</definedName>
    <definedName name="TRNR_3d369e897c0a449294786058f79fb54d_132_0" hidden="1">'[13]Price move from peak'!#REF!</definedName>
    <definedName name="TRNR_3db93553dbbc4699b1940078f798f2a3_3_2" hidden="1">#REF!</definedName>
    <definedName name="TRNR_3dc268b817ad4f4cb661080963a7cc27_53_3" hidden="1" xml:space="preserve">                                            '[16]2 equity bond scatter'!$G$7</definedName>
    <definedName name="TRNR_3e58bba7bdf0464e9599ead80862155a_2610_3" hidden="1">#REF!</definedName>
    <definedName name="TRNR_3e5da22a202543d881e0fb0ad7405842_109_2" hidden="1" xml:space="preserve">                                                  '[16]3 Timeline'!$D$4</definedName>
    <definedName name="TRNR_3e907f26e53143908b36d5686a4a5729_3_0" hidden="1" xml:space="preserve">            '[21]P8 Commodity prices'!$AJ$4</definedName>
    <definedName name="TRNR_3f087541a281442ba63b49b8240389f6_45_1" hidden="1">#REF!</definedName>
    <definedName name="TRNR_3fd2ad8bb314468d8510e4bd51674ff9_1_4" hidden="1">#REF!</definedName>
    <definedName name="TRNR_402e2ae01c1549a2a1eaf16c6023aabe_52_3" hidden="1">#REF!</definedName>
    <definedName name="TRNR_405a023172b64d34aeeb596afa353f01_1_2" hidden="1">#REF!</definedName>
    <definedName name="TRNR_4069bb8c5add4bbb8febc1fe8b50e50e_132_0" hidden="1">'[13]Price move from peak'!#REF!</definedName>
    <definedName name="TRNR_40f3ee76557647bb829777943fce1711_662_2" hidden="1">#REF!</definedName>
    <definedName name="TRNR_40f9f34501ae4db7b269a859c8307996_24_2" hidden="1">#REF!</definedName>
    <definedName name="TRNR_41243149c5d6487d9276ae7d1e2477d4_50_2" hidden="1" xml:space="preserve">                                                                                                                '[22]13 Labor market'!$A$6</definedName>
    <definedName name="TRNR_41b21af8a2b84d8181f63e7c7b4b5540_15_4" hidden="1">#REF!</definedName>
    <definedName name="TRNR_4209b003d10144d28ddf347586540bc1_2_6" hidden="1">#REF!</definedName>
    <definedName name="TRNR_42491f0dc74b4b07bb0ee4d47db3c3f9_1145_18" hidden="1">#REF!</definedName>
    <definedName name="TRNR_425035760b43421fb3afe02d85e5faaf_1_1" hidden="1" xml:space="preserve">                                                  '[16]2 equity bond scatter'!$Q$5</definedName>
    <definedName name="TRNR_42b85146d90b48fbb4a8c9e3e418d2ed_109_2" hidden="1">#REF!</definedName>
    <definedName name="TRNR_42ccd2e2f1c74a05be6746233ddd20de_629_2" hidden="1">#REF!</definedName>
    <definedName name="TRNR_4317d9b7efa943369e573338e5c4a174_253_1" hidden="1">#REF!</definedName>
    <definedName name="TRNR_439e1c4a378d4706957408d02fab8818_3_2" hidden="1">#REF!</definedName>
    <definedName name="TRNR_43c4edd405cd4220ae59178fdb30e8f2_100_2" hidden="1">#REF!</definedName>
    <definedName name="TRNR_43cdc442ec00411793b7e9a51995d1a3_1_1" hidden="1" xml:space="preserve">                                                                                                                '[16]2 equity bond scatter'!$N$5</definedName>
    <definedName name="TRNR_43fbbb80c0cb49859f5b9d1f44f515d4_62_2" hidden="1" xml:space="preserve">                                                                                                                '[22]22 5y5y inflation vs  10y'!$BA$6</definedName>
    <definedName name="TRNR_4411c8e1497d46b4b77e605ac969dfa8_0_0" hidden="1">#REF!</definedName>
    <definedName name="TRNR_44ec4a67e4574c2d9a0d53b79d7eb94a_81_3" hidden="1">#REF!</definedName>
    <definedName name="TRNR_44ffff8e964e42a2999288e39b75fda1_46_1" hidden="1">#REF!</definedName>
    <definedName name="TRNR_45367014747a4fac9a4bfa1c672d4f7e_109_2" hidden="1">#REF!</definedName>
    <definedName name="TRNR_455fdb3b7d734167ad47bf9aa561cf13_185_4" hidden="1">#REF!</definedName>
    <definedName name="TRNR_45c262c7e40e4e9996cfb192b3ae6adf_184_0" hidden="1">'[13]Price move from peak'!#REF!</definedName>
    <definedName name="TRNR_4644f0c9bb7e46b78523452b78c1d2ea_329_4" hidden="1">'[24]Regional PE Ratios'!#REF!</definedName>
    <definedName name="TRNR_46889d88e84f4b4787c95eb494953ed2_3_2" hidden="1" xml:space="preserve">                                                '[21]P8 Commodity prices'!$AG$4</definedName>
    <definedName name="TRNR_46c0c0f770a14473a6160e5ae28f53d7_634_1" hidden="1">#REF!</definedName>
    <definedName name="TRNR_4783304536c44c19b10448628d3c2eeb_52_2" hidden="1" xml:space="preserve">                                  '[16]2 equity bond scatter'!$B$7</definedName>
    <definedName name="TRNR_481c3a7ec56340c198eb1d01040ce086_662_2" hidden="1">#REF!</definedName>
    <definedName name="TRNR_48cdf9bdd4fd499c865d3017ae78f7dc_1_32" hidden="1">#REF!</definedName>
    <definedName name="TRNR_48e7ee12c90049048681b548a1f49948_1_5" hidden="1">#REF!</definedName>
    <definedName name="TRNR_4ac2a7f0eab64692a92bc18b07a0bee8_50_1" hidden="1" xml:space="preserve">                                                                                                                '[22]13 Labor market'!$A$6</definedName>
    <definedName name="TRNR_4b7a7b2d8617470c8487d9a011b16fd0_1388_5" hidden="1">#REF!</definedName>
    <definedName name="TRNR_4b99625cbf3b45cdbfdb03ce3202ae3a_181_3" hidden="1">'[29]Chart of the week'!$C$9</definedName>
    <definedName name="TRNR_4c0bc3da268c4b3cb79adf5484d27a0b_3_2" hidden="1">#REF!</definedName>
    <definedName name="TRNR_4c5de5a3e1eb4800829d3221c18df623_99_2" hidden="1">#REF!</definedName>
    <definedName name="TRNR_4c6897a8a5fc4815b03a00d1fdbd0b6f_136_2" hidden="1" xml:space="preserve">                                                  '[16]3 Timeline'!$D$4</definedName>
    <definedName name="TRNR_4c6cc8b0d4bc4f8780d2ca1c9549a125_354_2" hidden="1">#REF!</definedName>
    <definedName name="TRNR_4c97241b6eff4cda84d4c53bf43978cb_808_4" hidden="1" xml:space="preserve">                                '[14]Front end repricing'!$E$2</definedName>
    <definedName name="TRNR_4c9d18419c5d49c09a64f306b94ec58f_857_2" hidden="1">#REF!</definedName>
    <definedName name="TRNR_4d2676638fd34119acee6fb860250ade_56_2" hidden="1">#REF!</definedName>
    <definedName name="TRNR_4d41e2affe934858a6148cb48c1b8491_25_1" hidden="1">#REF!</definedName>
    <definedName name="TRNR_4d646242afa940c4a8c16793e5007f06_3_0" hidden="1">#REF!</definedName>
    <definedName name="TRNR_4e04c9efc7c84ba59d0e9ca6c30fde04_71_20" hidden="1">#REF!</definedName>
    <definedName name="TRNR_4e4d50783a9140dea2e0f61ec690a188_1693_1" hidden="1">[30]Spreads!#REF!</definedName>
    <definedName name="TRNR_50273989263d4d04a0df1e1bfffa23b1_679_3" hidden="1" xml:space="preserve">                                                '[14]UW US Treasuries'!$B$6</definedName>
    <definedName name="TRNR_50568117ba1e4b4cbb62c28ec353a9a6_192_2" hidden="1">#REF!</definedName>
    <definedName name="TRNR_507c08c9ace540379f5d934f2fab48bb_1_5" hidden="1">#REF!</definedName>
    <definedName name="TRNR_50de05d70863437aaec96158805a2370_1_1" hidden="1">#REF!</definedName>
    <definedName name="TRNR_50e915b2db304e04adc7beca66a11680_3_2" hidden="1">#REF!</definedName>
    <definedName name="TRNR_510497f369604e9ba832a17b5c7248eb_1_2" hidden="1">#REF!</definedName>
    <definedName name="TRNR_5196330dbea745a794a91b03a2e69f74_109_2" hidden="1">#REF!</definedName>
    <definedName name="TRNR_51a90b60a8004681838cd6e877b1c4a8_109_2" hidden="1">#REF!</definedName>
    <definedName name="TRNR_51ee9576c07a46ee9181f89f0f5c94cf_3_2" hidden="1">#REF!</definedName>
    <definedName name="TRNR_51f6eb9e327c45368e4061a45db9c5ac_1394_4" hidden="1">#REF!</definedName>
    <definedName name="TRNR_5228f17d28fc45c29d68ed3df673a0bd_342_3" hidden="1">#REF!</definedName>
    <definedName name="TRNR_52af26229f174bfd83af5b8446dfc876_7984_22" hidden="1">#REF!</definedName>
    <definedName name="TRNR_52d7eef0ca3c465785f175acded02de8_56_2" hidden="1">#REF!</definedName>
    <definedName name="TRNR_530d3b4010b04f52832c91c0f40590f4_192_2" hidden="1">#REF!</definedName>
    <definedName name="TRNR_5316ed3f588a4732b91aaa046d24a402_305_9" hidden="1">'[24]US Earnings Estimates'!#REF!</definedName>
    <definedName name="TRNR_53271935cdc142e7ad1798973d4146af_1042_0" hidden="1">'[13]Price move from peak'!#REF!</definedName>
    <definedName name="TRNR_5352a53cfa474fce967ded6690969db2_1_1" hidden="1" xml:space="preserve">                                                                                        '[16]2 equity bond scatter'!$Q$5</definedName>
    <definedName name="TRNR_53981416a6094f62902fb40f68fc9daa_2_6" hidden="1">#REF!</definedName>
    <definedName name="TRNR_54919ce6f8c7429c9ff69583cca160cc_1_2" hidden="1">#REF!</definedName>
    <definedName name="TRNR_5571c4d46f5648f5b786febeba23afb9_1_1" hidden="1" xml:space="preserve">                                                            '[16]2 equity bond scatter'!$N$5</definedName>
    <definedName name="TRNR_5585735d3e284ffdb6d2775407812d41_192_2" hidden="1">#REF!</definedName>
    <definedName name="TRNR_55bc11e12eeb43038e273441026a97f7_3_0" hidden="1">#REF!</definedName>
    <definedName name="TRNR_56ce972487284728b644db58955f89b7_192_2" hidden="1">#REF!</definedName>
    <definedName name="TRNR_57075dc238f94dbca69320e9f40dcc95_1_1" hidden="1" xml:space="preserve">                                                  '[16]2 equity bond scatter'!$Q$5</definedName>
    <definedName name="TRNR_571d65367c1545de993ce780a4d1f631_7757_1" hidden="1">#REF!</definedName>
    <definedName name="TRNR_5723066f32a4484d80cd75ef61112f9b_24_2" hidden="1">#REF!</definedName>
    <definedName name="TRNR_5730b404b11e4e1f9475a8ef5d504ea2_184_0" hidden="1">'[13]Price move from peak'!#REF!</definedName>
    <definedName name="TRNR_5824ffb397ac409aa77a78485d39a370_266_3" hidden="1" xml:space="preserve">                                                                                                                '[22]14 US unemployment'!$A$6</definedName>
    <definedName name="TRNR_5888df9673de4b8e838cf561ecebde3a_56_2" hidden="1">#REF!</definedName>
    <definedName name="TRNR_5902378b498344ac9e9d6a083181ac26_1_32" hidden="1">#REF!</definedName>
    <definedName name="TRNR_59281e9e1c914bf1b8e93bf6d1186be6_1_2" hidden="1">#REF!</definedName>
    <definedName name="TRNR_59c1c6edeb5a4e9ea45a923e6209de29_253_3" hidden="1" xml:space="preserve">              '[20]P9 Margins'!$B$9</definedName>
    <definedName name="TRNR_59fbab36b9c242078f59dfa447062ca8_122_4" hidden="1" xml:space="preserve">                '[22]19 earnings'!$T$1</definedName>
    <definedName name="TRNR_5a27c4831e3e47728ab646fa7ed7a582_6091_1" hidden="1">#REF!</definedName>
    <definedName name="TRNR_5a373dd62cdc4fa89d9d5575cfe044ea_6061_1" hidden="1">#REF!</definedName>
    <definedName name="TRNR_5b33a746ef1d4dd181a684a866bcc609_3_2" hidden="1">#REF!</definedName>
    <definedName name="TRNR_5b6f105978844c279e8e6333cd30931d_522_25" hidden="1">#REF!</definedName>
    <definedName name="TRNR_5bdca5adb5fa42c28a740cb83258cfb1_1_2" hidden="1">#REF!</definedName>
    <definedName name="TRNR_5c2c984d1e3d43c681a69de17dfef63c_1305_1" hidden="1" xml:space="preserve">                        '[23]US rate paths'!$C$5</definedName>
    <definedName name="TRNR_5c52da01777c43b5ba1c7886223f5e16_192_2" hidden="1">#REF!</definedName>
    <definedName name="TRNR_5c902287249148739bdbbd1d1e2a1ceb_232_1" hidden="1" xml:space="preserve">  '[20]P10 FF Geopolitics'!$A$8</definedName>
    <definedName name="TRNR_5ca5cda8eb9949248e1956b9b1748256_56_2" hidden="1">#REF!</definedName>
    <definedName name="TRNR_5ce8d7bd09214bea8a28adbdd04772f1_99_2" hidden="1">#REF!</definedName>
    <definedName name="TRNR_5d5a2ccea16442cab243464e52ff4835_144_2" hidden="1" xml:space="preserve">                                                  '[16]3 Timeline'!$D$4</definedName>
    <definedName name="TRNR_5dd4777b8d9e4755af62fcd6697fb896_305_5" hidden="1">'[24]US Earnings Estimates'!#REF!</definedName>
    <definedName name="TRNR_5f2c83c7772d4fc986bba8bbfe5fd511_1573_2" hidden="1" xml:space="preserve">                                                                                                                '[22]19 RealYields'!$V$3</definedName>
    <definedName name="TRNR_5f4c6d73522d4d4c94f7ce932d526605_662_2" hidden="1">#REF!</definedName>
    <definedName name="TRNR_5f6a732d58474870a5e08cb4d4ff73d0_522_1" hidden="1" xml:space="preserve">                        '[22]19 earnings'!$A$1</definedName>
    <definedName name="TRNR_5f9a6ae8d34f4cc8bef205acae00ac9d_662_2" hidden="1">#REF!</definedName>
    <definedName name="TRNR_5f9fc73478c34eee9612820cba0999d6_1_32" hidden="1">#REF!</definedName>
    <definedName name="TRNR_60359aeac038487aa49cfdf251470bf7_1826_4" hidden="1">#REF!</definedName>
    <definedName name="TRNR_6036627395b14131a58ce16ea7cdc2f9_264_2" hidden="1" xml:space="preserve">                                                                                                                '[22]22 5y5y inflation vs  10y'!$BF$6</definedName>
    <definedName name="TRNR_60dc8520a2b9481e9ce828c1319baf7a_52_3" hidden="1" xml:space="preserve">                                                                                            '[21]P3 Equity Bond returns'!$G$7</definedName>
    <definedName name="TRNR_6173c6fe96eb46569f25d8c44a91132d_635_1" hidden="1">#REF!</definedName>
    <definedName name="TRNR_617f6c497a2c493eafcba2eb588b4ad6_95_22" hidden="1">#REF!</definedName>
    <definedName name="TRNR_61aa0f3446a04342ae4596710b8f54e3_98_22" hidden="1">#REF!</definedName>
    <definedName name="TRNR_629ad3f6ebfe46ada057684f5efb8a63_0_0" hidden="1">#REF!</definedName>
    <definedName name="TRNR_62a46143fd364139a8faeabc2557922e_1_2" hidden="1">#REF!</definedName>
    <definedName name="TRNR_63113377dc094b879b0ec2fcec9ce337_87_3" hidden="1">#REF!</definedName>
    <definedName name="TRNR_63cdc67117d24d7fae088f0e1398f4c0_184_0" hidden="1">'[13]Price move from peak'!#REF!</definedName>
    <definedName name="TRNR_64374df0ec264481900650681dc3b1c3_132_0" hidden="1">'[13]Price move from peak'!#REF!</definedName>
    <definedName name="TRNR_6450fc4e7928425185b5df312e1c6af0_24_2" hidden="1">#REF!</definedName>
    <definedName name="TRNR_64902412772f46af8f0221301483c56e_1_1" hidden="1" xml:space="preserve">                                                                                            '[21]P3 Equity Bond returns'!$Q$5</definedName>
    <definedName name="TRNR_64999fb5e7004eebaab12e10631e99fc_3_0" hidden="1">#REF!</definedName>
    <definedName name="TRNR_655634f7d8354b3fb37b18a78fa9b1e7_1_1" hidden="1" xml:space="preserve">                                                  '[16]2 equity bond scatter'!$Q$5</definedName>
    <definedName name="TRNR_65b3cce11c524f16a44df6348311387b_919_3" hidden="1" xml:space="preserve">                             '[16]21 yield breakdown'!$C$5</definedName>
    <definedName name="TRNR_66516c68cba948019b85e0aaa556a605_1135_4" hidden="1">#REF!</definedName>
    <definedName name="TRNR_66739097a9c546e4851d9619ce3d89b9_339_2" hidden="1">#REF!</definedName>
    <definedName name="TRNR_667b848e76404babb901050956c043ca_72_12" hidden="1">#REF!</definedName>
    <definedName name="TRNR_678b2b4f7eee49a4b83c1fa286488383_120_1" hidden="1">#REF!</definedName>
    <definedName name="TRNR_67ced6ea3580423f996025b23cda311f_112_4" hidden="1" xml:space="preserve">    '[12]25 energy performance'!$B$7</definedName>
    <definedName name="TRNR_680c9228ec2343bda2b8bd2373bc84ac_1_1" hidden="1" xml:space="preserve">                                                                                        '[16]2 equity bond scatter'!$N$5</definedName>
    <definedName name="TRNR_682ffe6358e642c5a7dc88ccc56a23cd_9767_3" hidden="1">#REF!</definedName>
    <definedName name="TRNR_695f025cad13405e8b6005607e58cadd_1_2" hidden="1">#REF!</definedName>
    <definedName name="TRNR_69a3cbdf23d14126bece4ff15e51021d_354_2" hidden="1">#REF!</definedName>
    <definedName name="TRNR_6a17e3a051924c399fe0d2e1bdb9452b_357_1" hidden="1" xml:space="preserve">                        '[23]US rate paths'!$AC$5</definedName>
    <definedName name="TRNR_6a61dcbc638a42c591e0b55b4746b5c3_42_0" hidden="1">'[13]Price move from peak'!#REF!</definedName>
    <definedName name="TRNR_6a6a3ec3632344d7a1faa07a4fcc9a38_179_22" hidden="1">[31]Weights!#REF!</definedName>
    <definedName name="TRNR_6add998e74364ddd872fb4ad322eea11_1_1" hidden="1" xml:space="preserve">                                                                                            '[21]P3 Equity Bond returns'!$N$5</definedName>
    <definedName name="TRNR_6c711747849447bd922369891c55b2b5_1_42" hidden="1">#REF!</definedName>
    <definedName name="TRNR_6c85ce12118a4216bd07e059c72cefba_1_1" hidden="1" xml:space="preserve">                                                                                            '[21]P3 Equity Bond returns'!$N$5</definedName>
    <definedName name="TRNR_6ca7948aced1410098d27bdb8b0ee930_1_32" hidden="1">#REF!</definedName>
    <definedName name="TRNR_6cc057c180264f25a47141a3edb9444c_1_3" hidden="1">#REF!</definedName>
    <definedName name="TRNR_6d0b9c375a0b4ca1b8aaf04223dbf3d6_2_1" hidden="1">#REF!</definedName>
    <definedName name="TRNR_6d93389898de4d858eb009f67aa89a9e_1826_4" hidden="1">#REF!</definedName>
    <definedName name="TRNR_6d965aa59af340afb9a3344f1150346f_329_4" hidden="1">'[24]Regional PE Ratios'!#REF!</definedName>
    <definedName name="TRNR_6df2400bee874d62a0680d23cc3787a6_131_3" hidden="1" xml:space="preserve">                        '[22]20 earnings growth'!$R$1</definedName>
    <definedName name="TRNR_6f70faec2ef2458a8105a70a43a9947f_95_22" hidden="1">#REF!</definedName>
    <definedName name="TRNR_6f7ccf4b5e4d4d5ebe831159f2ccf167_132_2" hidden="1" xml:space="preserve">                                            '[16]18 S&amp;P 2Yr'!$B$10</definedName>
    <definedName name="TRNR_6f9e5815820f4887a1c6bc495b04e3e2_114_4" hidden="1" xml:space="preserve">    '[12]25 energy performance'!$B$7</definedName>
    <definedName name="TRNR_6fbc607a2bca42b1a27a7a3a548ab5ed_68_20" hidden="1">#REF!</definedName>
    <definedName name="TRNR_70d42860d5f6410d862ab4093f7abdc6_1_16" hidden="1">#REF!</definedName>
    <definedName name="TRNR_71008636fba644809264811ed87104e5_357_1" hidden="1" xml:space="preserve">                        '[23]US rate paths'!$AC$5</definedName>
    <definedName name="TRNR_71362e39f24d419c942d28d3fa40f223_339_2" hidden="1">#REF!</definedName>
    <definedName name="TRNR_715c57b33d3a447da63bbd75b71d6e2e_354_2" hidden="1">#REF!</definedName>
    <definedName name="TRNR_7304df2a7a824765920c0bccbcef1731_3_0" hidden="1" xml:space="preserve">                                                                                                                                                                                                '[21]P8 Commodity prices'!$AJ$4</definedName>
    <definedName name="TRNR_73410f1a86c24ec5b705ea6364235048_1_1" hidden="1" xml:space="preserve">                                                                                                                                                                        '[16]2 equity bond scatter'!$N$5</definedName>
    <definedName name="TRNR_73aa6707034747d1b445cfa5e86a7933_121_1" hidden="1" xml:space="preserve">                                                                                                                                                            '[22]19 earnings'!$A$1</definedName>
    <definedName name="TRNR_73c6c15d8ef4411994e43b322ec2ed23_3_0" hidden="1">#REF!</definedName>
    <definedName name="TRNR_73ee80a3f19b45209233a62389025ec2_69_1" hidden="1">#REF!</definedName>
    <definedName name="TRNR_744832c72d094981bd44502a7ce5a8b8_56_2" hidden="1">#REF!</definedName>
    <definedName name="TRNR_74abd1a2669d4f2384b380a77856c256_9322_1" hidden="1" xml:space="preserve">                        '[17]US rate path'!$B$4</definedName>
    <definedName name="TRNR_74f07cf141a74fbeba0eb353c54f6417_120_4" hidden="1" xml:space="preserve">                        '[22]19 earnings'!$T$1</definedName>
    <definedName name="TRNR_7535e262fe72484f8ad08716ce2b993a_132_0" hidden="1">'[13]Price move from peak'!#REF!</definedName>
    <definedName name="TRNR_7545d7d910da449b945823632a34c880_46_1" hidden="1">#REF!</definedName>
    <definedName name="TRNR_7561981422384efaae265109c7aa0a24_3_2" hidden="1">#REF!</definedName>
    <definedName name="TRNR_759563a552c949ac89ce7f75be2ed1a8_100_2" hidden="1" xml:space="preserve">                                                  '[16]3 Timeline'!$D$4</definedName>
    <definedName name="TRNR_76184850b03447dab481eeaf54a10332_132_1" hidden="1">'[13]Price move from peak'!#REF!</definedName>
    <definedName name="TRNR_764c5d595a3942aaae1f1d8a2dd918a9_1_32" hidden="1">#REF!</definedName>
    <definedName name="TRNR_76d9281d27a14640bde79f267fb7b103_1826_4" hidden="1">#REF!</definedName>
    <definedName name="TRNR_76f7453905054d3eaa8fec5f228f05a2_2_4" hidden="1">#REF!</definedName>
    <definedName name="TRNR_77017b32d169451eab1c09c12019f525_38_1" hidden="1">#REF!</definedName>
    <definedName name="TRNR_775da72ce0a34d1094966f80ab42bea0_567_2" hidden="1">#REF!</definedName>
    <definedName name="TRNR_77c4d409cb9c4fcc818d7d6c843cc519_1_1" hidden="1" xml:space="preserve">                                                                        '[16]2 equity bond scatter'!$N$5</definedName>
    <definedName name="TRNR_77fc3407ae364e918ee165e33fab1e9e_1_2" hidden="1">#REF!</definedName>
    <definedName name="TRNR_78ba38c2b1694ab28f87482086671e5d_1_42" hidden="1">#REF!</definedName>
    <definedName name="TRNR_78e114c2ce084befb97e14c25866f676_24_2" hidden="1">#REF!</definedName>
    <definedName name="TRNR_794a0e86fed846f9b39aa0f092328922_1_32" hidden="1">#REF!</definedName>
    <definedName name="TRNR_79c7f224e8c846ac86e3e1450e5fefec_3_2" hidden="1" xml:space="preserve">                                          '[20]P9 Margins'!$I$2</definedName>
    <definedName name="TRNR_79f06be8afab4a7485c8dfd245cc8958_3_2" hidden="1">#REF!</definedName>
    <definedName name="TRNR_7a729fde92ba4d2196156d2274193bd8_264_2" hidden="1" xml:space="preserve">                                                                                                                '[22]22 5y5y inflation vs  10y'!$BA$6</definedName>
    <definedName name="TRNR_7a8fc1d01c5e40eaaa4f04130959eddd_68_1" hidden="1">[32]Summary!#REF!</definedName>
    <definedName name="TRNR_7b24b1e1cd3040c19054a6320fd5463e_1_2" hidden="1">#REF!</definedName>
    <definedName name="TRNR_7b9af8235e6d4bbca08160a86c416bda_23_3" hidden="1">#REF!</definedName>
    <definedName name="TRNR_7bb1f9407d044d469c6cfc06b045579b_6091_1" hidden="1">#REF!</definedName>
    <definedName name="TRNR_7bf4ba2b6b7e4f1ebf45d7dac5a26dc5_1_2" hidden="1">'[28]Index Performance'!#REF!</definedName>
    <definedName name="TRNR_7c1263c036f4421eaa5baeaca96ef2c6_0_0" hidden="1">#REF!</definedName>
    <definedName name="TRNR_7c263e8322484f83b753625b751a8fdd_1574_2" hidden="1" xml:space="preserve">                                                                                                                '[22]19 RealYields'!$V$3</definedName>
    <definedName name="TRNR_7cf04fb65a46415c8f6ec910c031e17e_22_2" hidden="1">#REF!</definedName>
    <definedName name="TRNR_7d20cdf9b3f24ec4831902afd823a09f_184_0" hidden="1">'[13]Price move from peak'!#REF!</definedName>
    <definedName name="TRNR_7e5e87df27444d8aa5a0042913a79e09_192_2" hidden="1">#REF!</definedName>
    <definedName name="TRNR_7e862245246942bc99ac7f42de6385ad_1_32" hidden="1">#REF!</definedName>
    <definedName name="TRNR_7eb17b99920b46ee95971865048f4477_142_2" hidden="1" xml:space="preserve">                                                  '[16]3 Timeline'!$D$4</definedName>
    <definedName name="TRNR_7eb6bc1625d14f0bb0824ef792bf31eb_9767_2" hidden="1">#REF!</definedName>
    <definedName name="TRNR_7ec5ea530ba34a06a89e0f9fb228ad92_198_2" hidden="1">#REF!</definedName>
    <definedName name="TRNR_7f47d685ae4a43cab43d056fbc63af2d_662_2" hidden="1">#REF!</definedName>
    <definedName name="TRNR_7f4fdb92db814345a53729de5616e2cb_109_2" hidden="1">#REF!</definedName>
    <definedName name="TRNR_7f666f4ca9fc40da933eb81c16e91280_62_2" hidden="1" xml:space="preserve">                                                                                                                '[22]22 5y5y inflation vs  10y'!$BA$6</definedName>
    <definedName name="TRNR_7f9219ab46e44f5d828d8bf4c11db965_629_2" hidden="1">#REF!</definedName>
    <definedName name="TRNR_801c7da7fa2240758cfbd90d7f07b39d_124_22" hidden="1">#REF!</definedName>
    <definedName name="TRNR_8059242153054eba9c4808285a27feb7_1_3" hidden="1" xml:space="preserve">                  '[20]P9 Margins'!$B$9</definedName>
    <definedName name="TRNR_806d6911fb624bafaf28ab48b39b2563_262_2" hidden="1">#REF!</definedName>
    <definedName name="TRNR_80ab426a435f49d188467bd78541389a_1_32" hidden="1">#REF!</definedName>
    <definedName name="TRNR_80abbb4797c249758ba7154556d6fc75_51_2" hidden="1">#REF!</definedName>
    <definedName name="TRNR_813aa90693a743c7ae777f41121da7f2_418_22" hidden="1">#REF!</definedName>
    <definedName name="TRNR_81929c8e818f4eae8ccd768d91db2b00_3_2" hidden="1">#REF!</definedName>
    <definedName name="TRNR_81c22df0c07346b3984267451fd57389_1826_4" hidden="1">#REF!</definedName>
    <definedName name="TRNR_81cb5ff995644fab95ab437103ad19cc_866_3" hidden="1">#REF!</definedName>
    <definedName name="TRNR_82fae25497434d84b9d95f10f205ffc5_1_2" hidden="1">#REF!</definedName>
    <definedName name="TRNR_83709723f65647c88264e88d0ac5df82_331_1" hidden="1">#REF!</definedName>
    <definedName name="TRNR_8372a73ebfef43b3a3d354e68025a0ee_109_2" hidden="1">#REF!</definedName>
    <definedName name="TRNR_83870769baf14352a316f47bf932a490_132_0" hidden="1">'[13]Price move from peak'!#REF!</definedName>
    <definedName name="TRNR_83bd85d8bee34efa892a3f9afb671245_132_0" hidden="1">'[13]Price move from peak'!#REF!</definedName>
    <definedName name="TRNR_83f4f44c3ee94e90a2fe316f35a55e36_112_4" hidden="1" xml:space="preserve">    '[12]25 energy performance'!$B$7</definedName>
    <definedName name="TRNR_83f550419bd34bbda792ade3235c395e_3_0" hidden="1">#REF!</definedName>
    <definedName name="TRNR_84593304212d422ca403231fc0ccbbf5_42_0" hidden="1">'[13]Price move from peak'!#REF!</definedName>
    <definedName name="TRNR_847d48d4b44140d3ae535d1c052ee42f_98_2" hidden="1">#REF!</definedName>
    <definedName name="TRNR_84ebd70eda6f401fa0b73a09f39770ba_26_1" hidden="1">#REF!</definedName>
    <definedName name="TRNR_867eff8035874e02983f8a7692084c90_52_3" hidden="1">#REF!</definedName>
    <definedName name="TRNR_869560dffbc249bfa575c899df992516_273_3" hidden="1">#REF!</definedName>
    <definedName name="TRNR_86e68248fc4f4d3a9eb8b43f38d698d6_633_1" hidden="1">#REF!</definedName>
    <definedName name="TRNR_871f3a219b264fe09b2811de6177bc25_2_6" hidden="1">#REF!</definedName>
    <definedName name="TRNR_87421f6bc9be4ee4b4838e71c5324b48_437_8" hidden="1">'[24]US Earnings Estimates'!#REF!</definedName>
    <definedName name="TRNR_874cf5f955604ec892fa0ff9a22acaae_26_1" hidden="1">#REF!</definedName>
    <definedName name="TRNR_880c0ca222be4376a5957a8ce3e52e76_184_0" hidden="1">'[13]Price move from peak'!#REF!</definedName>
    <definedName name="TRNR_88f3561ff59e40ebaa7fa157c6f20635_1_1" hidden="1" xml:space="preserve">                                            '[16]2 equity bond scatter'!$Q$5</definedName>
    <definedName name="TRNR_8972bf9f4a1b48989d8ac30ed2666e5d_132_0" hidden="1">'[13]Price move from peak'!#REF!</definedName>
    <definedName name="TRNR_89a12d9e7f48431d927b29fb600cfde5_1_2" hidden="1">#REF!</definedName>
    <definedName name="TRNR_89e7b064ae524ce1976f3e2a2b5c55a6_42_0" hidden="1">'[13]Price move from peak'!#REF!</definedName>
    <definedName name="TRNR_89f6386890b34737a43ddc6f7544d913_1_1" hidden="1" xml:space="preserve">                                                                                        '[16]2 equity bond scatter'!$Q$5</definedName>
    <definedName name="TRNR_8a0302d9ff5d4976a63cb4ab99ef0b4c_179_22" hidden="1">#REF!</definedName>
    <definedName name="TRNR_8b0e7630dfd741ec83ae44af0ce47662_53_3" hidden="1" xml:space="preserve">                                                        '[16]2 equity bond scatter'!$G$7</definedName>
    <definedName name="TRNR_8b66125c386141889b657dc95470e9a2_1826_3" hidden="1" xml:space="preserve">                                                                                                                                                                                                                '[21]P8 Commodity prices'!$S$5</definedName>
    <definedName name="TRNR_8b98b87e135346a6835ce5d53b0476bc_30_4" hidden="1">#REF!</definedName>
    <definedName name="TRNR_8bb751cc7d4840a4aa0afc6a99efcb1d_1700_3" hidden="1" xml:space="preserve">                             '[16]21 yield breakdown'!$J$5</definedName>
    <definedName name="TRNR_8bbdccee077e41239e6685bc47028624_132_2" hidden="1" xml:space="preserve">                                            '[16]23 EM perf'!$C$8</definedName>
    <definedName name="TRNR_8bce15d242114938a408ee2c318f6cce_53_3" hidden="1" xml:space="preserve">                                            '[16]2 equity bond scatter'!$G$7</definedName>
    <definedName name="TRNR_8d3d87a0e84e4f0dac9df4649b0df511_889_1" hidden="1" xml:space="preserve">                                '[22]14 U.S. LFPR'!$B$2</definedName>
    <definedName name="TRNR_8d5d951ca2e841b0a3b3ccd5795acbfd_350_3" hidden="1">#REF!</definedName>
    <definedName name="TRNR_8d99cd2cc5aa48a7a67fc7d1008f76dc_1042_0" hidden="1">'[13]Price move from peak'!#REF!</definedName>
    <definedName name="TRNR_8df96939a5b7420496c72803d593d465_47_1" hidden="1">#REF!</definedName>
    <definedName name="TRNR_8e6c0a60c8fd41be8815e3020e2e1c3d_662_2" hidden="1">#REF!</definedName>
    <definedName name="TRNR_8e780bc1c8004c6482a1696735967d99_1_2" hidden="1">#REF!</definedName>
    <definedName name="TRNR_8ed25378778f43a394b8d40bd4c50d33_1_1" hidden="1">#REF!</definedName>
    <definedName name="TRNR_8f021144510440718e70ddcc63d345ed_24_2" hidden="1">#REF!</definedName>
    <definedName name="TRNR_8f1495bd988440bcb4ddc98912fa93df_0_0" hidden="1">#REF!</definedName>
    <definedName name="TRNR_8f55eaaadc5b49e1b622e4a9942b2aed_7176_2" hidden="1">#REF!</definedName>
    <definedName name="TRNR_901c17219f9449a5864b4155cee13adb_111_1" hidden="1">#REF!</definedName>
    <definedName name="TRNR_9062143fe9bc456e9eef453928cd6c49_354_2" hidden="1">#REF!</definedName>
    <definedName name="TRNR_908eae7da7ac4ad6a230b098a738394a_152_2" hidden="1">#REF!</definedName>
    <definedName name="TRNR_90b9b0e46d5a4aa98190be7dc2330cf6_7756_1" hidden="1" xml:space="preserve">                        '[23]US rate paths'!$N$6</definedName>
    <definedName name="TRNR_911f64ffb1334b33a79f38a21dc84ee0_384_1" hidden="1" xml:space="preserve">                                                                                                                                                                      '[21]P6 Cutting through confusion'!#REF!</definedName>
    <definedName name="TRNR_914eab87e1bb40ae93ff2892ad8bd185_26_1" hidden="1">#REF!</definedName>
    <definedName name="TRNR_91b0350baa8a4b4ea4b12542a9bc9c53_56_2" hidden="1">#REF!</definedName>
    <definedName name="TRNR_91dea32dc9894171a53c1c9155223bfd_7756_1" hidden="1" xml:space="preserve">                        '[23]US rate paths'!$N$6</definedName>
    <definedName name="TRNR_91f82895110b437681d9cf7b0e2acb29_0_0" hidden="1">#REF!</definedName>
    <definedName name="TRNR_92358a36b82f4333a541c8c8d2e7d3c3_119_5" hidden="1" xml:space="preserve">    '[12]25 energy performance'!$B$7</definedName>
    <definedName name="TRNR_9259dba599f14db6a613bb6c44312f19_9767_3" hidden="1">#REF!</definedName>
    <definedName name="TRNR_92a886c5c8eb4e24afbb58b55d00bf8d_1_1" hidden="1" xml:space="preserve">                                                        '[16]2 equity bond scatter'!$Q$5</definedName>
    <definedName name="TRNR_92d0bf58d514493f8febd80d36fd65b1_1397_5" hidden="1">#REF!</definedName>
    <definedName name="TRNR_92d0f90bf4c2464fa262cece5b2b04e0_3_2" hidden="1" xml:space="preserve">                                            '[21]P8 Commodity prices'!$AG$4</definedName>
    <definedName name="TRNR_92d56fd4222145d2a39b06f7d036749e_132_0" hidden="1">'[13]Price move from peak'!#REF!</definedName>
    <definedName name="TRNR_930e915e4a81481ab6f40c3e21b8ca46_1_1" hidden="1" xml:space="preserve">                            '[12]25 energy performance'!#REF!</definedName>
    <definedName name="TRNR_93a00ec23d7944f3aecfa74002e03d50_122_1" hidden="1" xml:space="preserve">                                                                                        '[22]19 earnings'!$A$1</definedName>
    <definedName name="TRNR_93a012bb2c544145af1be3941d0c601a_121_4" hidden="1">#REF!</definedName>
    <definedName name="TRNR_93f54ba0a83741aaa0a4735a79d58ca8_1_1" hidden="1">#REF!</definedName>
    <definedName name="TRNR_942876f7f44a4b26a810b605e0f790ee_1_16" hidden="1">#REF!</definedName>
    <definedName name="TRNR_9453e19841aa49a58996fbc489b2135f_132_0" hidden="1">'[13]Price move from peak'!#REF!</definedName>
    <definedName name="TRNR_948cf9e85c2d42b1b47e8dd6a88d0fab_184_0" hidden="1">'[13]Price move from peak'!#REF!</definedName>
    <definedName name="TRNR_94d057b8c4984a1f9ec8c4c7fb7f3b94_132_0" hidden="1">'[13]Price move from peak'!#REF!</definedName>
    <definedName name="TRNR_94e77f46a7bb4b89b642e916711ee4ee_53_3" hidden="1" xml:space="preserve">                                                                                                                                                                                                            '[16]2 equity bond scatter'!$G$7</definedName>
    <definedName name="TRNR_952743eeaba14837abba390ee55e0b9a_266_3" hidden="1" xml:space="preserve">                                                                                                                '[22]14 US unemployment'!$A$6</definedName>
    <definedName name="TRNR_957c1ade9786427ead82ec696cc7a208_257_4" hidden="1">#REF!</definedName>
    <definedName name="TRNR_95de450b55474aca8821d8bb25a2d6e0_1_1" hidden="1" xml:space="preserve">                        '[16]2 equity bond scatter'!$Q$5</definedName>
    <definedName name="TRNR_960c3a84b00644fc81712ab3fba310b6_1395_4" hidden="1">#REF!</definedName>
    <definedName name="TRNR_963ef55e509340f7ba9e1a22e29974e4_132_0" hidden="1">'[13]Price move from peak'!#REF!</definedName>
    <definedName name="TRNR_96603aeebc154ba992f17a35ca2eec25_1517_1" hidden="1" xml:space="preserve">                        '[27]One-week repo'!$B$4</definedName>
    <definedName name="TRNR_96aef7d4c85e421981e982ff628dfebc_0_0" hidden="1">#REF!</definedName>
    <definedName name="TRNR_973ed184106044f3b33b5a5c49a90771_192_2" hidden="1">#REF!</definedName>
    <definedName name="TRNR_97aa79c81c704834949fbe01ffd529be_3847_2" hidden="1">#REF!</definedName>
    <definedName name="TRNR_97f439cbb6e545b186efa3e18e36274d_119_1" hidden="1" xml:space="preserve">                        '[22]19 earnings'!$A$1</definedName>
    <definedName name="TRNR_9815a5455bb94c6a92bf9c550b9bd443_1_16" hidden="1">#REF!</definedName>
    <definedName name="TRNR_9897a575ddf645909df42da733475534_50_2" hidden="1" xml:space="preserve">                                                                                                                '[22]13 Labor market'!$A$6</definedName>
    <definedName name="TRNR_98b8b0afdc8d445ba7b3114ff8b8ec09_4305_2" hidden="1" xml:space="preserve">                               '[26]P9 euro spreads'!$B$7</definedName>
    <definedName name="TRNR_99df23d33c6d462fb552d59c671746af_6101_1" hidden="1">#REF!</definedName>
    <definedName name="TRNR_99eea1e683e64afb89513f19dcb26c37_3_2" hidden="1">#REF!</definedName>
    <definedName name="TRNR_9a552649262d4addad9e92ed8ce16e4f_1_2" hidden="1">#REF!</definedName>
    <definedName name="TRNR_9a64fa28eb314f399a1d7a6012a9c0b4_133_3" hidden="1" xml:space="preserve">                                        '[22]20 earnings growth'!$R$1</definedName>
    <definedName name="TRNR_9acc09bd196a4b6db1c0b5708416a7af_264_1" hidden="1" xml:space="preserve">                                                                                                                '[22]22 5y5y inflation vs  10y'!$BA$6</definedName>
    <definedName name="TRNR_9b095dc937da44549621f9b4cdbeabee_131_3" hidden="1" xml:space="preserve">                        '[15]Forward Earnings'!$A$1</definedName>
    <definedName name="TRNR_9baf5cf793c540f28c162c5057e30450_357_1" hidden="1" xml:space="preserve">                        '[23]US rate paths'!$AC$5</definedName>
    <definedName name="TRNR_9cee900f1a9b404b9daf75634322262d_524_8" hidden="1">#REF!</definedName>
    <definedName name="TRNR_9d126bba8bba4d4bab129bc01b7d0229_1_3" hidden="1">#REF!</definedName>
    <definedName name="TRNR_9deccb618f7b4cceb41417b6d299efc4_184_0" hidden="1">'[13]Price move from peak'!#REF!</definedName>
    <definedName name="TRNR_9e0414b12252408c9895defe41889734_1_5" hidden="1">#REF!</definedName>
    <definedName name="TRNR_9e5ad2a0c8534f52a269a49714e59635_1_1" hidden="1" xml:space="preserve">                                                                        '[16]2 equity bond scatter'!$N$5</definedName>
    <definedName name="TRNR_9e66771195794192908475da7dd7a26f_131_3" hidden="1" xml:space="preserve">                        '[22]20 earnings growth'!$R$1</definedName>
    <definedName name="TRNR_9e69619636fc497ab9d1e0c72b23330b_3_0" hidden="1">#REF!</definedName>
    <definedName name="TRNR_9e8abee8a4f8499a87680cd8fd0532fb_662_2" hidden="1">#REF!</definedName>
    <definedName name="TRNR_9fae47c0ef8a43a1a952820624731f17_7_2" hidden="1" xml:space="preserve">                                                 '[16]7 Bev curve'!$B$9</definedName>
    <definedName name="TRNR_9fc32161ef5d4d8f9704a5953ed35145_254_1" hidden="1" xml:space="preserve">                              '[21]P9 FF Geopolitics'!$A$8</definedName>
    <definedName name="TRNR_a010063fcb2046ec9d30c224f01ddb06_56_2" hidden="1">#REF!</definedName>
    <definedName name="TRNR_a01d12fdd5d0456f81bbca5d3978c9a2_398_6" hidden="1">#REF!</definedName>
    <definedName name="TRNR_a02203f427294b16a923bac567a327ed_3_2" hidden="1">#REF!</definedName>
    <definedName name="TRNR_a146959415734ea2b6371862b32e535c_161_2" hidden="1">#REF!</definedName>
    <definedName name="TRNR_a14d8b81ef154d17bef14433b8cfb922_112_1" hidden="1">#REF!</definedName>
    <definedName name="TRNR_a14f79d605874895b817632c8e7d44b5_56_2" hidden="1">#REF!</definedName>
    <definedName name="TRNR_a16ed1bd946b4da280329b290834dc65_0_0" hidden="1">#REF!</definedName>
    <definedName name="TRNR_a18e4e542e7043eeb2b9c6dc48d06392_3_2" hidden="1">#REF!</definedName>
    <definedName name="TRNR_a1a583710ca54234ae5d95d46545ae82_32_12" hidden="1">#REF!</definedName>
    <definedName name="TRNR_a1d044aaddd94029b573fe05df362ba5_1540_1" hidden="1" xml:space="preserve">                        '[27]One-week repo'!$B$4</definedName>
    <definedName name="TRNR_a2ffe35580a54ac888f84558fcc67102_179_11" hidden="1">#REF!</definedName>
    <definedName name="TRNR_a300200e967c46f295c0fa01e03dbac2_53_3" hidden="1" xml:space="preserve">                                            '[16]2 equity bond scatter'!$G$7</definedName>
    <definedName name="TRNR_a30523808e4d49bf85213f64afcf7888_1_1" hidden="1" xml:space="preserve">                                                                                            '[21]P3 Equity Bond returns'!$Q$5</definedName>
    <definedName name="TRNR_a31f1e7d25e24ef9b1a1146ef365e081_1_1" hidden="1" xml:space="preserve">                                                                                                                                                                        '[16]2 equity bond scatter'!$N$5</definedName>
    <definedName name="TRNR_a32e3d74649a4118a7684abcca36d831_181_4" hidden="1" xml:space="preserve">                        '[22]19 earnings'!$T$1</definedName>
    <definedName name="TRNR_a41aec9a3b8b42acb5c94bff986f36b4_241_1" hidden="1" xml:space="preserve">                        '[22]19 earnings'!$A$1</definedName>
    <definedName name="TRNR_a41cacee699e4595923b13526f528037_52_2" hidden="1" xml:space="preserve">                                  '[16]2 equity bond scatter'!$B$7</definedName>
    <definedName name="TRNR_a4b5edcfd0c048138fc4a159e58a8349_8634_9" hidden="1">[33]TRI!#REF!</definedName>
    <definedName name="TRNR_a4efbd49cbb7481483e032c4b0de96bf_1_42" hidden="1">#REF!</definedName>
    <definedName name="TRNR_a4fee5959c78455db50fed336360aee9_3_0" hidden="1">#REF!</definedName>
    <definedName name="TRNR_a5757679f5184d5bbc76f2a860fb7217_3_0" hidden="1">#REF!</definedName>
    <definedName name="TRNR_a5e8aed4039b4232b91870904798d43a_3_1" hidden="1" xml:space="preserve">                            '[12]25 energy performance'!#REF!</definedName>
    <definedName name="TRNR_a5f13fc5fb6a4dd383dfdfff0bf62406_329_4" hidden="1">'[24]Regional PE Ratios'!#REF!</definedName>
    <definedName name="TRNR_a62a700732644fc4b40cec42a8d3f46d_1_2" hidden="1">#REF!</definedName>
    <definedName name="TRNR_a6eed90941bb447ba6bba4bf54a97684_1_2" hidden="1">#REF!</definedName>
    <definedName name="TRNR_a6f0bf1d08ad46fa896fcd4af286a754_3_0" hidden="1">#REF!</definedName>
    <definedName name="TRNR_a6fbab14441f4894aef4db9ef2915d90_1_2" hidden="1">#REF!</definedName>
    <definedName name="TRNR_a7c77d0fc9524d088ee7f32f8041b6f2_1_2" hidden="1">#REF!</definedName>
    <definedName name="TRNR_a80236738ef0408fb16994809379ad13_119_5" hidden="1" xml:space="preserve">    '[12]25 energy performance'!$B$7</definedName>
    <definedName name="TRNR_a8678e3210d24756b05f8b306ce7f2d4_383_2" hidden="1" xml:space="preserve">                                      '[21]Good services'!$B$6</definedName>
    <definedName name="TRNR_a8ec5dd952eb497fa4b8512bd9d6264e_3_2" hidden="1">#REF!</definedName>
    <definedName name="TRNR_a92b3e6df4164678a15df23d274f0a60_383_2" hidden="1" xml:space="preserve">                                                                  '[21]Good services'!$B$6</definedName>
    <definedName name="TRNR_a973e7f3b28d41aca53abbcb2127c143_133_1" hidden="1" xml:space="preserve">                        '[14]Core PCE YoY'!$A$1</definedName>
    <definedName name="TRNR_a9f0817e8aed4b4c85ba46e98ad26a7b_1_42" hidden="1">#REF!</definedName>
    <definedName name="TRNR_aa0c3a2eaf3d4b36bba62f4ff9f8c2eb_187_3" hidden="1">#REF!</definedName>
    <definedName name="TRNR_aa536c1bb48d4fd3913da82aeb984eaf_1_42" hidden="1">#REF!</definedName>
    <definedName name="TRNR_aa7bd970762c49c7bed860a57eb2c1f9_3_0" hidden="1">#REF!</definedName>
    <definedName name="TRNR_aa8a5d7d2f9546718eb186399f0b81ea_524_1" hidden="1">[33]REQUEST_TABLE!#REF!</definedName>
    <definedName name="TRNR_aaa29ecd97124a05af3903d451c69de2_131_4" hidden="1" xml:space="preserve">                        '[18]Chart - Trailing Earnings'!$A$1</definedName>
    <definedName name="TRNR_ab3c69cd0c3043d8bf91549befc3e207_97_2" hidden="1">#REF!</definedName>
    <definedName name="TRNR_ab5f0f5622924f629a7e0bc852243ff3_1_0" hidden="1">#REF!</definedName>
    <definedName name="TRNR_ab767e2934554f9f9790b4ed91fa8c26_1_1" hidden="1" xml:space="preserve">                                                                        '[16]2 equity bond scatter'!$N$5</definedName>
    <definedName name="TRNR_ac704251f4a74b6c9d854bf2db9eb461_1337_4" hidden="1">#REF!</definedName>
    <definedName name="TRNR_ac76dd1359544d8ab7850c364c460aa8_635_1" hidden="1">#REF!</definedName>
    <definedName name="TRNR_ac97aeedbdf14bd5900cbe32977392f6_662_2" hidden="1">#REF!</definedName>
    <definedName name="TRNR_acb60cea541648fe89dbc8dc79c3f0aa_262_3" hidden="1">#REF!</definedName>
    <definedName name="TRNR_acdb00b5cec7442696c613d9963bfc20_1_2" hidden="1">#REF!</definedName>
    <definedName name="TRNR_ace94a6870e744759077a47f08072691_52_2" hidden="1" xml:space="preserve">                                                                                        '[16]2 equity bond scatter'!$B$7</definedName>
    <definedName name="TRNR_aceec364dfe34785bde95cb35503ae89_1346_4" hidden="1">#REF!</definedName>
    <definedName name="TRNR_acf4de7fdfd3497cb6a7e1edb08741cf_522_3" hidden="1">#REF!</definedName>
    <definedName name="TRNR_acff5cfba7f240afa8f7b207fc731829_1_42" hidden="1">#REF!</definedName>
    <definedName name="TRNR_ad6f1f8aa1d443c68e736354a0f47237_56_2" hidden="1">#REF!</definedName>
    <definedName name="TRNR_addc0dd04ebf4494b6095b89b9e79b9a_1_32" hidden="1">#REF!</definedName>
    <definedName name="TRNR_adf218c5996c4493a7f1b3273e574c44_24_2" hidden="1">#REF!</definedName>
    <definedName name="TRNR_aef988f4a4694342a6337b87fc19fcc8_3_2" hidden="1">#REF!</definedName>
    <definedName name="TRNR_aef9b9cd2384481b9baadc72d4b4c83b_357_1" hidden="1" xml:space="preserve">                        '[23]US rate paths'!$AC$5</definedName>
    <definedName name="TRNR_aefd192cea084648852abed9b4b95916_30_1" hidden="1">#REF!</definedName>
    <definedName name="TRNR_afa4cc9c66cf4ffb9761e16a1c707992_1136_4" hidden="1">#REF!</definedName>
    <definedName name="TRNR_afb64e2b1ce44c129ba29fd65f5ddd1c_262_2" hidden="1">#REF!</definedName>
    <definedName name="TRNR_afd7ea75e79d41d989e6df6897946085_3_0" hidden="1">#REF!</definedName>
    <definedName name="TRNR_b0c100cb518746a987f1c67fc3f92a4d_0_2" hidden="1">'[13]Price move from peak'!#REF!</definedName>
    <definedName name="TRNR_b0ecd5828cb94868a57e6858f6dc4bad_3_0" hidden="1">#REF!</definedName>
    <definedName name="TRNR_b19e1f68f16e4eaca2a68f56378108ed_52_2" hidden="1" xml:space="preserve">                                            '[16]2 equity bond scatter'!$B$7</definedName>
    <definedName name="TRNR_b1d67db3adff44e89baa3ee57d946745_262_3" hidden="1">#REF!</definedName>
    <definedName name="TRNR_b218a624870d410ea0dbc63b3fccf1b0_99_2" hidden="1">#REF!</definedName>
    <definedName name="TRNR_b24837684aa046bf8d51f33a01387d4b_1145_18" hidden="1">#REF!</definedName>
    <definedName name="TRNR_b28dc9171a0d401690a98d0b238e36db_3_1" hidden="1" xml:space="preserve">                            '[12]25 energy performance'!#REF!</definedName>
    <definedName name="TRNR_b29758fb856047fc9239c798fe288c3c_109_2" hidden="1">#REF!</definedName>
    <definedName name="TRNR_b3226826027943b08030aa5d7bcf79e8_3_2" hidden="1">#REF!</definedName>
    <definedName name="TRNR_b33373e0c4de45c18af4fea434d7b293_1366_5" hidden="1">#REF!</definedName>
    <definedName name="TRNR_b4211b9caef64402992aa1140645b914_6084_1" hidden="1">#REF!</definedName>
    <definedName name="TRNR_b434c66149ed4bf4bdb7925dda51f508_1_3" hidden="1">#REF!</definedName>
    <definedName name="TRNR_b4f4fca1f15a427fbf85dbd3fa9200ec_523_6" hidden="1" xml:space="preserve">                        '[22]20 earnings growth'!$R$1</definedName>
    <definedName name="TRNR_b5703ed016ae434e930e9e67b534c48e_52_3" hidden="1" xml:space="preserve">                                                                                                                                                                                      '[21]P3 Equity Bond returns'!$G$7</definedName>
    <definedName name="TRNR_b585e57675264c3d8b3bc0b64de195ba_3_1" hidden="1" xml:space="preserve">                            '[12]25 energy performance'!#REF!</definedName>
    <definedName name="TRNR_b5d839dc4cdb4e5d8fbcb71011e44425_62_2" hidden="1" xml:space="preserve">                                                                                                                '[22]22 5y5y inflation vs  10y'!$BA$6</definedName>
    <definedName name="TRNR_b61a78043bf04b6aa88442c72985cfb4_192_1" hidden="1" xml:space="preserve">                                                                                                                                                          '[21]P5 Living with inflation'!$S$2</definedName>
    <definedName name="TRNR_b6232f80e484465e8407e3790aae3670_1_1" hidden="1" xml:space="preserve">                                            '[16]2 equity bond scatter'!$N$5</definedName>
    <definedName name="TRNR_b664fe33a47641bc95923e0119a3331f_844_3" hidden="1">#REF!</definedName>
    <definedName name="TRNR_b69317439b4b44779cde7640169ac2d8_1826_1" hidden="1">#REF!</definedName>
    <definedName name="TRNR_b718cefdf30644b3ab5e2e9efb5ad679_593_2" hidden="1">#REF!</definedName>
    <definedName name="TRNR_b726cdf4241a4ba9b5feb92b26d9e930_1_1" hidden="1" xml:space="preserve">                                            '[16]2 equity bond scatter'!$Q$5</definedName>
    <definedName name="TRNR_b754584c2ab6478daf4c414f018c0997_1407_5" hidden="1">#REF!</definedName>
    <definedName name="TRNR_b755c06fd6da450f9f7597d74b5461bf_3_1" hidden="1" xml:space="preserve">                            '[12]25 energy performance'!#REF!</definedName>
    <definedName name="TRNR_b81356baef1f496d867d1b26c3e31847_241_4" hidden="1" xml:space="preserve">                             '[16]20 DM central banks'!$S$10</definedName>
    <definedName name="TRNR_b879c803579e4ce9938b24f7e943aa61_518_5" hidden="1">#REF!</definedName>
    <definedName name="TRNR_b8c0be33c9ac447ab9fd93fd9891a145_613_3" hidden="1">#REF!</definedName>
    <definedName name="TRNR_b8d02caad7c34cb7bd029f1b63096b89_52_3" hidden="1" xml:space="preserve">                                                                                            '[21]P3 Equity Bond returns'!$G$7</definedName>
    <definedName name="TRNR_b8f2331db91d43fcb8ad42a2f41adc1d_146_3" hidden="1" xml:space="preserve">                                                                                                                '[22]10 US PCE'!$A$2</definedName>
    <definedName name="TRNR_b91271468b174bb78d914212ed7284a5_662_2" hidden="1">#REF!</definedName>
    <definedName name="TRNR_b9206dcd6fc140ed88317507724d2a93_1135_4" hidden="1">#REF!</definedName>
    <definedName name="TRNR_b94e1536609942abaa66ca6c0f8e7af5_24_2" hidden="1">#REF!</definedName>
    <definedName name="TRNR_b9bd2af1d9a84df3ba92f4bdbcf069b4_3_1" hidden="1" xml:space="preserve">                                  '[20]P9 Margins'!$I$2</definedName>
    <definedName name="TRNR_ba142b1876d343e2afb26341bde6595d_124_22" hidden="1">#REF!</definedName>
    <definedName name="TRNR_ba26a172220a46d18c6d1c8aa4e4325e_192_2" hidden="1">#REF!</definedName>
    <definedName name="TRNR_ba51fe79f1814bd0b4fe252ecbc9c19e_24_2" hidden="1">#REF!</definedName>
    <definedName name="TRNR_ba57532c57ea4fa49656a63b8f7c31e3_192_2" hidden="1">#REF!</definedName>
    <definedName name="TRNR_ba5eb8ccdfff4bb6ab943f2522cc5d71_3_1" hidden="1" xml:space="preserve">                                      '[20]P9 Margins'!$I$2</definedName>
    <definedName name="TRNR_ba86417c50644c7394e8531d9f10f51f_56_2" hidden="1">#REF!</definedName>
    <definedName name="TRNR_ba9003501b474acab015f0e238f46a54_9767_2" hidden="1">#REF!</definedName>
    <definedName name="TRNR_bbc4b57b521a45bc9b5959d737f59290_42_0" hidden="1">'[13]Price move from peak'!#REF!</definedName>
    <definedName name="TRNR_bc41562503f643cfa80c0613f1ea4d7b_132_0" hidden="1">'[13]Price move from peak'!#REF!</definedName>
    <definedName name="TRNR_bc7b32dfa2c548f381c7cfd971d67b15_52_2" hidden="1" xml:space="preserve">            '[16]2 equity bond scatter'!$B$7</definedName>
    <definedName name="TRNR_bc82e8882bd5433b81a0b56efb204d34_51_2" hidden="1" xml:space="preserve">                                                                                            '[21]P3 Equity Bond returns'!$B$7</definedName>
    <definedName name="TRNR_bcc5acd036bc4b6e98b3c98c5af98ac6_26_2" hidden="1">#REF!</definedName>
    <definedName name="TRNR_bcd1dbba07ee4de7864c2f1a84a1f97e_24_2" hidden="1">#REF!</definedName>
    <definedName name="TRNR_bd32bde8e1544151ab8b7d19fe253402_217_0" hidden="1">#REF!</definedName>
    <definedName name="TRNR_bd691b61860c43efa9274c1d9d965b61_604_3" hidden="1">#REF!</definedName>
    <definedName name="TRNR_bdab8e3d0de34f1b846e3d4b1c565c99_29_1" hidden="1">#REF!</definedName>
    <definedName name="TRNR_be3104bd4f97403cb6bdb1cf4008110e_1_32" hidden="1">#REF!</definedName>
    <definedName name="TRNR_be6bcfe1f5b74c0d82c1776454eeffc8_2_3" hidden="1">#REF!</definedName>
    <definedName name="TRNR_bed0b1a1404541a3b78893a2eded53c1_24_2" hidden="1">#REF!</definedName>
    <definedName name="TRNR_bf26da64eb194dc6893c23baa9f8763c_42_0" hidden="1">'[13]Price move from peak'!#REF!</definedName>
    <definedName name="TRNR_bf433bf304734eff9fb1bc497a3eb5ec_1_2" hidden="1">#REF!</definedName>
    <definedName name="TRNR_bf851eace3944c4f821e3ac4fb16096d_662_2" hidden="1">#REF!</definedName>
    <definedName name="TRNR_bfdfbf0267ae471bb4ef7cd7ceaa60f7_122_1" hidden="1" xml:space="preserve">                                                                    '[22]19 earnings'!$A$1</definedName>
    <definedName name="TRNR_bfe787af60d64584bb0452fb32ba0b6b_3_3" hidden="1" xml:space="preserve">                                              '[20]P9 Margins'!$I$2</definedName>
    <definedName name="TRNR_c001f855e8a44992aa2937fb1b769cfb_42_0" hidden="1">'[13]Price move from peak'!#REF!</definedName>
    <definedName name="TRNR_c02343a4a2264a43abd8ee8a4b8a3d60_50_1" hidden="1" xml:space="preserve">                                                                                                                '[22]13 Labor market'!$A$6</definedName>
    <definedName name="TRNR_c0ce5fd120a1456db4635a657989c92e_132_0" hidden="1">'[13]Price move from peak'!#REF!</definedName>
    <definedName name="TRNR_c10bc4cdc7604b83a05e65295731cc04_24_2" hidden="1">#REF!</definedName>
    <definedName name="TRNR_c139551781a94574bba675bb16839158_742_1" hidden="1">#REF!</definedName>
    <definedName name="TRNR_c18a0d710f5f4f7eaa207556d5d4b66b_305_8" hidden="1">'[24]US Earnings Estimates'!#REF!</definedName>
    <definedName name="TRNR_c1f418351c6742dbae5ecd2a7524f89b_121_1" hidden="1" xml:space="preserve">                        '[14]Core PCE YoY'!$A$1</definedName>
    <definedName name="TRNR_c20ae8fdd0654843920bcc01984bbb73_109_2" hidden="1">#REF!</definedName>
    <definedName name="TRNR_c280f4f376f944e5801108d509345836_192_2" hidden="1">#REF!</definedName>
    <definedName name="TRNR_c2de599b16fd401083320ea5a9b72bd5_634_1" hidden="1">#REF!</definedName>
    <definedName name="TRNR_c3134bcd39e748048c115161d4b05274_22_1" hidden="1">#REF!</definedName>
    <definedName name="TRNR_c350da9ba73e4bbd82bf8d0ac10188a1_583_3" hidden="1">#REF!</definedName>
    <definedName name="TRNR_c3846eeda0c34d96be9700c49e56537c_399_1" hidden="1">#REF!</definedName>
    <definedName name="TRNR_c39f7968c09d42eea8d50a072815217c_1_16" hidden="1">#REF!</definedName>
    <definedName name="TRNR_c54acabd7bd3488398ea534da4ada93b_6061_1" hidden="1">#REF!</definedName>
    <definedName name="TRNR_c5c68ad7015349a589895a0ed60240ac_132_0" hidden="1">'[13]Price move from peak'!#REF!</definedName>
    <definedName name="TRNR_c657754ae88b4f0891e90194a25168c2_317_3" hidden="1">#REF!</definedName>
    <definedName name="TRNR_c66ce9873b2447859eb9ba90f1cd8acf_128_1" hidden="1" xml:space="preserve">                                                                                                                                                                              '[21]P6 Cutting through confusion'!#REF!</definedName>
    <definedName name="TRNR_c6813052ae1d4c7c8055de2d6fdd31d1_0_0" hidden="1">#REF!</definedName>
    <definedName name="TRNR_c6e460727e6143caaf5fb62fae712b8b_662_2" hidden="1">#REF!</definedName>
    <definedName name="TRNR_c738bb5279674f08857c550edeeceec0_3_2" hidden="1">#REF!</definedName>
    <definedName name="TRNR_c7a8d5d51b8f4f8a8b2ec1debd95f551_3_0" hidden="1">#REF!</definedName>
    <definedName name="TRNR_c7af31a3d50f4bf2b5b3d830d8bdb0ce_198_2" hidden="1">#REF!</definedName>
    <definedName name="TRNR_c7d6ed6767ea4c4a9bd222d33f04ad54_1_32" hidden="1">#REF!</definedName>
    <definedName name="TRNR_c832ae173a4646b8aceb97f4bcaca92c_132_2" hidden="1" xml:space="preserve">                                            '[16]18 S&amp;P 2Yr'!$B$10</definedName>
    <definedName name="TRNR_c83ecd96222448fea58422e3ecfb0249_6101_1" hidden="1">#REF!</definedName>
    <definedName name="TRNR_c851e4b98cb9449aab2621310b8fd2e3_1_2" hidden="1">#REF!</definedName>
    <definedName name="TRNR_c85b03b011354ae1ac2fc703ab266abc_192_2" hidden="1">#REF!</definedName>
    <definedName name="TRNR_c86aa0be0aef4ca4a417a3fc92d36e6c_24_1" hidden="1">#REF!</definedName>
    <definedName name="TRNR_c8c258016da149839b8224cbb7d95e65_23_3" hidden="1">#REF!</definedName>
    <definedName name="TRNR_c93b79a6d69943bf829b33f23944b87c_2703_1" hidden="1">'[24]US Earnings Estimates'!#REF!</definedName>
    <definedName name="TRNR_c9ab9da87b664678994f66a86e177527_0_0" hidden="1">#REF!</definedName>
    <definedName name="TRNR_c9c50fca812b48ab99b08ead4dde043a_0_0" hidden="1">#REF!</definedName>
    <definedName name="TRNR_c9cc64de614b43acb3458c0c3b26fedf_132_0" hidden="1">'[13]Price move from peak'!#REF!</definedName>
    <definedName name="TRNR_ca1d21814ad9435e8cea1281bbb6668b_0_0" hidden="1">#REF!</definedName>
    <definedName name="TRNR_ca5b789958b2438f8f2ec0b861001241_123_1" hidden="1" xml:space="preserve">                                                                                        '[22]19 earnings'!$N$1</definedName>
    <definedName name="TRNR_caa725cbb43347e7aac2b4814bfaa681_68_4" hidden="1" xml:space="preserve">                                    '[27]One-week repo'!#REF!</definedName>
    <definedName name="TRNR_cab9a0afa54d465a8c529cb894d16844_192_2" hidden="1">#REF!</definedName>
    <definedName name="TRNR_cae182eab4dd485bb0249f3dffb8c109_112_5" hidden="1" xml:space="preserve">    '[12]25 energy performance'!$B$7</definedName>
    <definedName name="TRNR_cae816e3e3ec4266b16572d8b225e704_146_3" hidden="1" xml:space="preserve">                                                                                                                '[22]10 US PCE'!$A$2</definedName>
    <definedName name="TRNR_cb49d039926b4eb4a9f56b20e2a0303c_1_16" hidden="1">#REF!</definedName>
    <definedName name="TRNR_cb6ea98348354059a06d5329a3169ae3_146_4" hidden="1" xml:space="preserve">                                                                                                                '[22]10 US PCE'!$A$2</definedName>
    <definedName name="TRNR_cb74cf2eadae4825a5a68c802a944943_198_2" hidden="1">#REF!</definedName>
    <definedName name="TRNR_cc09e6d95bac4952bdb08f3eace1f8ad_357_1" hidden="1">#REF!</definedName>
    <definedName name="TRNR_cc6a9cc3b9294e0c9b9f9143dc29b3ff_875_3" hidden="1">#REF!</definedName>
    <definedName name="TRNR_cd445938dcef46c391ceef0f7acf51ad_3_2" hidden="1">#REF!</definedName>
    <definedName name="TRNR_cd5d3b30289640d9ae336a702b586e80_0_0" hidden="1">#REF!</definedName>
    <definedName name="TRNR_cdecece14a944b628639e164b3d65bb4_1_32" hidden="1">#REF!</definedName>
    <definedName name="TRNR_cdfaea07f244439cbb37d78757e5a45a_99_2" hidden="1">#REF!</definedName>
    <definedName name="TRNR_ce1751a401bf4cd791b1cd521d8f938a_305_9" hidden="1">'[24]US Earnings Estimates'!#REF!</definedName>
    <definedName name="TRNR_ce264bf620e9446a9cbb05ccbc0c7761_522_3" hidden="1">#REF!</definedName>
    <definedName name="TRNR_ce316b91de374b44859e46b80ca6bdeb_56_2" hidden="1">#REF!</definedName>
    <definedName name="TRNR_ce62cbf6ab9447be88c8e77c18f8ce15_68_20" hidden="1">#REF!</definedName>
    <definedName name="TRNR_ceb55935abd14ef2886c083c4f841136_2745_2" hidden="1" xml:space="preserve">    '[16]22 Breakevens'!$E$8</definedName>
    <definedName name="TRNR_cebfdd2cee854f2da4178aca5714bb6a_522_3" hidden="1" xml:space="preserve">                                                '[14]UW US Treasuries'!$B$6</definedName>
    <definedName name="TRNR_cec932684a414392b559b33fde647a59_331_3" hidden="1" xml:space="preserve">                             '[16]20 DM central banks'!$S$10</definedName>
    <definedName name="TRNR_cf07bb9f3f3b46c8bc6bf754802970c2_42_1" hidden="1">'[13]Price move from peak'!#REF!</definedName>
    <definedName name="TRNR_cf0fb35821594e0ea76f8369ae81b447_133_1" hidden="1" xml:space="preserve">                        '[14]Core PCE YoY'!$A$1</definedName>
    <definedName name="TRNR_cf163be79a884111b0ca7d025e7f1f60_522_3" hidden="1">#REF!</definedName>
    <definedName name="TRNR_cfe2a29f469b48c8a5c0803dd4d73d25_1_2" hidden="1">#REF!</definedName>
    <definedName name="TRNR_cfee1883ee114b47aa6c2a58ea2e3b2f_192_2" hidden="1">#REF!</definedName>
    <definedName name="TRNR_d04b3437ac8d4260887df0c61d4a70bd_24_2" hidden="1">#REF!</definedName>
    <definedName name="TRNR_d05b569c3577418e875223befe814a0a_662_2" hidden="1">#REF!</definedName>
    <definedName name="TRNR_d05f9f1e0d0747e2bf15b391f97059a9_0_0" hidden="1">#REF!</definedName>
    <definedName name="TRNR_d07d6dcb617d47889f66925ec18c284a_109_2" hidden="1">#REF!</definedName>
    <definedName name="TRNR_d0b7f16eb47845d4b9445f7ffa4ee543_4_1" hidden="1">#REF!</definedName>
    <definedName name="TRNR_d0bddc3a20f542ca9c03865a29686bb8_354_2" hidden="1">#REF!</definedName>
    <definedName name="TRNR_d0ffc7f84edb4de38fb92f8c4f84f293_7756_1" hidden="1" xml:space="preserve">                        '[23]US rate paths'!$N$6</definedName>
    <definedName name="TRNR_d1949741df594801926384f4db66985c_97_2" hidden="1">#REF!</definedName>
    <definedName name="TRNR_d1ba241450a54001b8d136d12edf0c4b_1314_1" hidden="1" xml:space="preserve">                                                                                                                '[22]23 5y5y Inflation'!$A$6</definedName>
    <definedName name="TRNR_d28476d9a87d45b1ac0dd04aeeb5af47_6091_1" hidden="1">#REF!</definedName>
    <definedName name="TRNR_d2caa07d3c53456ab18a9f43370cbce2_79_2" hidden="1">[23]Topdown_data_EM!#REF!</definedName>
    <definedName name="TRNR_d309516156b9482a81032076082f2ec8_42_0" hidden="1">'[13]Price move from peak'!#REF!</definedName>
    <definedName name="TRNR_d3b7fc3d8a3e46dca2b68c6ae7d99742_258_3" hidden="1" xml:space="preserve">                      '[20]P9 Margins'!$B$9</definedName>
    <definedName name="TRNR_d409c9de1bab44b6b3e35650e2688967_1_2" hidden="1">#REF!</definedName>
    <definedName name="TRNR_d414a60a53844f0d9c2502cd06e566aa_132_1" hidden="1">'[13]Price move from peak'!#REF!</definedName>
    <definedName name="TRNR_d421f6fa5c0a4e608123dfb7b554716e_1_32" hidden="1">#REF!</definedName>
    <definedName name="TRNR_d42a5c70fc4b4f05ae0e7eab269a5d67_2_1" hidden="1">#REF!</definedName>
    <definedName name="TRNR_d4396f04a9294ee29163d6680aa87e24_1701_3" hidden="1" xml:space="preserve">                             '[16]21 yield breakdown'!$C$5</definedName>
    <definedName name="TRNR_d4f520b1eecf4237acae0bbca447c32b_72_1" hidden="1">[27]Electricity!#REF!</definedName>
    <definedName name="TRNR_d505b16769434b7baf876e742f7a5de7_109_2" hidden="1">#REF!</definedName>
    <definedName name="TRNR_d5bf27360c114b40bb7381ef67e82820_1329_1" hidden="1" xml:space="preserve">                                                                                                                '[22]23 5y5y Inflation'!$A$6</definedName>
    <definedName name="TRNR_d5de8ded9ca94b20bf4f9649693acf58_97_2" hidden="1">#REF!</definedName>
    <definedName name="TRNR_d66f063e05344d88aec61c719f6d9e44_53_3" hidden="1" xml:space="preserve">                                                                                      '[16]2 equity bond scatter'!$G$7</definedName>
    <definedName name="TRNR_d6a45780c4e046a4af66190c550080cc_99_2" hidden="1">#REF!</definedName>
    <definedName name="TRNR_d6b2597f8fbd4672bfcb4e7c1d1537e8_0_0" hidden="1">#REF!</definedName>
    <definedName name="TRNR_d6e86d311c1c4a4e96dec322dcd3ba54_30_1" hidden="1">#REF!</definedName>
    <definedName name="TRNR_d6f802b5dc83449c8bd8a5d701062841_97_2" hidden="1">#REF!</definedName>
    <definedName name="TRNR_d703df5bb1064756aab4a93bea63b3b9_10_2" hidden="1" xml:space="preserve">                                                 '[16]7 Bev curve'!$B$9</definedName>
    <definedName name="TRNR_d79224cd7a864b109c5518e5f600e21b_1_1" hidden="1">[34]US_Policy_rules!#REF!</definedName>
    <definedName name="TRNR_d7a84821e5cd407984079d413d4a6fcb_3_2" hidden="1">#REF!</definedName>
    <definedName name="TRNR_d7e4b30ba7e749cda15ba071a5d12795_3_0" hidden="1" xml:space="preserve">            '[21]P8 Commodity prices'!$AK$4</definedName>
    <definedName name="TRNR_d8bcb69bd7ac4946891df010499c13f0_2755_2" hidden="1" xml:space="preserve">    '[16]22 Breakevens'!$E$8</definedName>
    <definedName name="TRNR_d97b6e681a70460189d567c31490f421_51_2" hidden="1" xml:space="preserve">                                                                                                            '[16]2 equity bond scatter'!$B$7</definedName>
    <definedName name="TRNR_d9bdcee3790146d8ac84171c078a1890_3_1" hidden="1" xml:space="preserve">                            '[12]25 energy performance'!#REF!</definedName>
    <definedName name="TRNR_d9d88c4ad79f4467b6b9feeee8624d9d_262_3" hidden="1">#REF!</definedName>
    <definedName name="TRNR_d9fe269412e14bd9a42121957db9bb73_1405_4" hidden="1">#REF!</definedName>
    <definedName name="TRNR_da0d1ad11ec64c20b0e3278fcbe55ceb_3_2" hidden="1">#REF!</definedName>
    <definedName name="TRNR_da5d7cadf2c9487e955f2fc6d55f1345_3_2" hidden="1">#REF!</definedName>
    <definedName name="TRNR_dac6195070314904a1a4e88c61a4eabf_131_2" hidden="1" xml:space="preserve">                                            '[16]18 S&amp;P 2Yr'!$B$10</definedName>
    <definedName name="TRNR_dac8d4c405124874a3eb7b09953f4550_1_1" hidden="1" xml:space="preserve">                                                                                                                '[16]2 equity bond scatter'!$N$5</definedName>
    <definedName name="TRNR_db0e5cf9a4e94d79bd674e5b185638b8_416_10" hidden="1">[33]Index_gth!#REF!</definedName>
    <definedName name="TRNR_db9624f9b01048daae4634a638b49c61_1_42" hidden="1">#REF!</definedName>
    <definedName name="TRNR_dc1c5236620e4d6ca2c4bc031854c084_1_16" hidden="1">#REF!</definedName>
    <definedName name="TRNR_dca1a5707c744a58955bc2633d280179_109_2" hidden="1">#REF!</definedName>
    <definedName name="TRNR_dccccfd155a04bb087d06052fa15d63d_418_22" hidden="1">#REF!</definedName>
    <definedName name="TRNR_dd3a9cc1201348f28e31e5c735850450_0_0" hidden="1">#REF!</definedName>
    <definedName name="TRNR_dd58041655064b0cb5ff32092512d3ae_1273_3" hidden="1" xml:space="preserve">            '[21]P8 Commodity prices'!$B$5</definedName>
    <definedName name="TRNR_dd5a522f96924bcd80b705b21f0510de_2_1" hidden="1">#REF!</definedName>
    <definedName name="TRNR_dd9e90c8f1bb406da45b848e85cc06eb_0_0" hidden="1">#REF!</definedName>
    <definedName name="TRNR_ddb87921e4f145a58b20f16f5ce1f2d7_52_2" hidden="1" xml:space="preserve">                                                        '[16]2 equity bond scatter'!$B$7</definedName>
    <definedName name="TRNR_ddd3f59e62114372bd05054d0d3f4ecf_773_3" hidden="1">#REF!</definedName>
    <definedName name="TRNR_de1a31bc9aad4ff7b00850a6435d2ad8_2181_1" hidden="1">'[24]US Earnings Estimates'!#REF!</definedName>
    <definedName name="TRNR_de94c8395399442688588e7ea45fd099_7_3" hidden="1" xml:space="preserve">                                                 '[16]7 Bev curve'!$B$9</definedName>
    <definedName name="TRNR_debc29b2d2164e4bad9818fe9991e03a_184_0" hidden="1">'[13]Price move from peak'!#REF!</definedName>
    <definedName name="TRNR_decacb74fb1f4b93b120d16094a2c87c_1_1" hidden="1" xml:space="preserve">                                                                                                                                                                                              '[21]P3 Equity Bond returns'!$Q$5</definedName>
    <definedName name="TRNR_def57ab1d7af4b678ee167aaf989ae67_1626_3" hidden="1">#REF!</definedName>
    <definedName name="TRNR_def6c933438842a083cc17edd559815d_147_4" hidden="1" xml:space="preserve">                                                                                        '[22]10 US PCE'!$A$2</definedName>
    <definedName name="TRNR_df9500ec7df547b5a8ee7984fc00ec3d_51_2" hidden="1" xml:space="preserve">                                                                                            '[21]P3 Equity Bond returns'!$B$7</definedName>
    <definedName name="TRNR_dfd4978511484cbdbeb25b22e51774fb_1_1" hidden="1">#REF!</definedName>
    <definedName name="TRNR_e0004c4ed33a4d429f806411485829a3_42_0" hidden="1">'[13]Price move from peak'!#REF!</definedName>
    <definedName name="TRNR_e0544496a05244148eab18b428d2bacc_132_0" hidden="1">'[13]Price move from peak'!#REF!</definedName>
    <definedName name="TRNR_e07e6fce3cda48238f2efd03472e4d7b_1_32" hidden="1">#REF!</definedName>
    <definedName name="TRNR_e08f801b05534081997fa988365c2d84_109_2" hidden="1">#REF!</definedName>
    <definedName name="TRNR_e0c1a2ce8c0340c1a5e1312db47a9a63_383_2" hidden="1" xml:space="preserve">                                  '[21]Good services'!$B$6</definedName>
    <definedName name="TRNR_e157d2cbac7d4b0fa42c9a189a9cd076_885_3" hidden="1">#REF!</definedName>
    <definedName name="TRNR_e22bc29a4bec4d17948eba4d17ec6819_1305_1" hidden="1">#REF!</definedName>
    <definedName name="TRNR_e23b5036bba34802aadd7ab64a726e71_112_3" hidden="1" xml:space="preserve">    '[12]25 energy performance'!$B$7</definedName>
    <definedName name="TRNR_e2679933f9f14287928f86eb67c49394_1119_2" hidden="1" xml:space="preserve">          '[20]P7 commodities'!$B$15</definedName>
    <definedName name="TRNR_e332982b69204560b2b2e32aad46cd25_3_2" hidden="1">#REF!</definedName>
    <definedName name="TRNR_e3545836c6aa41b39c18859690573437_524_3" hidden="1">'[35]TAA - UK vs Europe (2)'!#REF!</definedName>
    <definedName name="TRNR_e4f60c1d79f445428b6c493219994b0f_3_0" hidden="1">#REF!</definedName>
    <definedName name="TRNR_e52490b068994416889166d9e3ffd98f_30_8" hidden="1">#REF!</definedName>
    <definedName name="TRNR_e57f65b46b904ff5a5fbf7f6986b0ad9_305_6" hidden="1">'[24]US Earnings Estimates'!#REF!</definedName>
    <definedName name="TRNR_e5e9b81e18ca4c7490676c39ec0313d5_241_3" hidden="1" xml:space="preserve">                             '[16]20 DM central banks'!$S$10</definedName>
    <definedName name="TRNR_e665e44141114fc78c46b811c381b17a_266_3" hidden="1" xml:space="preserve">                                                                                                                '[22]14 US unemployment'!$A$6</definedName>
    <definedName name="TRNR_e688d7172f52455abc112fb1b9175748_137_2" hidden="1" xml:space="preserve">                                                  '[16]3 Timeline'!$D$4</definedName>
    <definedName name="TRNR_e6c0c432cd32405fbfd39915febf1a2b_662_2" hidden="1">#REF!</definedName>
    <definedName name="TRNR_e6f1ffdde9944727b01e19f2e1b47d91_1_16" hidden="1">#REF!</definedName>
    <definedName name="TRNR_e78bbc1b31b4404eb7d82398c6b7e26b_131_3" hidden="1" xml:space="preserve">                        '[15]Forward Earnings'!$A$1</definedName>
    <definedName name="TRNR_e7f793aaa046438385a6a57e9e03c28d_9767_3" hidden="1">#REF!</definedName>
    <definedName name="TRNR_e803fdfac02c4c498106a320add9f07c_56_2" hidden="1">#REF!</definedName>
    <definedName name="TRNR_ea0e4154426a4f0d9f8347ff4b499e93_42_0" hidden="1">'[13]Price move from peak'!#REF!</definedName>
    <definedName name="TRNR_ea8533adbe6f4865b0003390b65d5493_1307_1" hidden="1" xml:space="preserve">                                            '[27]One-week repo'!$B$4</definedName>
    <definedName name="TRNR_eaf3ebc63819496a89869b5a796a0bbc_1_8" hidden="1">#REF!</definedName>
    <definedName name="TRNR_eb0b38646f854ecaad29778ca749733b_2_3" hidden="1">#REF!</definedName>
    <definedName name="TRNR_eb4235bbc4a74a40bd373340956ae103_175_11" hidden="1">#REF!</definedName>
    <definedName name="TRNR_eb4cc02a85e7416f84f5c81978548607_3_2" hidden="1">#REF!</definedName>
    <definedName name="TRNR_eb849a00d7c7427d808356c21ceaa1c8_50_3" hidden="1" xml:space="preserve">                                                                                                                '[22]13 Labor market'!$A$6</definedName>
    <definedName name="TRNR_eb8d90a5bfb14e1a93e12242a4d63007_1386_4" hidden="1">#REF!</definedName>
    <definedName name="TRNR_ec0dbf76ce7d4d9d8c1c465071c9aac5_662_2" hidden="1">#REF!</definedName>
    <definedName name="TRNR_ec1047d1e8af485c97daeb1c2aefd3fe_0_0" hidden="1">#REF!</definedName>
    <definedName name="TRNR_ec7528f53ab0460794da95912bb80705_132_0" hidden="1">'[13]Price move from peak'!#REF!</definedName>
    <definedName name="TRNR_ec787523e19745bdb9a54feaf28e6c2a_3_0" hidden="1">#REF!</definedName>
    <definedName name="TRNR_ec7a1bf9c001404fad97fff582dbfcde_86_2" hidden="1">#REF!</definedName>
    <definedName name="TRNR_ece061799fd14f34b32d0e8d9814736a_132_0" hidden="1">'[13]Price move from peak'!#REF!</definedName>
    <definedName name="TRNR_ed83781708af4c9c8057cf2fc43d752f_3_2" hidden="1">#REF!</definedName>
    <definedName name="TRNR_ed9f04de310f4135949e203d298baa1c_132_3" hidden="1" xml:space="preserve">                                            '[16]23 EM perf'!$C$8</definedName>
    <definedName name="TRNR_edb83e5b3495493aabab5ea15c8a993d_1_1" hidden="1" xml:space="preserve">                                                                                        '[16]2 equity bond scatter'!$N$5</definedName>
    <definedName name="TRNR_edba652e02ac4f51a9074f229e6d0bf6_132_0" hidden="1">'[13]Price move from peak'!#REF!</definedName>
    <definedName name="TRNR_ee324d773f6a4447ae45473ef4089b59_18_1" hidden="1">#REF!</definedName>
    <definedName name="TRNR_ef068e994b194e09aca06a1448be851e_3_2" hidden="1">#REF!</definedName>
    <definedName name="TRNR_ef099f272550475cb53581f2cdcb4484_1_3" hidden="1">'[36]Data 2021'!#REF!</definedName>
    <definedName name="TRNR_ef27a02f9637450fa0de7e4acc275ad7_0_0" hidden="1">#REF!</definedName>
    <definedName name="TRNR_efd4e058f7aa4702a144671fdf44b577_3_2" hidden="1">#REF!</definedName>
    <definedName name="TRNR_eff84103ebff4e9394277fbce8857009_351_3" hidden="1">#REF!</definedName>
    <definedName name="TRNR_f06f2ab89b9141ee870d7fce7c1fe337_132_0" hidden="1">'[13]Price move from peak'!#REF!</definedName>
    <definedName name="TRNR_f0a2c30306334e04aa8f89a819d52cdc_132_1" hidden="1">'[13]Price move from peak'!#REF!</definedName>
    <definedName name="TRNR_f1346338b25c4727a7113c4a8d2657b3_1135_8" hidden="1">#REF!</definedName>
    <definedName name="TRNR_f24b0d8b20b04705a98e2ff71eebcc9f_184_0" hidden="1">'[13]Price move from peak'!#REF!</definedName>
    <definedName name="TRNR_f2bc447173a64bdc89fd84ef36393639_1826_3" hidden="1" xml:space="preserve">                        '[21]P8 Commodity prices'!$S$5</definedName>
    <definedName name="TRNR_f3496d09490c4e6a92d6db96b8552ced_22_3" hidden="1">#REF!</definedName>
    <definedName name="TRNR_f359c39f33c9430cbfc0338fb8a09c7d_146_4" hidden="1" xml:space="preserve">                                                                                                                '[22]10 US PCE'!$A$2</definedName>
    <definedName name="TRNR_f39c2f43c57b4f92a0ff4aef8d25b60e_51_2" hidden="1">#REF!</definedName>
    <definedName name="TRNR_f413bb713ae74c7083c06c00ae6905a8_162_4" hidden="1" xml:space="preserve">        '[17]Equities - earnings'!$A$1</definedName>
    <definedName name="TRNR_f417305864d24029ad44da40b14013f4_1_42" hidden="1">#REF!</definedName>
    <definedName name="TRNR_f4283ca0150b45cfaea7ed02db38ead1_1_1" hidden="1" xml:space="preserve">                                                        '[16]2 equity bond scatter'!$N$5</definedName>
    <definedName name="TRNR_f452af0a64ff45faa812f20afca7effb_24_2" hidden="1">#REF!</definedName>
    <definedName name="TRNR_f46e35c10db84e6692efd2e6297611b7_259_24" hidden="1">#REF!</definedName>
    <definedName name="TRNR_f476fa45a167418d838d002aa98c3afc_339_2" hidden="1">#REF!</definedName>
    <definedName name="TRNR_f4a7e03d425e44f6a0c7278bd33a35de_211_3" hidden="1" xml:space="preserve">                             '[16]20 DM central banks'!$S$10</definedName>
    <definedName name="TRNR_f4f6dd1c56e547738b075b24b596938f_24_2" hidden="1">#REF!</definedName>
    <definedName name="TRNR_f5988d979ea74d19bdf5bea814179d40_569_2" hidden="1">#REF!</definedName>
    <definedName name="TRNR_f5a56c310e6a4effa6d3ce6f73e7be3e_111_2" hidden="1" xml:space="preserve">                                                  '[16]3 Timeline'!$D$4</definedName>
    <definedName name="TRNR_f651e3c969f4440e9295d66aff9f0cd0_1_2" hidden="1">#REF!</definedName>
    <definedName name="TRNR_f6b8cbe86e4a4109ac3db1b80ad31bb7_6082_1" hidden="1">#REF!</definedName>
    <definedName name="TRNR_f6e2db59b6354db9abd8f2bb46953daa_26_1" hidden="1">#REF!</definedName>
    <definedName name="TRNR_f6fbb934ebb1411384f2c4893c64ccdd_25_7" hidden="1">#REF!</definedName>
    <definedName name="TRNR_f73dd51acff44d5bb9049ed0aef7f514_100_3" hidden="1">#REF!</definedName>
    <definedName name="TRNR_f7486f3f92bf4488b037adbb34c78398_173_11" hidden="1">'[29]Assets in review'!#REF!</definedName>
    <definedName name="TRNR_f74b2b6051744456b0d40a077569b2ae_1_42" hidden="1">#REF!</definedName>
    <definedName name="TRNR_f75598ae597f40f7b98ff0c392d0b83a_23_3" hidden="1">#REF!</definedName>
    <definedName name="TRNR_f77dd08b32874db994c849c6a61380c1_331_1" hidden="1">#REF!</definedName>
    <definedName name="TRNR_f7cb0a2749a24edb9a36a316bf0e83e3_1135_4" hidden="1">#REF!</definedName>
    <definedName name="TRNR_f81a635ed2b54f1981429ea5ef702b7f_384_1" hidden="1" xml:space="preserve">                                                                                                                                                                  '[21]P6 Cutting through confusion'!#REF!</definedName>
    <definedName name="TRNR_f886e250427d4b04ac59c8926bce6490_214_1" hidden="1">[27]Electricity!#REF!</definedName>
    <definedName name="TRNR_f89fa4ca363548d19e5cdbc8ab19078e_1_1" hidden="1" xml:space="preserve">                                            '[16]2 equity bond scatter'!$N$5</definedName>
    <definedName name="TRNR_f92d1f38fc304cc9a76bb1eb884aa57f_123_1" hidden="1" xml:space="preserve">                                                                                        '[22]19 earnings'!$A$1</definedName>
    <definedName name="TRNR_f94869adb31a4ecfb7c9f8606b62990f_284_1" hidden="1" xml:space="preserve">                                              '[16]5 reallocation'!$R$3</definedName>
    <definedName name="TRNR_faa9f181c104458c83edadcba7b2d8bb_0_0" hidden="1">#REF!</definedName>
    <definedName name="TRNR_faf9a709f5db4e1db0801eba41415c36_1_1" hidden="1" xml:space="preserve">                                                                                        '[16]2 equity bond scatter'!$N$5</definedName>
    <definedName name="TRNR_fb6244894d54479790fc682066d3bbbf_253_2" hidden="1">#REF!</definedName>
    <definedName name="TRNR_fba0585a26e1451c92f7fea11c8b0184_1_42" hidden="1">#REF!</definedName>
    <definedName name="TRNR_fbc3f67b58974ca6812536467d993235_919_3" hidden="1" xml:space="preserve">                             '[16]21 yield breakdown'!$C$5</definedName>
    <definedName name="TRNR_fc6294eeb39244bcb51f79600a640e05_1282_3" hidden="1" xml:space="preserve">                                                                                                                                '[21]P8 Commodity prices'!$B$5</definedName>
    <definedName name="TRNR_fcaf18d1f5c44cde820c8025d0cf2d53_662_2" hidden="1">#REF!</definedName>
    <definedName name="TRNR_fccf2f19723c40a18cbfb3f6857c726b_1120_2" hidden="1" xml:space="preserve">      '[20]P7 commodities'!$B$15</definedName>
    <definedName name="TRNR_fcf81d0160314be7af2a62712dbe361a_410_6" hidden="1">#REF!</definedName>
    <definedName name="TRNR_fd2922086dd7438d96d6cb014719fc52_1826_4" hidden="1">#REF!</definedName>
    <definedName name="TRNR_fd382789a9734281a8b85df0c8858330_97_2" hidden="1">#REF!</definedName>
    <definedName name="TRNR_fd614152d97b4794b54fd8bcf08f9d87_91_3" hidden="1" xml:space="preserve">                             '[16]20 DM central banks'!$S$10</definedName>
    <definedName name="TRNR_fd74e4372d634d5eb9dbd08d469d4cde_24_2" hidden="1">#REF!</definedName>
    <definedName name="TRNR_fda7c0e0db3b49229f3ad009d0625119_630_2" hidden="1">#REF!</definedName>
    <definedName name="TRNR_fdb2e1d72bdb4c55885441150a1aa2ee_3_2" hidden="1">#REF!</definedName>
    <definedName name="TRNR_fdb8f7a5ec5c4ac1abd9b7743026c411_56_2" hidden="1">#REF!</definedName>
    <definedName name="TRNR_fdeba78b6c1e404ca534fbcf0d88edf2_90_3" hidden="1">#REF!</definedName>
    <definedName name="TRNR_fe29807787664b0c8cc507675b165576_1_32" hidden="1">#REF!</definedName>
    <definedName name="TRNR_fecd03ec130d4dc48850a6ded8a8c8ae_357_1" hidden="1" xml:space="preserve">                        '[23]US rate paths'!$AC$5</definedName>
    <definedName name="TRNR_ff1f5998597c455bbdaa92341ac069d1_147_2" hidden="1" xml:space="preserve">                             '[16]18 S&amp;P 2Yr'!$B$10</definedName>
    <definedName name="TRNR_ff421f4ddf444f38b9e2aab132876c18_3_0" hidden="1" xml:space="preserve">                                                              '[21]P8 Commodity prices'!$AK$4</definedName>
    <definedName name="TRNR_ffa137cec6c448ebb0089d1e91636bf6_53_3" hidden="1" xml:space="preserve">                                                                                        '[16]2 equity bond scatter'!$G$7</definedName>
    <definedName name="TRNR_ffb9aacdbc1549b6a2f8932df2de48d2_361_3" hidden="1">#REF!</definedName>
    <definedName name="TRNR_ffb9b11449204120b286f0a334e11cc9_444_0" hidden="1">#REF!</definedName>
    <definedName name="TRNR_ffd523739aff418e82414191a635cc5f_109_2" hidden="1">#REF!</definedName>
    <definedName name="tw_asia">[4]Weights!$J$13</definedName>
    <definedName name="tw_nie">[4]Weights!$K$13</definedName>
    <definedName name="UK_gwth">#REF!</definedName>
    <definedName name="UK_S">#REF!</definedName>
    <definedName name="US_gwth">#REF!</definedName>
    <definedName name="US_S">#REF!</definedName>
    <definedName name="USD_Nom">#REF!</definedName>
    <definedName name="USD_Tenor">#REF!</definedName>
    <definedName name="USD_yr">#REF!</definedName>
    <definedName name="wrn.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omplete._.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localSheetId="1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Full._.Financials." localSheetId="12" hidden="1">{#N/A,#N/A,TRUE,"Financials";#N/A,#N/A,TRUE,"Operating Statistics";#N/A,#N/A,TRUE,"Capex &amp; Depreciation";#N/A,#N/A,TRUE,"Debt"}</definedName>
    <definedName name="wrn.Full._.Financials." hidden="1">{#N/A,#N/A,TRUE,"Financials";#N/A,#N/A,TRUE,"Operating Statistics";#N/A,#N/A,TRUE,"Capex &amp; Depreciation";#N/A,#N/A,TRUE,"Debt"}</definedName>
    <definedName name="wrn.full._.financials1." localSheetId="12" hidden="1">{#N/A,#N/A,TRUE,"Financials";#N/A,#N/A,TRUE,"Operating Statistics";#N/A,#N/A,TRUE,"Capex &amp; Depreciation";#N/A,#N/A,TRUE,"Debt"}</definedName>
    <definedName name="wrn.full._.financials1." hidden="1">{#N/A,#N/A,TRUE,"Financials";#N/A,#N/A,TRUE,"Operating Statistics";#N/A,#N/A,TRUE,"Capex &amp; Depreciation";#N/A,#N/A,TRUE,"Debt"}</definedName>
    <definedName name="wrn.One._.Pager._.plus._.Technicals." localSheetId="12" hidden="1">{#N/A,#N/A,FALSE,"One Pager";#N/A,#N/A,FALSE,"Technical"}</definedName>
    <definedName name="wrn.One._.Pager._.plus._.Technicals." hidden="1">{#N/A,#N/A,FALSE,"One Pager";#N/A,#N/A,FALSE,"Technical"}</definedName>
    <definedName name="wrn1.all" localSheetId="12"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1.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C7" i="51"/>
  <c r="B22" i="55"/>
  <c r="B23" i="55" s="1"/>
  <c r="B5" i="55"/>
  <c r="B3" i="55"/>
  <c r="N39" i="2"/>
  <c r="N40" i="2"/>
  <c r="N41" i="2"/>
  <c r="N42" i="2"/>
  <c r="N43" i="2"/>
  <c r="N44" i="2"/>
  <c r="N45" i="2"/>
  <c r="N46" i="2"/>
  <c r="N47" i="2"/>
  <c r="N48" i="2"/>
  <c r="N49" i="2"/>
  <c r="D49" i="2" s="1"/>
  <c r="N50" i="2"/>
  <c r="D50" i="2" s="1"/>
  <c r="N51" i="2"/>
  <c r="D51" i="2" s="1"/>
  <c r="N52" i="2"/>
  <c r="D52" i="2" s="1"/>
  <c r="N53" i="2"/>
  <c r="D53" i="2" s="1"/>
  <c r="AX15" i="56"/>
  <c r="E39" i="56"/>
  <c r="F39" i="56" s="1"/>
  <c r="AC15" i="56"/>
  <c r="B14" i="56"/>
  <c r="B43" i="55" s="1"/>
  <c r="B45" i="55" s="1"/>
  <c r="A4" i="56" a="1"/>
  <c r="AX8" i="56" s="1"/>
  <c r="B2" i="56"/>
  <c r="BA15" i="56" s="1"/>
  <c r="B1" i="56"/>
  <c r="AY51" i="55"/>
  <c r="AX51" i="55"/>
  <c r="AW51" i="55"/>
  <c r="AV51" i="55"/>
  <c r="AU51" i="55"/>
  <c r="AT51" i="55"/>
  <c r="AS51" i="55"/>
  <c r="AR51" i="55"/>
  <c r="AQ51" i="55"/>
  <c r="AP51" i="55"/>
  <c r="AO51" i="55"/>
  <c r="AN51" i="55"/>
  <c r="AM51" i="55"/>
  <c r="AL51" i="55"/>
  <c r="AK51" i="55"/>
  <c r="AJ51" i="55"/>
  <c r="AI51" i="55"/>
  <c r="AH51" i="55"/>
  <c r="AG51" i="55"/>
  <c r="AF51" i="55"/>
  <c r="AE51" i="55"/>
  <c r="AD51" i="55"/>
  <c r="AC51" i="55"/>
  <c r="AB51" i="55"/>
  <c r="AA51" i="55"/>
  <c r="Z51" i="55"/>
  <c r="Y51" i="55"/>
  <c r="X51" i="55"/>
  <c r="W51" i="55"/>
  <c r="V51" i="55"/>
  <c r="U51" i="55"/>
  <c r="T51" i="55"/>
  <c r="S51" i="55"/>
  <c r="R51" i="55"/>
  <c r="Q51" i="55"/>
  <c r="P51" i="55"/>
  <c r="O51" i="55"/>
  <c r="N51" i="55"/>
  <c r="M51" i="55"/>
  <c r="L51" i="55"/>
  <c r="K51" i="55"/>
  <c r="J51" i="55"/>
  <c r="I51" i="55"/>
  <c r="H51" i="55"/>
  <c r="G51" i="55"/>
  <c r="F51" i="55"/>
  <c r="E51" i="55"/>
  <c r="D51" i="55"/>
  <c r="C51" i="55"/>
  <c r="B51" i="55"/>
  <c r="AY44" i="55"/>
  <c r="AX44" i="55"/>
  <c r="AW44" i="55"/>
  <c r="AV44" i="55"/>
  <c r="AU44" i="55"/>
  <c r="AT44" i="55"/>
  <c r="AS44" i="55"/>
  <c r="AR44" i="55"/>
  <c r="AQ44" i="55"/>
  <c r="AP44" i="55"/>
  <c r="AO44" i="55"/>
  <c r="AN44" i="55"/>
  <c r="AM44" i="55"/>
  <c r="AL44" i="55"/>
  <c r="AK44" i="55"/>
  <c r="AJ44" i="55"/>
  <c r="AI44" i="55"/>
  <c r="AH44" i="55"/>
  <c r="AG44" i="55"/>
  <c r="AF44" i="55"/>
  <c r="AE44" i="55"/>
  <c r="AD44" i="55"/>
  <c r="AC44" i="55"/>
  <c r="AB44" i="55"/>
  <c r="AA44" i="55"/>
  <c r="Z44" i="55"/>
  <c r="Y44" i="55"/>
  <c r="X44" i="55"/>
  <c r="W44" i="55"/>
  <c r="V44" i="55"/>
  <c r="U44" i="55"/>
  <c r="T44" i="55"/>
  <c r="S44" i="55"/>
  <c r="R44" i="55"/>
  <c r="Q44" i="55"/>
  <c r="P44" i="55"/>
  <c r="O44" i="55"/>
  <c r="N44" i="55"/>
  <c r="M44" i="55"/>
  <c r="L44" i="55"/>
  <c r="K44" i="55"/>
  <c r="J44" i="55"/>
  <c r="I44" i="55"/>
  <c r="H44" i="55"/>
  <c r="G44" i="55"/>
  <c r="F44" i="55"/>
  <c r="E44" i="55"/>
  <c r="D44" i="55"/>
  <c r="C44" i="55"/>
  <c r="B44" i="55"/>
  <c r="AY35" i="55"/>
  <c r="AX35" i="55"/>
  <c r="AW35" i="55"/>
  <c r="AV35" i="55"/>
  <c r="AU35" i="55"/>
  <c r="AT35" i="55"/>
  <c r="AS35" i="55"/>
  <c r="AR35" i="55"/>
  <c r="AQ35" i="55"/>
  <c r="AP35" i="55"/>
  <c r="AO35" i="55"/>
  <c r="AN35" i="55"/>
  <c r="AM35" i="55"/>
  <c r="AL35" i="55"/>
  <c r="AK35" i="55"/>
  <c r="AJ35" i="55"/>
  <c r="AI35" i="55"/>
  <c r="AH35" i="55"/>
  <c r="AG35" i="55"/>
  <c r="AF35" i="55"/>
  <c r="AE35" i="55"/>
  <c r="AD35" i="55"/>
  <c r="AC35" i="55"/>
  <c r="AB35" i="55"/>
  <c r="AA35" i="55"/>
  <c r="Z35" i="55"/>
  <c r="Y35" i="55"/>
  <c r="X35" i="55"/>
  <c r="W35" i="55"/>
  <c r="V35" i="55"/>
  <c r="U35" i="55"/>
  <c r="T35" i="55"/>
  <c r="S35" i="55"/>
  <c r="R35" i="55"/>
  <c r="Q35" i="55"/>
  <c r="P35" i="55"/>
  <c r="O35" i="55"/>
  <c r="N35" i="55"/>
  <c r="M35" i="55"/>
  <c r="L35" i="55"/>
  <c r="K35" i="55"/>
  <c r="J35" i="55"/>
  <c r="I35" i="55"/>
  <c r="H35" i="55"/>
  <c r="G35" i="55"/>
  <c r="F35" i="55"/>
  <c r="E35" i="55"/>
  <c r="D35" i="55"/>
  <c r="C35" i="55"/>
  <c r="B35" i="55"/>
  <c r="B25" i="55"/>
  <c r="D22" i="55"/>
  <c r="AY5" i="55"/>
  <c r="AX5" i="55"/>
  <c r="AW5" i="55"/>
  <c r="AV5" i="55"/>
  <c r="AU5" i="55"/>
  <c r="AT5" i="55"/>
  <c r="AS5" i="55"/>
  <c r="AR5" i="55"/>
  <c r="AQ5" i="55"/>
  <c r="AP5" i="55"/>
  <c r="AO5" i="55"/>
  <c r="AN5" i="55"/>
  <c r="AM5" i="55"/>
  <c r="AL5" i="55"/>
  <c r="AK5" i="55"/>
  <c r="AJ5" i="55"/>
  <c r="AI5" i="55"/>
  <c r="AH5" i="55"/>
  <c r="AG5" i="55"/>
  <c r="AF5" i="55"/>
  <c r="AE5" i="55"/>
  <c r="AD5" i="55"/>
  <c r="AC5" i="55"/>
  <c r="AB5" i="55"/>
  <c r="AA5" i="55"/>
  <c r="Z5" i="55"/>
  <c r="Y5" i="55"/>
  <c r="X5" i="55"/>
  <c r="W5" i="55"/>
  <c r="V5" i="55"/>
  <c r="U5" i="55"/>
  <c r="T5" i="55"/>
  <c r="S5" i="55"/>
  <c r="R5" i="55"/>
  <c r="Q5" i="55"/>
  <c r="P5" i="55"/>
  <c r="O5" i="55"/>
  <c r="N5" i="55"/>
  <c r="M5" i="55"/>
  <c r="L5" i="55"/>
  <c r="K5" i="55"/>
  <c r="J5" i="55"/>
  <c r="I5" i="55"/>
  <c r="H5" i="55"/>
  <c r="G5" i="55"/>
  <c r="F5" i="55"/>
  <c r="E5" i="55"/>
  <c r="D5" i="55"/>
  <c r="C5" i="55"/>
  <c r="AY3" i="55"/>
  <c r="AX3" i="55"/>
  <c r="AW3" i="55"/>
  <c r="AV3" i="55"/>
  <c r="AU3" i="55"/>
  <c r="AT3" i="55"/>
  <c r="AS3" i="55"/>
  <c r="AR3" i="55"/>
  <c r="AQ3" i="55"/>
  <c r="AP3" i="55"/>
  <c r="AO3" i="55"/>
  <c r="AN3" i="55"/>
  <c r="AM3" i="55"/>
  <c r="AL3" i="55"/>
  <c r="AK3" i="55"/>
  <c r="AJ3" i="55"/>
  <c r="AI3" i="55"/>
  <c r="AH3" i="55"/>
  <c r="AG3" i="55"/>
  <c r="AF3" i="55"/>
  <c r="AE3" i="55"/>
  <c r="AD3" i="55"/>
  <c r="AC3" i="55"/>
  <c r="AB3" i="55"/>
  <c r="AA3" i="55"/>
  <c r="Z3" i="55"/>
  <c r="Y3" i="55"/>
  <c r="X3" i="55"/>
  <c r="W3" i="55"/>
  <c r="V3" i="55"/>
  <c r="U3" i="55"/>
  <c r="T3" i="55"/>
  <c r="S3" i="55"/>
  <c r="R3" i="55"/>
  <c r="Q3" i="55"/>
  <c r="P3" i="55"/>
  <c r="O3" i="55"/>
  <c r="N3" i="55"/>
  <c r="M3" i="55"/>
  <c r="L3" i="55"/>
  <c r="K3" i="55"/>
  <c r="J3" i="55"/>
  <c r="I3" i="55"/>
  <c r="H3" i="55"/>
  <c r="G3" i="55"/>
  <c r="F3" i="55"/>
  <c r="E3" i="55"/>
  <c r="D3" i="55"/>
  <c r="C3" i="55"/>
  <c r="F9" i="10"/>
  <c r="F4" i="10"/>
  <c r="AY35" i="46"/>
  <c r="AX35" i="46"/>
  <c r="AW35" i="46"/>
  <c r="AV35" i="46"/>
  <c r="AU35" i="46"/>
  <c r="AY51" i="46"/>
  <c r="AX51" i="46"/>
  <c r="AW51" i="46"/>
  <c r="AV51" i="46"/>
  <c r="AU51" i="46"/>
  <c r="AY44" i="46"/>
  <c r="AX44" i="46"/>
  <c r="AW44" i="46"/>
  <c r="AV44" i="46"/>
  <c r="AU44" i="46"/>
  <c r="AY5" i="46"/>
  <c r="AX5" i="46"/>
  <c r="AW5" i="46"/>
  <c r="AV5" i="46"/>
  <c r="AU5" i="46"/>
  <c r="AY3" i="46"/>
  <c r="AX3" i="46"/>
  <c r="AW3" i="46"/>
  <c r="AV3" i="46"/>
  <c r="AU3" i="46"/>
  <c r="S49" i="2"/>
  <c r="S50" i="2"/>
  <c r="S51" i="2"/>
  <c r="S52" i="2"/>
  <c r="S53" i="2"/>
  <c r="T49" i="2"/>
  <c r="T50" i="2"/>
  <c r="T51" i="2"/>
  <c r="T52" i="2"/>
  <c r="T53" i="2"/>
  <c r="AS51" i="46"/>
  <c r="AR51" i="46"/>
  <c r="AQ51" i="46"/>
  <c r="AP51" i="46"/>
  <c r="AO51" i="46"/>
  <c r="AN51" i="46"/>
  <c r="AM51" i="46"/>
  <c r="AL51" i="46"/>
  <c r="AK51" i="46"/>
  <c r="AJ51" i="46"/>
  <c r="AI51" i="46"/>
  <c r="AH51" i="46"/>
  <c r="AG51" i="46"/>
  <c r="AF51" i="46"/>
  <c r="AE51" i="46"/>
  <c r="AD51" i="46"/>
  <c r="AC51" i="46"/>
  <c r="AB51" i="46"/>
  <c r="AA51" i="46"/>
  <c r="Z51" i="46"/>
  <c r="Y51" i="46"/>
  <c r="X51" i="46"/>
  <c r="W51" i="46"/>
  <c r="V51" i="46"/>
  <c r="U51" i="46"/>
  <c r="T51" i="46"/>
  <c r="S51" i="46"/>
  <c r="R51" i="46"/>
  <c r="Q51" i="46"/>
  <c r="P51" i="46"/>
  <c r="O51" i="46"/>
  <c r="N51" i="46"/>
  <c r="M51" i="46"/>
  <c r="L51" i="46"/>
  <c r="K51" i="46"/>
  <c r="J51" i="46"/>
  <c r="I51" i="46"/>
  <c r="H51" i="46"/>
  <c r="G51" i="46"/>
  <c r="F51" i="46"/>
  <c r="E51" i="46"/>
  <c r="D51" i="46"/>
  <c r="AT51" i="46"/>
  <c r="C51" i="46"/>
  <c r="B51" i="46"/>
  <c r="M18" i="53" a="1"/>
  <c r="M18" i="53" s="1"/>
  <c r="M17" i="53" a="1"/>
  <c r="M17" i="53" s="1"/>
  <c r="M16" i="53" a="1"/>
  <c r="M16" i="53" s="1"/>
  <c r="M15" i="53" a="1"/>
  <c r="M15" i="53" s="1"/>
  <c r="M14" i="53" a="1"/>
  <c r="M14" i="53" s="1"/>
  <c r="M13" i="53" a="1"/>
  <c r="M13" i="53" s="1"/>
  <c r="M12" i="53" a="1"/>
  <c r="M12" i="53" s="1"/>
  <c r="M11" i="53" a="1"/>
  <c r="M11" i="53" s="1"/>
  <c r="M10" i="53" a="1"/>
  <c r="M10" i="53" s="1"/>
  <c r="M9" i="53" a="1"/>
  <c r="M9" i="53" s="1"/>
  <c r="M8" i="53" a="1"/>
  <c r="M8" i="53" s="1"/>
  <c r="M7" i="53" a="1"/>
  <c r="M7" i="53" s="1"/>
  <c r="M6" i="53" a="1"/>
  <c r="M6" i="53" s="1"/>
  <c r="M5" i="53" a="1"/>
  <c r="M5" i="53" s="1"/>
  <c r="M4" i="53" a="1"/>
  <c r="M4" i="53" s="1"/>
  <c r="M3" i="53" a="1"/>
  <c r="M3" i="53" s="1"/>
  <c r="I18" i="53"/>
  <c r="J3" i="53" s="1" a="1"/>
  <c r="J3" i="53" s="1"/>
  <c r="I17" i="53"/>
  <c r="J4" i="53" s="1" a="1"/>
  <c r="J4" i="53" s="1"/>
  <c r="I16" i="53"/>
  <c r="J5" i="53" s="1" a="1"/>
  <c r="J5" i="53" s="1"/>
  <c r="I15" i="53"/>
  <c r="J6" i="53" s="1" a="1"/>
  <c r="J6" i="53" s="1"/>
  <c r="I14" i="53"/>
  <c r="J7" i="53" s="1" a="1"/>
  <c r="J7" i="53" s="1"/>
  <c r="I13" i="53"/>
  <c r="J8" i="53" s="1" a="1"/>
  <c r="J8" i="53" s="1"/>
  <c r="I12" i="53"/>
  <c r="J9" i="53" s="1" a="1"/>
  <c r="J9" i="53" s="1"/>
  <c r="I11" i="53"/>
  <c r="J10" i="53" s="1" a="1"/>
  <c r="J10" i="53" s="1"/>
  <c r="I10" i="53"/>
  <c r="J11" i="53" s="1" a="1"/>
  <c r="J11" i="53" s="1"/>
  <c r="I9" i="53"/>
  <c r="J12" i="53" s="1" a="1"/>
  <c r="J12" i="53" s="1"/>
  <c r="I8" i="53"/>
  <c r="J13" i="53" s="1" a="1"/>
  <c r="J13" i="53" s="1"/>
  <c r="I7" i="53"/>
  <c r="J14" i="53" s="1" a="1"/>
  <c r="J14" i="53" s="1"/>
  <c r="I6" i="53"/>
  <c r="J15" i="53" s="1" a="1"/>
  <c r="J15" i="53" s="1"/>
  <c r="I5" i="53"/>
  <c r="J16" i="53" s="1" a="1"/>
  <c r="J16" i="53" s="1"/>
  <c r="I4" i="53"/>
  <c r="J17" i="53" s="1" a="1"/>
  <c r="J17" i="53" s="1"/>
  <c r="I3" i="53"/>
  <c r="J18" i="53" s="1" a="1"/>
  <c r="J18" i="53" s="1"/>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5" i="2"/>
  <c r="T4" i="2"/>
  <c r="T3" i="2"/>
  <c r="S48" i="2"/>
  <c r="S47" i="2"/>
  <c r="S46" i="2"/>
  <c r="S45" i="2"/>
  <c r="S44" i="2"/>
  <c r="S43" i="2"/>
  <c r="S42" i="2"/>
  <c r="S41" i="2"/>
  <c r="S40" i="2"/>
  <c r="S39" i="2"/>
  <c r="S38" i="2"/>
  <c r="S37" i="2"/>
  <c r="S36" i="2"/>
  <c r="S35" i="2"/>
  <c r="S34" i="2"/>
  <c r="S33" i="2"/>
  <c r="S32" i="2"/>
  <c r="S31" i="2"/>
  <c r="S30" i="2"/>
  <c r="S29" i="2"/>
  <c r="S28" i="2"/>
  <c r="S27" i="2"/>
  <c r="S26" i="2"/>
  <c r="S25" i="2"/>
  <c r="S24" i="2"/>
  <c r="S23" i="2"/>
  <c r="S22" i="2"/>
  <c r="S21" i="2"/>
  <c r="S20" i="2"/>
  <c r="S19" i="2"/>
  <c r="S18" i="2"/>
  <c r="S17" i="2"/>
  <c r="S16" i="2"/>
  <c r="S15" i="2"/>
  <c r="S14" i="2"/>
  <c r="S13" i="2"/>
  <c r="S12" i="2"/>
  <c r="S11" i="2"/>
  <c r="S10" i="2"/>
  <c r="S9" i="2"/>
  <c r="S8" i="2"/>
  <c r="S7" i="2"/>
  <c r="S6" i="2"/>
  <c r="S5" i="2"/>
  <c r="S4" i="2"/>
  <c r="S3" i="2"/>
  <c r="E3" i="8"/>
  <c r="AY15" i="56" l="1"/>
  <c r="BB15" i="56"/>
  <c r="BA8" i="56"/>
  <c r="I8" i="56"/>
  <c r="AE8" i="56"/>
  <c r="BB8" i="56"/>
  <c r="AY8" i="56"/>
  <c r="A4" i="56"/>
  <c r="AU8" i="56"/>
  <c r="AW8" i="56"/>
  <c r="J8" i="56"/>
  <c r="AG8" i="56"/>
  <c r="O8" i="56"/>
  <c r="AH8" i="56"/>
  <c r="B50" i="55"/>
  <c r="B52" i="55" s="1"/>
  <c r="B53" i="55" s="1"/>
  <c r="W8" i="56"/>
  <c r="AZ8" i="56"/>
  <c r="G8" i="56"/>
  <c r="Q8" i="56"/>
  <c r="AM8" i="56"/>
  <c r="AZ15" i="56"/>
  <c r="AP8" i="56"/>
  <c r="Y8" i="56"/>
  <c r="Z8" i="56"/>
  <c r="R8" i="56"/>
  <c r="AO8" i="56"/>
  <c r="AP15" i="56"/>
  <c r="AH15" i="56"/>
  <c r="Z15" i="56"/>
  <c r="R15" i="56"/>
  <c r="J15" i="56"/>
  <c r="AW15" i="56"/>
  <c r="AO15" i="56"/>
  <c r="AG15" i="56"/>
  <c r="Y15" i="56"/>
  <c r="Q15" i="56"/>
  <c r="I15" i="56"/>
  <c r="AV15" i="56"/>
  <c r="AN15" i="56"/>
  <c r="AF15" i="56"/>
  <c r="X15" i="56"/>
  <c r="P15" i="56"/>
  <c r="H15" i="56"/>
  <c r="AU15" i="56"/>
  <c r="AM15" i="56"/>
  <c r="AE15" i="56"/>
  <c r="W15" i="56"/>
  <c r="O15" i="56"/>
  <c r="G15" i="56"/>
  <c r="AT15" i="56"/>
  <c r="AL15" i="56"/>
  <c r="AD15" i="56"/>
  <c r="V15" i="56"/>
  <c r="N15" i="56"/>
  <c r="F15" i="56"/>
  <c r="AR15" i="56"/>
  <c r="AJ15" i="56"/>
  <c r="AB15" i="56"/>
  <c r="T15" i="56"/>
  <c r="L15" i="56"/>
  <c r="S15" i="56"/>
  <c r="AS15" i="56"/>
  <c r="M15" i="56"/>
  <c r="AQ15" i="56"/>
  <c r="K15" i="56"/>
  <c r="AK15" i="56"/>
  <c r="E15" i="56"/>
  <c r="AI15" i="56"/>
  <c r="AA15" i="56"/>
  <c r="U15" i="56"/>
  <c r="H8" i="56"/>
  <c r="P8" i="56"/>
  <c r="X8" i="56"/>
  <c r="AF8" i="56"/>
  <c r="AN8" i="56"/>
  <c r="AV8" i="56"/>
  <c r="K8" i="56"/>
  <c r="S8" i="56"/>
  <c r="AA8" i="56"/>
  <c r="AI8" i="56"/>
  <c r="AQ8" i="56"/>
  <c r="L8" i="56"/>
  <c r="T8" i="56"/>
  <c r="AB8" i="56"/>
  <c r="AJ8" i="56"/>
  <c r="AR8" i="56"/>
  <c r="E8" i="56"/>
  <c r="M8" i="56"/>
  <c r="U8" i="56"/>
  <c r="AC8" i="56"/>
  <c r="AK8" i="56"/>
  <c r="AS8" i="56"/>
  <c r="F8" i="56"/>
  <c r="N8" i="56"/>
  <c r="V8" i="56"/>
  <c r="AD8" i="56"/>
  <c r="AL8" i="56"/>
  <c r="AT8" i="56"/>
  <c r="B46" i="55"/>
  <c r="B47" i="55" s="1"/>
  <c r="D22" i="46"/>
  <c r="B5" i="46"/>
  <c r="AS44" i="46"/>
  <c r="AR44" i="46"/>
  <c r="AQ44" i="46"/>
  <c r="AP44" i="46"/>
  <c r="AO44" i="46"/>
  <c r="AN44" i="46"/>
  <c r="AM44" i="46"/>
  <c r="AL44" i="46"/>
  <c r="AK44" i="46"/>
  <c r="AJ44" i="46"/>
  <c r="AI44" i="46"/>
  <c r="AH44" i="46"/>
  <c r="AG44" i="46"/>
  <c r="AF44" i="46"/>
  <c r="AE44" i="46"/>
  <c r="AD44" i="46"/>
  <c r="AC44" i="46"/>
  <c r="AB44" i="46"/>
  <c r="AA44" i="46"/>
  <c r="Z44" i="46"/>
  <c r="Y44" i="46"/>
  <c r="X44" i="46"/>
  <c r="W44" i="46"/>
  <c r="V44" i="46"/>
  <c r="U44" i="46"/>
  <c r="T44" i="46"/>
  <c r="S44" i="46"/>
  <c r="R44" i="46"/>
  <c r="Q44" i="46"/>
  <c r="P44" i="46"/>
  <c r="O44" i="46"/>
  <c r="N44" i="46"/>
  <c r="M44" i="46"/>
  <c r="L44" i="46"/>
  <c r="K44" i="46"/>
  <c r="J44" i="46"/>
  <c r="I44" i="46"/>
  <c r="H44" i="46"/>
  <c r="G44" i="46"/>
  <c r="F44" i="46"/>
  <c r="E44" i="46"/>
  <c r="D44" i="46"/>
  <c r="AT44" i="46"/>
  <c r="C44" i="46"/>
  <c r="B44" i="46"/>
  <c r="B14" i="47"/>
  <c r="B22" i="46"/>
  <c r="E39" i="47"/>
  <c r="F39" i="47" s="1"/>
  <c r="AT35" i="46"/>
  <c r="AS35" i="46"/>
  <c r="AR35" i="46"/>
  <c r="AQ35" i="46"/>
  <c r="AP35" i="46"/>
  <c r="AO35" i="46"/>
  <c r="AN35" i="46"/>
  <c r="AM35" i="46"/>
  <c r="AL35" i="46"/>
  <c r="AK35" i="46"/>
  <c r="AJ35" i="46"/>
  <c r="AI35" i="46"/>
  <c r="AH35" i="46"/>
  <c r="AG35" i="46"/>
  <c r="AF35" i="46"/>
  <c r="AE35" i="46"/>
  <c r="AD35" i="46"/>
  <c r="AC35" i="46"/>
  <c r="AB35" i="46"/>
  <c r="AA35" i="46"/>
  <c r="Z35" i="46"/>
  <c r="Y35" i="46"/>
  <c r="X35" i="46"/>
  <c r="W35" i="46"/>
  <c r="V35" i="46"/>
  <c r="U35" i="46"/>
  <c r="T35" i="46"/>
  <c r="S35" i="46"/>
  <c r="R35" i="46"/>
  <c r="Q35" i="46"/>
  <c r="P35" i="46"/>
  <c r="O35" i="46"/>
  <c r="N35" i="46"/>
  <c r="M35" i="46"/>
  <c r="L35" i="46"/>
  <c r="K35" i="46"/>
  <c r="J35" i="46"/>
  <c r="I35" i="46"/>
  <c r="H35" i="46"/>
  <c r="G35" i="46"/>
  <c r="F35" i="46"/>
  <c r="E35" i="46"/>
  <c r="D35" i="46"/>
  <c r="C35" i="46"/>
  <c r="B35" i="46"/>
  <c r="B54" i="55" l="1"/>
  <c r="C50" i="55" s="1"/>
  <c r="C52" i="55" s="1"/>
  <c r="C53" i="55" s="1"/>
  <c r="C43" i="55"/>
  <c r="C45" i="55" s="1"/>
  <c r="C46" i="55" s="1"/>
  <c r="B43" i="46"/>
  <c r="B45" i="46" s="1"/>
  <c r="D9" i="10"/>
  <c r="D4" i="10"/>
  <c r="A4" i="47" a="1"/>
  <c r="E8" i="47" s="1"/>
  <c r="B1" i="47"/>
  <c r="B2" i="47"/>
  <c r="E15" i="47" s="1"/>
  <c r="AT5" i="46"/>
  <c r="AS5" i="46"/>
  <c r="AR5" i="46"/>
  <c r="AQ5" i="46"/>
  <c r="AP5" i="46"/>
  <c r="AO5" i="46"/>
  <c r="AN5" i="46"/>
  <c r="AM5" i="46"/>
  <c r="AL5" i="46"/>
  <c r="AK5" i="46"/>
  <c r="AJ5" i="46"/>
  <c r="AI5" i="46"/>
  <c r="AH5" i="46"/>
  <c r="AG5" i="46"/>
  <c r="AF5" i="46"/>
  <c r="AE5" i="46"/>
  <c r="AD5" i="46"/>
  <c r="AC5" i="46"/>
  <c r="AB5" i="46"/>
  <c r="AA5" i="46"/>
  <c r="Z5" i="46"/>
  <c r="Y5" i="46"/>
  <c r="X5" i="46"/>
  <c r="W5" i="46"/>
  <c r="V5" i="46"/>
  <c r="U5" i="46"/>
  <c r="T5" i="46"/>
  <c r="S5" i="46"/>
  <c r="R5" i="46"/>
  <c r="Q5" i="46"/>
  <c r="P5" i="46"/>
  <c r="O5" i="46"/>
  <c r="N5" i="46"/>
  <c r="M5" i="46"/>
  <c r="L5" i="46"/>
  <c r="K5" i="46"/>
  <c r="J5" i="46"/>
  <c r="I5" i="46"/>
  <c r="H5" i="46"/>
  <c r="G5" i="46"/>
  <c r="F5" i="46"/>
  <c r="E5" i="46"/>
  <c r="D5" i="46"/>
  <c r="C5" i="46"/>
  <c r="AT3" i="46"/>
  <c r="AS3" i="46"/>
  <c r="AR3" i="46"/>
  <c r="AQ3" i="46"/>
  <c r="AP3" i="46"/>
  <c r="AO3" i="46"/>
  <c r="AN3" i="46"/>
  <c r="AM3" i="46"/>
  <c r="AL3" i="46"/>
  <c r="AK3" i="46"/>
  <c r="AJ3" i="46"/>
  <c r="AI3" i="46"/>
  <c r="AH3" i="46"/>
  <c r="AG3" i="46"/>
  <c r="AF3" i="46"/>
  <c r="AE3" i="46"/>
  <c r="AD3" i="46"/>
  <c r="AC3" i="46"/>
  <c r="AB3" i="46"/>
  <c r="AA3" i="46"/>
  <c r="Z3" i="46"/>
  <c r="Y3" i="46"/>
  <c r="X3" i="46"/>
  <c r="W3" i="46"/>
  <c r="V3" i="46"/>
  <c r="U3" i="46"/>
  <c r="T3" i="46"/>
  <c r="S3" i="46"/>
  <c r="R3" i="46"/>
  <c r="Q3" i="46"/>
  <c r="P3" i="46"/>
  <c r="O3" i="46"/>
  <c r="N3" i="46"/>
  <c r="M3" i="46"/>
  <c r="L3" i="46"/>
  <c r="K3" i="46"/>
  <c r="J3" i="46"/>
  <c r="I3" i="46"/>
  <c r="H3" i="46"/>
  <c r="G3" i="46"/>
  <c r="F3" i="46"/>
  <c r="E3" i="46"/>
  <c r="D3" i="46"/>
  <c r="C3" i="46"/>
  <c r="B3" i="46"/>
  <c r="B25" i="46"/>
  <c r="C5" i="51"/>
  <c r="D39" i="2"/>
  <c r="D40" i="2"/>
  <c r="D41" i="2"/>
  <c r="D42" i="2"/>
  <c r="D43" i="2"/>
  <c r="D44" i="2"/>
  <c r="D45" i="2"/>
  <c r="D46" i="2"/>
  <c r="D47" i="2"/>
  <c r="D48" i="2"/>
  <c r="B23" i="46"/>
  <c r="L7" i="23"/>
  <c r="L6" i="23"/>
  <c r="L5" i="23"/>
  <c r="L4" i="23"/>
  <c r="L3" i="23"/>
  <c r="L2" i="23"/>
  <c r="C54" i="55" l="1"/>
  <c r="D50" i="55" s="1"/>
  <c r="B46" i="46"/>
  <c r="B47" i="46" s="1"/>
  <c r="C43" i="46" s="1"/>
  <c r="C45" i="46" s="1"/>
  <c r="C46" i="46" s="1"/>
  <c r="C47" i="46" s="1"/>
  <c r="D43" i="46" s="1"/>
  <c r="C47" i="55"/>
  <c r="D43" i="55" s="1"/>
  <c r="D45" i="55" s="1"/>
  <c r="D46" i="55" s="1"/>
  <c r="D52" i="55"/>
  <c r="D53" i="55" s="1"/>
  <c r="D54" i="55" s="1"/>
  <c r="E50" i="55" s="1"/>
  <c r="AZ8" i="47"/>
  <c r="AY8" i="47"/>
  <c r="AX8" i="47"/>
  <c r="BB8" i="47"/>
  <c r="BA8" i="47"/>
  <c r="AZ15" i="47"/>
  <c r="AY15" i="47"/>
  <c r="BB15" i="47"/>
  <c r="AX15" i="47"/>
  <c r="BA15" i="47"/>
  <c r="B50" i="46"/>
  <c r="B52" i="46" s="1"/>
  <c r="B53" i="46" s="1"/>
  <c r="B54" i="46" s="1"/>
  <c r="AP15" i="47"/>
  <c r="AH15" i="47"/>
  <c r="Z15" i="47"/>
  <c r="R15" i="47"/>
  <c r="J15" i="47"/>
  <c r="AW15" i="47"/>
  <c r="AO15" i="47"/>
  <c r="AG15" i="47"/>
  <c r="Y15" i="47"/>
  <c r="Q15" i="47"/>
  <c r="I15" i="47"/>
  <c r="AV15" i="47"/>
  <c r="AN15" i="47"/>
  <c r="AF15" i="47"/>
  <c r="X15" i="47"/>
  <c r="P15" i="47"/>
  <c r="H15" i="47"/>
  <c r="AU15" i="47"/>
  <c r="AM15" i="47"/>
  <c r="AE15" i="47"/>
  <c r="W15" i="47"/>
  <c r="O15" i="47"/>
  <c r="G15" i="47"/>
  <c r="AT15" i="47"/>
  <c r="AL15" i="47"/>
  <c r="AD15" i="47"/>
  <c r="V15" i="47"/>
  <c r="N15" i="47"/>
  <c r="F15" i="47"/>
  <c r="AS15" i="47"/>
  <c r="AK15" i="47"/>
  <c r="AC15" i="47"/>
  <c r="U15" i="47"/>
  <c r="M15" i="47"/>
  <c r="AR15" i="47"/>
  <c r="AJ15" i="47"/>
  <c r="AB15" i="47"/>
  <c r="T15" i="47"/>
  <c r="L15" i="47"/>
  <c r="AQ15" i="47"/>
  <c r="AI15" i="47"/>
  <c r="AA15" i="47"/>
  <c r="S15" i="47"/>
  <c r="K15" i="47"/>
  <c r="C2" i="53"/>
  <c r="A4" i="47"/>
  <c r="I3" i="2" a="1"/>
  <c r="Z8" i="47"/>
  <c r="AA8" i="47"/>
  <c r="AL8" i="47"/>
  <c r="AM8" i="47"/>
  <c r="N8" i="47"/>
  <c r="O8" i="47"/>
  <c r="M8" i="47"/>
  <c r="Y8" i="47"/>
  <c r="AK8" i="47"/>
  <c r="AW8" i="47"/>
  <c r="P8" i="47"/>
  <c r="AB8" i="47"/>
  <c r="AN8" i="47"/>
  <c r="Q8" i="47"/>
  <c r="AC8" i="47"/>
  <c r="AO8" i="47"/>
  <c r="F8" i="47"/>
  <c r="R8" i="47"/>
  <c r="AD8" i="47"/>
  <c r="AP8" i="47"/>
  <c r="G8" i="47"/>
  <c r="S8" i="47"/>
  <c r="AE8" i="47"/>
  <c r="AQ8" i="47"/>
  <c r="H8" i="47"/>
  <c r="T8" i="47"/>
  <c r="AF8" i="47"/>
  <c r="AR8" i="47"/>
  <c r="I8" i="47"/>
  <c r="U8" i="47"/>
  <c r="AG8" i="47"/>
  <c r="AS8" i="47"/>
  <c r="J8" i="47"/>
  <c r="V8" i="47"/>
  <c r="AH8" i="47"/>
  <c r="AT8" i="47"/>
  <c r="K8" i="47"/>
  <c r="W8" i="47"/>
  <c r="AI8" i="47"/>
  <c r="AU8" i="47"/>
  <c r="L8" i="47"/>
  <c r="X8" i="47"/>
  <c r="AJ8" i="47"/>
  <c r="AV8" i="47"/>
  <c r="E4" i="45"/>
  <c r="D4" i="45"/>
  <c r="C50" i="46" l="1"/>
  <c r="C52" i="46" s="1"/>
  <c r="C53" i="46" s="1"/>
  <c r="C54" i="46" s="1"/>
  <c r="E52" i="55"/>
  <c r="E53" i="55" s="1"/>
  <c r="D47" i="55"/>
  <c r="E43" i="55" s="1"/>
  <c r="F53" i="2"/>
  <c r="L53" i="2" s="1"/>
  <c r="F49" i="2"/>
  <c r="L49" i="2" s="1"/>
  <c r="F50" i="2"/>
  <c r="L50" i="2" s="1"/>
  <c r="F51" i="2"/>
  <c r="L51" i="2" s="1"/>
  <c r="F52" i="2"/>
  <c r="L52" i="2" s="1"/>
  <c r="I3" i="2"/>
  <c r="C5" i="53"/>
  <c r="C4" i="53"/>
  <c r="C7" i="53"/>
  <c r="C6" i="53"/>
  <c r="D45" i="46"/>
  <c r="D46" i="46" s="1"/>
  <c r="E5" i="45"/>
  <c r="D5" i="45"/>
  <c r="M7" i="44"/>
  <c r="N7" i="44" s="1"/>
  <c r="O7" i="44" s="1"/>
  <c r="P7" i="44" s="1"/>
  <c r="Q7" i="44" s="1"/>
  <c r="R7" i="44" s="1"/>
  <c r="S7" i="44" s="1"/>
  <c r="T7" i="44" s="1"/>
  <c r="U7" i="44" s="1"/>
  <c r="V7" i="44" s="1"/>
  <c r="W7" i="44" s="1"/>
  <c r="X7" i="44" s="1"/>
  <c r="Y7" i="44" s="1"/>
  <c r="Z7" i="44" s="1"/>
  <c r="AA7" i="44" s="1"/>
  <c r="AB7" i="44" s="1"/>
  <c r="AC7" i="44" s="1"/>
  <c r="AD7" i="44" s="1"/>
  <c r="AE7" i="44" s="1"/>
  <c r="AF7" i="44" s="1"/>
  <c r="AG7" i="44" s="1"/>
  <c r="AH7" i="44" s="1"/>
  <c r="AI7" i="44" s="1"/>
  <c r="AJ7" i="44" s="1"/>
  <c r="AK7" i="44" s="1"/>
  <c r="AL7" i="44" s="1"/>
  <c r="AM7" i="44" s="1"/>
  <c r="AN7" i="44" s="1"/>
  <c r="AO7" i="44" s="1"/>
  <c r="AP7" i="44" s="1"/>
  <c r="AQ7" i="44" s="1"/>
  <c r="AR7" i="44" s="1"/>
  <c r="AS7" i="44" s="1"/>
  <c r="AT7" i="44" s="1"/>
  <c r="AU7" i="44" s="1"/>
  <c r="AV7" i="44" s="1"/>
  <c r="AW7" i="44" s="1"/>
  <c r="AX7" i="44" s="1"/>
  <c r="AY7" i="44" s="1"/>
  <c r="AZ7" i="44" s="1"/>
  <c r="C7" i="44"/>
  <c r="D7" i="44" s="1"/>
  <c r="E7" i="44" s="1"/>
  <c r="F7" i="44" s="1"/>
  <c r="G7" i="44" s="1"/>
  <c r="H7" i="44" s="1"/>
  <c r="I7" i="44" s="1"/>
  <c r="J7" i="44" s="1"/>
  <c r="K7" i="44" s="1"/>
  <c r="M6" i="44"/>
  <c r="N6" i="44" s="1"/>
  <c r="O6" i="44" s="1"/>
  <c r="P6" i="44" s="1"/>
  <c r="Q6" i="44" s="1"/>
  <c r="R6" i="44" s="1"/>
  <c r="S6" i="44" s="1"/>
  <c r="T6" i="44" s="1"/>
  <c r="U6" i="44" s="1"/>
  <c r="V6" i="44" s="1"/>
  <c r="W6" i="44" s="1"/>
  <c r="X6" i="44" s="1"/>
  <c r="Y6" i="44" s="1"/>
  <c r="Z6" i="44" s="1"/>
  <c r="AA6" i="44" s="1"/>
  <c r="AB6" i="44" s="1"/>
  <c r="AC6" i="44" s="1"/>
  <c r="AD6" i="44" s="1"/>
  <c r="AE6" i="44" s="1"/>
  <c r="AF6" i="44" s="1"/>
  <c r="AG6" i="44" s="1"/>
  <c r="AH6" i="44" s="1"/>
  <c r="AI6" i="44" s="1"/>
  <c r="AJ6" i="44" s="1"/>
  <c r="AK6" i="44" s="1"/>
  <c r="AL6" i="44" s="1"/>
  <c r="AM6" i="44" s="1"/>
  <c r="AN6" i="44" s="1"/>
  <c r="AO6" i="44" s="1"/>
  <c r="AP6" i="44" s="1"/>
  <c r="AQ6" i="44" s="1"/>
  <c r="AR6" i="44" s="1"/>
  <c r="AS6" i="44" s="1"/>
  <c r="AT6" i="44" s="1"/>
  <c r="AU6" i="44" s="1"/>
  <c r="AV6" i="44" s="1"/>
  <c r="AW6" i="44" s="1"/>
  <c r="AX6" i="44" s="1"/>
  <c r="AY6" i="44" s="1"/>
  <c r="AZ6" i="44" s="1"/>
  <c r="C6" i="44"/>
  <c r="D6" i="44" s="1"/>
  <c r="E6" i="44" s="1"/>
  <c r="F6" i="44" s="1"/>
  <c r="G6" i="44" s="1"/>
  <c r="H6" i="44" s="1"/>
  <c r="I6" i="44" s="1"/>
  <c r="J6" i="44" s="1"/>
  <c r="K6" i="44" s="1"/>
  <c r="M5" i="44"/>
  <c r="N5" i="44" s="1"/>
  <c r="O5" i="44" s="1"/>
  <c r="P5" i="44" s="1"/>
  <c r="Q5" i="44" s="1"/>
  <c r="R5" i="44" s="1"/>
  <c r="S5" i="44" s="1"/>
  <c r="T5" i="44" s="1"/>
  <c r="U5" i="44" s="1"/>
  <c r="V5" i="44" s="1"/>
  <c r="W5" i="44" s="1"/>
  <c r="X5" i="44" s="1"/>
  <c r="Y5" i="44" s="1"/>
  <c r="Z5" i="44" s="1"/>
  <c r="AA5" i="44" s="1"/>
  <c r="AB5" i="44" s="1"/>
  <c r="AC5" i="44" s="1"/>
  <c r="AD5" i="44" s="1"/>
  <c r="AE5" i="44" s="1"/>
  <c r="AF5" i="44" s="1"/>
  <c r="AG5" i="44" s="1"/>
  <c r="AH5" i="44" s="1"/>
  <c r="AI5" i="44" s="1"/>
  <c r="AJ5" i="44" s="1"/>
  <c r="AK5" i="44" s="1"/>
  <c r="AL5" i="44" s="1"/>
  <c r="AM5" i="44" s="1"/>
  <c r="AN5" i="44" s="1"/>
  <c r="AO5" i="44" s="1"/>
  <c r="AP5" i="44" s="1"/>
  <c r="AQ5" i="44" s="1"/>
  <c r="AR5" i="44" s="1"/>
  <c r="AS5" i="44" s="1"/>
  <c r="AT5" i="44" s="1"/>
  <c r="AU5" i="44" s="1"/>
  <c r="AV5" i="44" s="1"/>
  <c r="AW5" i="44" s="1"/>
  <c r="AX5" i="44" s="1"/>
  <c r="AY5" i="44" s="1"/>
  <c r="AZ5" i="44" s="1"/>
  <c r="C5" i="44"/>
  <c r="D5" i="44" s="1"/>
  <c r="E5" i="44" s="1"/>
  <c r="F5" i="44" s="1"/>
  <c r="G5" i="44" s="1"/>
  <c r="H5" i="44" s="1"/>
  <c r="I5" i="44" s="1"/>
  <c r="J5" i="44" s="1"/>
  <c r="K5" i="44" s="1"/>
  <c r="M4" i="44"/>
  <c r="N4" i="44" s="1"/>
  <c r="O4" i="44" s="1"/>
  <c r="P4" i="44" s="1"/>
  <c r="Q4" i="44" s="1"/>
  <c r="R4" i="44" s="1"/>
  <c r="S4" i="44" s="1"/>
  <c r="T4" i="44" s="1"/>
  <c r="U4" i="44" s="1"/>
  <c r="V4" i="44" s="1"/>
  <c r="W4" i="44" s="1"/>
  <c r="X4" i="44" s="1"/>
  <c r="Y4" i="44" s="1"/>
  <c r="Z4" i="44" s="1"/>
  <c r="AA4" i="44" s="1"/>
  <c r="AB4" i="44" s="1"/>
  <c r="AC4" i="44" s="1"/>
  <c r="AD4" i="44" s="1"/>
  <c r="AE4" i="44" s="1"/>
  <c r="AF4" i="44" s="1"/>
  <c r="AG4" i="44" s="1"/>
  <c r="AH4" i="44" s="1"/>
  <c r="AI4" i="44" s="1"/>
  <c r="AJ4" i="44" s="1"/>
  <c r="AK4" i="44" s="1"/>
  <c r="AL4" i="44" s="1"/>
  <c r="AM4" i="44" s="1"/>
  <c r="AN4" i="44" s="1"/>
  <c r="AO4" i="44" s="1"/>
  <c r="AP4" i="44" s="1"/>
  <c r="AQ4" i="44" s="1"/>
  <c r="AR4" i="44" s="1"/>
  <c r="AS4" i="44" s="1"/>
  <c r="AT4" i="44" s="1"/>
  <c r="AU4" i="44" s="1"/>
  <c r="AV4" i="44" s="1"/>
  <c r="AW4" i="44" s="1"/>
  <c r="AX4" i="44" s="1"/>
  <c r="AY4" i="44" s="1"/>
  <c r="AZ4" i="44" s="1"/>
  <c r="C4" i="44"/>
  <c r="D4" i="44" s="1"/>
  <c r="E4" i="44" s="1"/>
  <c r="F4" i="44" s="1"/>
  <c r="G4" i="44" s="1"/>
  <c r="H4" i="44" s="1"/>
  <c r="I4" i="44" s="1"/>
  <c r="J4" i="44" s="1"/>
  <c r="K4" i="44" s="1"/>
  <c r="M3" i="44"/>
  <c r="N3" i="44" s="1"/>
  <c r="O3" i="44" s="1"/>
  <c r="P3" i="44" s="1"/>
  <c r="Q3" i="44" s="1"/>
  <c r="R3" i="44" s="1"/>
  <c r="S3" i="44" s="1"/>
  <c r="T3" i="44" s="1"/>
  <c r="U3" i="44" s="1"/>
  <c r="V3" i="44" s="1"/>
  <c r="W3" i="44" s="1"/>
  <c r="X3" i="44" s="1"/>
  <c r="Y3" i="44" s="1"/>
  <c r="Z3" i="44" s="1"/>
  <c r="AA3" i="44" s="1"/>
  <c r="AB3" i="44" s="1"/>
  <c r="AC3" i="44" s="1"/>
  <c r="AD3" i="44" s="1"/>
  <c r="AE3" i="44" s="1"/>
  <c r="AF3" i="44" s="1"/>
  <c r="AG3" i="44" s="1"/>
  <c r="AH3" i="44" s="1"/>
  <c r="AI3" i="44" s="1"/>
  <c r="AJ3" i="44" s="1"/>
  <c r="AK3" i="44" s="1"/>
  <c r="AL3" i="44" s="1"/>
  <c r="AM3" i="44" s="1"/>
  <c r="AN3" i="44" s="1"/>
  <c r="AO3" i="44" s="1"/>
  <c r="AP3" i="44" s="1"/>
  <c r="AQ3" i="44" s="1"/>
  <c r="AR3" i="44" s="1"/>
  <c r="AS3" i="44" s="1"/>
  <c r="AT3" i="44" s="1"/>
  <c r="AU3" i="44" s="1"/>
  <c r="AV3" i="44" s="1"/>
  <c r="AW3" i="44" s="1"/>
  <c r="AX3" i="44" s="1"/>
  <c r="AY3" i="44" s="1"/>
  <c r="AZ3" i="44" s="1"/>
  <c r="C3" i="44"/>
  <c r="D3" i="44" s="1"/>
  <c r="E3" i="44" s="1"/>
  <c r="F3" i="44" s="1"/>
  <c r="G3" i="44" s="1"/>
  <c r="H3" i="44" s="1"/>
  <c r="I3" i="44" s="1"/>
  <c r="J3" i="44" s="1"/>
  <c r="K3" i="44" s="1"/>
  <c r="M2" i="44"/>
  <c r="N2" i="44" s="1"/>
  <c r="O2" i="44" s="1"/>
  <c r="P2" i="44" s="1"/>
  <c r="Q2" i="44" s="1"/>
  <c r="R2" i="44" s="1"/>
  <c r="S2" i="44" s="1"/>
  <c r="T2" i="44" s="1"/>
  <c r="U2" i="44" s="1"/>
  <c r="V2" i="44" s="1"/>
  <c r="W2" i="44" s="1"/>
  <c r="X2" i="44" s="1"/>
  <c r="Y2" i="44" s="1"/>
  <c r="Z2" i="44" s="1"/>
  <c r="AA2" i="44" s="1"/>
  <c r="AB2" i="44" s="1"/>
  <c r="AC2" i="44" s="1"/>
  <c r="AD2" i="44" s="1"/>
  <c r="AE2" i="44" s="1"/>
  <c r="AF2" i="44" s="1"/>
  <c r="AG2" i="44" s="1"/>
  <c r="AH2" i="44" s="1"/>
  <c r="AI2" i="44" s="1"/>
  <c r="AJ2" i="44" s="1"/>
  <c r="AK2" i="44" s="1"/>
  <c r="AL2" i="44" s="1"/>
  <c r="AM2" i="44" s="1"/>
  <c r="AN2" i="44" s="1"/>
  <c r="AO2" i="44" s="1"/>
  <c r="AP2" i="44" s="1"/>
  <c r="AQ2" i="44" s="1"/>
  <c r="AR2" i="44" s="1"/>
  <c r="AS2" i="44" s="1"/>
  <c r="AT2" i="44" s="1"/>
  <c r="AU2" i="44" s="1"/>
  <c r="AV2" i="44" s="1"/>
  <c r="AW2" i="44" s="1"/>
  <c r="AX2" i="44" s="1"/>
  <c r="AY2" i="44" s="1"/>
  <c r="AZ2" i="44" s="1"/>
  <c r="C2" i="44"/>
  <c r="D2" i="44" s="1"/>
  <c r="E2" i="44" s="1"/>
  <c r="F2" i="44" s="1"/>
  <c r="G2" i="44" s="1"/>
  <c r="H2" i="44" s="1"/>
  <c r="I2" i="44" s="1"/>
  <c r="J2" i="44" s="1"/>
  <c r="K2" i="44" s="1"/>
  <c r="C9" i="43"/>
  <c r="C8" i="43"/>
  <c r="C7" i="43"/>
  <c r="C6" i="43"/>
  <c r="B4" i="43"/>
  <c r="C5" i="43" s="1"/>
  <c r="M6" i="23"/>
  <c r="N6" i="23" s="1"/>
  <c r="O6" i="23" s="1"/>
  <c r="P6" i="23" s="1"/>
  <c r="Q6" i="23" s="1"/>
  <c r="R6" i="23" s="1"/>
  <c r="S6" i="23" s="1"/>
  <c r="T6" i="23" s="1"/>
  <c r="U6" i="23" s="1"/>
  <c r="V6" i="23" s="1"/>
  <c r="W6" i="23" s="1"/>
  <c r="X6" i="23" s="1"/>
  <c r="Y6" i="23" s="1"/>
  <c r="Z6" i="23" s="1"/>
  <c r="AA6" i="23" s="1"/>
  <c r="AB6" i="23" s="1"/>
  <c r="AC6" i="23" s="1"/>
  <c r="AD6" i="23" s="1"/>
  <c r="AE6" i="23" s="1"/>
  <c r="AF6" i="23" s="1"/>
  <c r="AG6" i="23" s="1"/>
  <c r="AH6" i="23" s="1"/>
  <c r="AI6" i="23" s="1"/>
  <c r="AJ6" i="23" s="1"/>
  <c r="AK6" i="23" s="1"/>
  <c r="AL6" i="23" s="1"/>
  <c r="AM6" i="23" s="1"/>
  <c r="AN6" i="23" s="1"/>
  <c r="AO6" i="23" s="1"/>
  <c r="AP6" i="23" s="1"/>
  <c r="AQ6" i="23" s="1"/>
  <c r="AR6" i="23" s="1"/>
  <c r="AS6" i="23" s="1"/>
  <c r="AT6" i="23" s="1"/>
  <c r="AU6" i="23" s="1"/>
  <c r="AV6" i="23" s="1"/>
  <c r="AW6" i="23" s="1"/>
  <c r="AX6" i="23" s="1"/>
  <c r="AY6" i="23" s="1"/>
  <c r="AZ6" i="23" s="1"/>
  <c r="M5" i="23"/>
  <c r="N5" i="23" s="1"/>
  <c r="O5" i="23" s="1"/>
  <c r="P5" i="23" s="1"/>
  <c r="Q5" i="23" s="1"/>
  <c r="R5" i="23" s="1"/>
  <c r="S5" i="23" s="1"/>
  <c r="T5" i="23" s="1"/>
  <c r="U5" i="23" s="1"/>
  <c r="V5" i="23" s="1"/>
  <c r="W5" i="23" s="1"/>
  <c r="X5" i="23" s="1"/>
  <c r="Y5" i="23" s="1"/>
  <c r="Z5" i="23" s="1"/>
  <c r="AA5" i="23" s="1"/>
  <c r="AB5" i="23" s="1"/>
  <c r="AC5" i="23" s="1"/>
  <c r="AD5" i="23" s="1"/>
  <c r="AE5" i="23" s="1"/>
  <c r="AF5" i="23" s="1"/>
  <c r="AG5" i="23" s="1"/>
  <c r="AH5" i="23" s="1"/>
  <c r="AI5" i="23" s="1"/>
  <c r="AJ5" i="23" s="1"/>
  <c r="AK5" i="23" s="1"/>
  <c r="AL5" i="23" s="1"/>
  <c r="AM5" i="23" s="1"/>
  <c r="AN5" i="23" s="1"/>
  <c r="AO5" i="23" s="1"/>
  <c r="AP5" i="23" s="1"/>
  <c r="AQ5" i="23" s="1"/>
  <c r="AR5" i="23" s="1"/>
  <c r="AS5" i="23" s="1"/>
  <c r="AT5" i="23" s="1"/>
  <c r="AU5" i="23" s="1"/>
  <c r="AV5" i="23" s="1"/>
  <c r="AW5" i="23" s="1"/>
  <c r="AX5" i="23" s="1"/>
  <c r="AY5" i="23" s="1"/>
  <c r="AZ5" i="23" s="1"/>
  <c r="M4" i="23"/>
  <c r="N4" i="23" s="1"/>
  <c r="O4" i="23" s="1"/>
  <c r="P4" i="23" s="1"/>
  <c r="Q4" i="23" s="1"/>
  <c r="R4" i="23" s="1"/>
  <c r="S4" i="23" s="1"/>
  <c r="T4" i="23" s="1"/>
  <c r="U4" i="23" s="1"/>
  <c r="V4" i="23" s="1"/>
  <c r="W4" i="23" s="1"/>
  <c r="X4" i="23" s="1"/>
  <c r="Y4" i="23" s="1"/>
  <c r="Z4" i="23" s="1"/>
  <c r="AA4" i="23" s="1"/>
  <c r="AB4" i="23" s="1"/>
  <c r="AC4" i="23" s="1"/>
  <c r="AD4" i="23" s="1"/>
  <c r="AE4" i="23" s="1"/>
  <c r="AF4" i="23" s="1"/>
  <c r="AG4" i="23" s="1"/>
  <c r="AH4" i="23" s="1"/>
  <c r="AI4" i="23" s="1"/>
  <c r="AJ4" i="23" s="1"/>
  <c r="AK4" i="23" s="1"/>
  <c r="AL4" i="23" s="1"/>
  <c r="AM4" i="23" s="1"/>
  <c r="AN4" i="23" s="1"/>
  <c r="AO4" i="23" s="1"/>
  <c r="AP4" i="23" s="1"/>
  <c r="AQ4" i="23" s="1"/>
  <c r="AR4" i="23" s="1"/>
  <c r="AS4" i="23" s="1"/>
  <c r="AT4" i="23" s="1"/>
  <c r="AU4" i="23" s="1"/>
  <c r="AV4" i="23" s="1"/>
  <c r="AW4" i="23" s="1"/>
  <c r="AX4" i="23" s="1"/>
  <c r="AY4" i="23" s="1"/>
  <c r="AZ4" i="23" s="1"/>
  <c r="M3" i="23"/>
  <c r="N3" i="23" s="1"/>
  <c r="O3" i="23" s="1"/>
  <c r="P3" i="23" s="1"/>
  <c r="Q3" i="23" s="1"/>
  <c r="R3" i="23" s="1"/>
  <c r="S3" i="23" s="1"/>
  <c r="T3" i="23" s="1"/>
  <c r="U3" i="23" s="1"/>
  <c r="V3" i="23" s="1"/>
  <c r="W3" i="23" s="1"/>
  <c r="X3" i="23" s="1"/>
  <c r="Y3" i="23" s="1"/>
  <c r="Z3" i="23" s="1"/>
  <c r="AA3" i="23" s="1"/>
  <c r="AB3" i="23" s="1"/>
  <c r="AC3" i="23" s="1"/>
  <c r="AD3" i="23" s="1"/>
  <c r="AE3" i="23" s="1"/>
  <c r="AF3" i="23" s="1"/>
  <c r="AG3" i="23" s="1"/>
  <c r="AH3" i="23" s="1"/>
  <c r="AI3" i="23" s="1"/>
  <c r="AJ3" i="23" s="1"/>
  <c r="AK3" i="23" s="1"/>
  <c r="AL3" i="23" s="1"/>
  <c r="AM3" i="23" s="1"/>
  <c r="AN3" i="23" s="1"/>
  <c r="AO3" i="23" s="1"/>
  <c r="AP3" i="23" s="1"/>
  <c r="AQ3" i="23" s="1"/>
  <c r="AR3" i="23" s="1"/>
  <c r="AS3" i="23" s="1"/>
  <c r="AT3" i="23" s="1"/>
  <c r="AU3" i="23" s="1"/>
  <c r="AV3" i="23" s="1"/>
  <c r="AW3" i="23" s="1"/>
  <c r="AX3" i="23" s="1"/>
  <c r="AY3" i="23" s="1"/>
  <c r="AZ3" i="23" s="1"/>
  <c r="M2" i="23"/>
  <c r="N2" i="23" s="1"/>
  <c r="O2" i="23" s="1"/>
  <c r="P2" i="23" s="1"/>
  <c r="Q2" i="23" s="1"/>
  <c r="R2" i="23" s="1"/>
  <c r="S2" i="23" s="1"/>
  <c r="T2" i="23" s="1"/>
  <c r="U2" i="23" s="1"/>
  <c r="V2" i="23" s="1"/>
  <c r="W2" i="23" s="1"/>
  <c r="X2" i="23" s="1"/>
  <c r="Y2" i="23" s="1"/>
  <c r="Z2" i="23" s="1"/>
  <c r="AA2" i="23" s="1"/>
  <c r="AB2" i="23" s="1"/>
  <c r="AC2" i="23" s="1"/>
  <c r="AD2" i="23" s="1"/>
  <c r="AE2" i="23" s="1"/>
  <c r="AF2" i="23" s="1"/>
  <c r="AG2" i="23" s="1"/>
  <c r="AH2" i="23" s="1"/>
  <c r="AI2" i="23" s="1"/>
  <c r="AJ2" i="23" s="1"/>
  <c r="AK2" i="23" s="1"/>
  <c r="AL2" i="23" s="1"/>
  <c r="AM2" i="23" s="1"/>
  <c r="AN2" i="23" s="1"/>
  <c r="AO2" i="23" s="1"/>
  <c r="AP2" i="23" s="1"/>
  <c r="AQ2" i="23" s="1"/>
  <c r="AR2" i="23" s="1"/>
  <c r="AS2" i="23" s="1"/>
  <c r="AT2" i="23" s="1"/>
  <c r="AU2" i="23" s="1"/>
  <c r="AV2" i="23" s="1"/>
  <c r="AW2" i="23" s="1"/>
  <c r="AX2" i="23" s="1"/>
  <c r="AY2" i="23" s="1"/>
  <c r="AZ2" i="23" s="1"/>
  <c r="M7" i="23"/>
  <c r="N7" i="23" s="1"/>
  <c r="O7" i="23" s="1"/>
  <c r="P7" i="23" s="1"/>
  <c r="Q7" i="23" s="1"/>
  <c r="R7" i="23" s="1"/>
  <c r="S7" i="23" s="1"/>
  <c r="T7" i="23" s="1"/>
  <c r="U7" i="23" s="1"/>
  <c r="V7" i="23" s="1"/>
  <c r="W7" i="23" s="1"/>
  <c r="X7" i="23" s="1"/>
  <c r="Y7" i="23" s="1"/>
  <c r="Z7" i="23" s="1"/>
  <c r="AA7" i="23" s="1"/>
  <c r="AB7" i="23" s="1"/>
  <c r="AC7" i="23" s="1"/>
  <c r="AD7" i="23" s="1"/>
  <c r="AE7" i="23" s="1"/>
  <c r="AF7" i="23" s="1"/>
  <c r="AG7" i="23" s="1"/>
  <c r="AH7" i="23" s="1"/>
  <c r="AI7" i="23" s="1"/>
  <c r="AJ7" i="23" s="1"/>
  <c r="AK7" i="23" s="1"/>
  <c r="AL7" i="23" s="1"/>
  <c r="AM7" i="23" s="1"/>
  <c r="AN7" i="23" s="1"/>
  <c r="AO7" i="23" s="1"/>
  <c r="AP7" i="23" s="1"/>
  <c r="AQ7" i="23" s="1"/>
  <c r="AR7" i="23" s="1"/>
  <c r="AS7" i="23" s="1"/>
  <c r="AT7" i="23" s="1"/>
  <c r="AU7" i="23" s="1"/>
  <c r="AV7" i="23" s="1"/>
  <c r="AW7" i="23" s="1"/>
  <c r="AX7" i="23" s="1"/>
  <c r="AY7" i="23" s="1"/>
  <c r="AZ7" i="23" s="1"/>
  <c r="A2" i="25" a="1"/>
  <c r="A2" i="25" s="1"/>
  <c r="B2" i="39"/>
  <c r="C2" i="39" s="1"/>
  <c r="D2" i="39" s="1"/>
  <c r="E2" i="39" s="1"/>
  <c r="F2" i="39" s="1"/>
  <c r="G2" i="39" s="1"/>
  <c r="H2" i="39" s="1"/>
  <c r="I2" i="39" s="1"/>
  <c r="J2" i="39" s="1"/>
  <c r="K2" i="39" s="1"/>
  <c r="L2" i="39" s="1"/>
  <c r="M2" i="39" s="1"/>
  <c r="N2" i="39" s="1"/>
  <c r="O2" i="39" s="1"/>
  <c r="P2" i="39" s="1"/>
  <c r="Q2" i="39" s="1"/>
  <c r="R2" i="39" s="1"/>
  <c r="S2" i="39" s="1"/>
  <c r="T2" i="39" s="1"/>
  <c r="U2" i="39" s="1"/>
  <c r="V2" i="39" s="1"/>
  <c r="W2" i="39" s="1"/>
  <c r="X2" i="39" s="1"/>
  <c r="Y2" i="39" s="1"/>
  <c r="Z2" i="39" s="1"/>
  <c r="AA2" i="39" s="1"/>
  <c r="AB2" i="39" s="1"/>
  <c r="AC2" i="39" s="1"/>
  <c r="AD2" i="39" s="1"/>
  <c r="AE2" i="39" s="1"/>
  <c r="AF2" i="39" s="1"/>
  <c r="AG2" i="39" s="1"/>
  <c r="AH2" i="39" s="1"/>
  <c r="AI2" i="39" s="1"/>
  <c r="AJ2" i="39" s="1"/>
  <c r="AK2" i="39" s="1"/>
  <c r="AL2" i="39" s="1"/>
  <c r="AM2" i="39" s="1"/>
  <c r="AN2" i="39" s="1"/>
  <c r="AO2" i="39" s="1"/>
  <c r="AP2" i="39" s="1"/>
  <c r="B3" i="39"/>
  <c r="C3" i="39" s="1"/>
  <c r="D3" i="39" s="1"/>
  <c r="E3" i="39" s="1"/>
  <c r="F3" i="39" s="1"/>
  <c r="G3" i="39" s="1"/>
  <c r="H3" i="39" s="1"/>
  <c r="I3" i="39" s="1"/>
  <c r="J3" i="39" s="1"/>
  <c r="K3" i="39" s="1"/>
  <c r="L3" i="39" s="1"/>
  <c r="M3" i="39" s="1"/>
  <c r="N3" i="39" s="1"/>
  <c r="O3" i="39" s="1"/>
  <c r="P3" i="39" s="1"/>
  <c r="Q3" i="39" s="1"/>
  <c r="R3" i="39" s="1"/>
  <c r="S3" i="39" s="1"/>
  <c r="T3" i="39" s="1"/>
  <c r="U3" i="39" s="1"/>
  <c r="V3" i="39" s="1"/>
  <c r="W3" i="39" s="1"/>
  <c r="X3" i="39" s="1"/>
  <c r="Y3" i="39" s="1"/>
  <c r="Z3" i="39" s="1"/>
  <c r="AA3" i="39" s="1"/>
  <c r="AB3" i="39" s="1"/>
  <c r="AC3" i="39" s="1"/>
  <c r="AD3" i="39" s="1"/>
  <c r="AE3" i="39" s="1"/>
  <c r="AF3" i="39" s="1"/>
  <c r="AG3" i="39" s="1"/>
  <c r="AH3" i="39" s="1"/>
  <c r="AI3" i="39" s="1"/>
  <c r="AJ3" i="39" s="1"/>
  <c r="AK3" i="39" s="1"/>
  <c r="AL3" i="39" s="1"/>
  <c r="AM3" i="39" s="1"/>
  <c r="AN3" i="39" s="1"/>
  <c r="AO3" i="39" s="1"/>
  <c r="AP3" i="39" s="1"/>
  <c r="B7" i="38"/>
  <c r="B7" i="23" s="1"/>
  <c r="C7" i="23" s="1"/>
  <c r="D7" i="23" s="1"/>
  <c r="E7" i="23" s="1"/>
  <c r="F7" i="23" s="1"/>
  <c r="G7" i="23" s="1"/>
  <c r="H7" i="23" s="1"/>
  <c r="I7" i="23" s="1"/>
  <c r="J7" i="23" s="1"/>
  <c r="K7" i="23" s="1"/>
  <c r="B6" i="38"/>
  <c r="B6" i="23" s="1"/>
  <c r="C6" i="23" s="1"/>
  <c r="D6" i="23" s="1"/>
  <c r="E6" i="23" s="1"/>
  <c r="F6" i="23" s="1"/>
  <c r="G6" i="23" s="1"/>
  <c r="H6" i="23" s="1"/>
  <c r="I6" i="23" s="1"/>
  <c r="J6" i="23" s="1"/>
  <c r="K6" i="23" s="1"/>
  <c r="B5" i="38"/>
  <c r="B5" i="23" s="1"/>
  <c r="C5" i="23" s="1"/>
  <c r="D5" i="23" s="1"/>
  <c r="E5" i="23" s="1"/>
  <c r="F5" i="23" s="1"/>
  <c r="G5" i="23" s="1"/>
  <c r="H5" i="23" s="1"/>
  <c r="I5" i="23" s="1"/>
  <c r="J5" i="23" s="1"/>
  <c r="K5" i="23" s="1"/>
  <c r="B4" i="38"/>
  <c r="B4" i="23" s="1"/>
  <c r="C4" i="23" s="1"/>
  <c r="D4" i="23" s="1"/>
  <c r="E4" i="23" s="1"/>
  <c r="F4" i="23" s="1"/>
  <c r="G4" i="23" s="1"/>
  <c r="H4" i="23" s="1"/>
  <c r="I4" i="23" s="1"/>
  <c r="J4" i="23" s="1"/>
  <c r="K4" i="23" s="1"/>
  <c r="B3" i="38"/>
  <c r="B3" i="23" s="1"/>
  <c r="C3" i="23" s="1"/>
  <c r="D3" i="23" s="1"/>
  <c r="E3" i="23" s="1"/>
  <c r="F3" i="23" s="1"/>
  <c r="G3" i="23" s="1"/>
  <c r="H3" i="23" s="1"/>
  <c r="I3" i="23" s="1"/>
  <c r="J3" i="23" s="1"/>
  <c r="K3" i="23" s="1"/>
  <c r="B2" i="38"/>
  <c r="B2" i="23" s="1"/>
  <c r="C2" i="23" s="1"/>
  <c r="D2" i="23" s="1"/>
  <c r="E2" i="23" s="1"/>
  <c r="F2" i="23" s="1"/>
  <c r="G2" i="23" s="1"/>
  <c r="H2" i="23" s="1"/>
  <c r="I2" i="23" s="1"/>
  <c r="J2" i="23" s="1"/>
  <c r="K2" i="23" s="1"/>
  <c r="J54" i="18"/>
  <c r="K54" i="18"/>
  <c r="L54" i="18"/>
  <c r="M54" i="18"/>
  <c r="N54" i="18"/>
  <c r="O54" i="18"/>
  <c r="P54" i="18"/>
  <c r="Q54" i="18"/>
  <c r="R54" i="18"/>
  <c r="S54" i="18"/>
  <c r="I46" i="18"/>
  <c r="H46" i="18"/>
  <c r="E78" i="8"/>
  <c r="E77" i="8"/>
  <c r="E76" i="8"/>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C69" i="8"/>
  <c r="C70" i="8"/>
  <c r="C71" i="8"/>
  <c r="C72" i="8"/>
  <c r="C73" i="8"/>
  <c r="C74" i="8"/>
  <c r="C75" i="8"/>
  <c r="C76" i="8"/>
  <c r="C77" i="8"/>
  <c r="C78" i="8"/>
  <c r="C55" i="8"/>
  <c r="C56" i="8"/>
  <c r="C57" i="8"/>
  <c r="C58" i="8"/>
  <c r="C59" i="8"/>
  <c r="C60" i="8"/>
  <c r="C61" i="8"/>
  <c r="C62" i="8"/>
  <c r="C63" i="8"/>
  <c r="C64" i="8"/>
  <c r="C65" i="8"/>
  <c r="C66" i="8"/>
  <c r="C67" i="8"/>
  <c r="C68" i="8"/>
  <c r="C49" i="8"/>
  <c r="C50" i="8"/>
  <c r="C51" i="8"/>
  <c r="C52" i="8"/>
  <c r="C53" i="8"/>
  <c r="C54" i="8"/>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142" i="6"/>
  <c r="D8" i="6"/>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8"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159" i="5"/>
  <c r="C44" i="8"/>
  <c r="C45" i="8"/>
  <c r="C46" i="8"/>
  <c r="C47" i="8"/>
  <c r="C48" i="8"/>
  <c r="C37" i="8"/>
  <c r="C38" i="8"/>
  <c r="C39" i="8"/>
  <c r="C40" i="8"/>
  <c r="C41" i="8"/>
  <c r="C42" i="8"/>
  <c r="C43" i="8"/>
  <c r="C31" i="8"/>
  <c r="C32" i="8"/>
  <c r="C33" i="8"/>
  <c r="C34" i="8"/>
  <c r="C35" i="8"/>
  <c r="C36" i="8"/>
  <c r="C20" i="8"/>
  <c r="C21" i="8"/>
  <c r="C22" i="8"/>
  <c r="C23" i="8"/>
  <c r="C24" i="8"/>
  <c r="C25" i="8"/>
  <c r="C26" i="8"/>
  <c r="C27" i="8"/>
  <c r="C28" i="8"/>
  <c r="C29" i="8"/>
  <c r="C30" i="8"/>
  <c r="C6" i="8"/>
  <c r="C7" i="8"/>
  <c r="C8" i="8"/>
  <c r="C9" i="8"/>
  <c r="C10" i="8"/>
  <c r="C11" i="8"/>
  <c r="C12" i="8"/>
  <c r="C13" i="8"/>
  <c r="C14" i="8"/>
  <c r="C15" i="8"/>
  <c r="C16" i="8"/>
  <c r="C17" i="8"/>
  <c r="C18" i="8"/>
  <c r="C19" i="8"/>
  <c r="C5" i="8"/>
  <c r="C4" i="8"/>
  <c r="C3" i="8"/>
  <c r="D50" i="46" l="1"/>
  <c r="D52" i="46" s="1"/>
  <c r="D53" i="46" s="1"/>
  <c r="E54" i="55"/>
  <c r="F50" i="55" s="1"/>
  <c r="F52" i="55" s="1"/>
  <c r="F53" i="55" s="1"/>
  <c r="E45" i="55"/>
  <c r="E46" i="55" s="1"/>
  <c r="R3" i="2"/>
  <c r="R4" i="2" s="1"/>
  <c r="R5" i="2" s="1"/>
  <c r="C3" i="53"/>
  <c r="Q3" i="2"/>
  <c r="Q4" i="2" s="1"/>
  <c r="Q5" i="2" s="1"/>
  <c r="D47" i="46"/>
  <c r="E43" i="46" s="1"/>
  <c r="E45" i="46" s="1"/>
  <c r="E46" i="46" s="1"/>
  <c r="E47" i="46" s="1"/>
  <c r="F43" i="46" s="1"/>
  <c r="F7" i="43"/>
  <c r="C4" i="43"/>
  <c r="E7" i="43" s="1"/>
  <c r="D6" i="45"/>
  <c r="E6" i="45"/>
  <c r="O96" i="8"/>
  <c r="P60" i="8"/>
  <c r="P100" i="8"/>
  <c r="O85" i="8"/>
  <c r="P101" i="8"/>
  <c r="P18" i="8"/>
  <c r="P84" i="8"/>
  <c r="O19" i="8"/>
  <c r="O37" i="8"/>
  <c r="O55" i="8"/>
  <c r="O73" i="8"/>
  <c r="O91" i="8"/>
  <c r="P7" i="8"/>
  <c r="P13" i="8"/>
  <c r="P19" i="8"/>
  <c r="P25" i="8"/>
  <c r="P31" i="8"/>
  <c r="P37" i="8"/>
  <c r="P43" i="8"/>
  <c r="P49" i="8"/>
  <c r="P55" i="8"/>
  <c r="P61" i="8"/>
  <c r="P67" i="8"/>
  <c r="P73" i="8"/>
  <c r="P79" i="8"/>
  <c r="P85" i="8"/>
  <c r="P91" i="8"/>
  <c r="P97" i="8"/>
  <c r="P42" i="8"/>
  <c r="O13" i="8"/>
  <c r="O31" i="8"/>
  <c r="O49" i="8"/>
  <c r="O67" i="8"/>
  <c r="O79" i="8"/>
  <c r="O97" i="8"/>
  <c r="O8" i="8"/>
  <c r="O14" i="8"/>
  <c r="O20" i="8"/>
  <c r="O26" i="8"/>
  <c r="O32" i="8"/>
  <c r="O38" i="8"/>
  <c r="O44" i="8"/>
  <c r="O50" i="8"/>
  <c r="O56" i="8"/>
  <c r="O62" i="8"/>
  <c r="O68" i="8"/>
  <c r="O74" i="8"/>
  <c r="O80" i="8"/>
  <c r="O86" i="8"/>
  <c r="O92" i="8"/>
  <c r="O98" i="8"/>
  <c r="P6" i="8"/>
  <c r="P72" i="8"/>
  <c r="P14" i="8"/>
  <c r="P32" i="8"/>
  <c r="P56" i="8"/>
  <c r="Q56" i="8" s="1"/>
  <c r="P80" i="8"/>
  <c r="P12" i="8"/>
  <c r="P78" i="8"/>
  <c r="P8" i="8"/>
  <c r="P38" i="8"/>
  <c r="Q38" i="8" s="1"/>
  <c r="P50" i="8"/>
  <c r="P68" i="8"/>
  <c r="P92" i="8"/>
  <c r="Q92" i="8" s="1"/>
  <c r="O3" i="8"/>
  <c r="O9" i="8"/>
  <c r="O15" i="8"/>
  <c r="O21" i="8"/>
  <c r="O27" i="8"/>
  <c r="O33" i="8"/>
  <c r="O39" i="8"/>
  <c r="O45" i="8"/>
  <c r="O51" i="8"/>
  <c r="O57" i="8"/>
  <c r="O63" i="8"/>
  <c r="O69" i="8"/>
  <c r="O75" i="8"/>
  <c r="O81" i="8"/>
  <c r="O87" i="8"/>
  <c r="O93" i="8"/>
  <c r="O99" i="8"/>
  <c r="F40" i="2"/>
  <c r="L40" i="2" s="1"/>
  <c r="P48" i="8"/>
  <c r="P26" i="8"/>
  <c r="P44" i="8"/>
  <c r="P62" i="8"/>
  <c r="P74" i="8"/>
  <c r="Q74" i="8" s="1"/>
  <c r="P86" i="8"/>
  <c r="Q86" i="8" s="1"/>
  <c r="P98" i="8"/>
  <c r="P3" i="8"/>
  <c r="P9" i="8"/>
  <c r="P15" i="8"/>
  <c r="P21" i="8"/>
  <c r="P27" i="8"/>
  <c r="P33" i="8"/>
  <c r="P39" i="8"/>
  <c r="P45" i="8"/>
  <c r="P51" i="8"/>
  <c r="P57" i="8"/>
  <c r="P63" i="8"/>
  <c r="P69" i="8"/>
  <c r="P75" i="8"/>
  <c r="P81" i="8"/>
  <c r="P87" i="8"/>
  <c r="Q87" i="8" s="1"/>
  <c r="P93" i="8"/>
  <c r="P99" i="8"/>
  <c r="P54" i="8"/>
  <c r="O10" i="8"/>
  <c r="O34" i="8"/>
  <c r="O52" i="8"/>
  <c r="O70" i="8"/>
  <c r="Q70" i="8" s="1"/>
  <c r="O94" i="8"/>
  <c r="P36" i="8"/>
  <c r="O4" i="8"/>
  <c r="O22" i="8"/>
  <c r="O40" i="8"/>
  <c r="O46" i="8"/>
  <c r="O64" i="8"/>
  <c r="O76" i="8"/>
  <c r="O82" i="8"/>
  <c r="O88" i="8"/>
  <c r="O100" i="8"/>
  <c r="P4" i="8"/>
  <c r="P10" i="8"/>
  <c r="Q10" i="8" s="1"/>
  <c r="P16" i="8"/>
  <c r="P22" i="8"/>
  <c r="P28" i="8"/>
  <c r="P34" i="8"/>
  <c r="P40" i="8"/>
  <c r="P46" i="8"/>
  <c r="P52" i="8"/>
  <c r="P58" i="8"/>
  <c r="P64" i="8"/>
  <c r="P70" i="8"/>
  <c r="P76" i="8"/>
  <c r="P82" i="8"/>
  <c r="Q82" i="8" s="1"/>
  <c r="P88" i="8"/>
  <c r="Q88" i="8" s="1"/>
  <c r="P94" i="8"/>
  <c r="P30" i="8"/>
  <c r="P90" i="8"/>
  <c r="O16" i="8"/>
  <c r="O28" i="8"/>
  <c r="O58" i="8"/>
  <c r="O5" i="8"/>
  <c r="O11" i="8"/>
  <c r="O17" i="8"/>
  <c r="O23" i="8"/>
  <c r="O29" i="8"/>
  <c r="O35" i="8"/>
  <c r="O41" i="8"/>
  <c r="O47" i="8"/>
  <c r="O53" i="8"/>
  <c r="O59" i="8"/>
  <c r="O65" i="8"/>
  <c r="O71" i="8"/>
  <c r="O77" i="8"/>
  <c r="O83" i="8"/>
  <c r="O89" i="8"/>
  <c r="O95" i="8"/>
  <c r="O101" i="8"/>
  <c r="P66" i="8"/>
  <c r="P20" i="8"/>
  <c r="Q20" i="8" s="1"/>
  <c r="P5" i="8"/>
  <c r="P11" i="8"/>
  <c r="Q11" i="8" s="1"/>
  <c r="P17" i="8"/>
  <c r="P23" i="8"/>
  <c r="P29" i="8"/>
  <c r="Q29" i="8" s="1"/>
  <c r="P35" i="8"/>
  <c r="P41" i="8"/>
  <c r="P47" i="8"/>
  <c r="Q47" i="8" s="1"/>
  <c r="P53" i="8"/>
  <c r="P59" i="8"/>
  <c r="P65" i="8"/>
  <c r="Q65" i="8" s="1"/>
  <c r="P71" i="8"/>
  <c r="P77" i="8"/>
  <c r="P83" i="8"/>
  <c r="Q83" i="8" s="1"/>
  <c r="P89" i="8"/>
  <c r="P95" i="8"/>
  <c r="P24" i="8"/>
  <c r="P96" i="8"/>
  <c r="O6" i="8"/>
  <c r="O12" i="8"/>
  <c r="O18" i="8"/>
  <c r="O24" i="8"/>
  <c r="O30" i="8"/>
  <c r="O36" i="8"/>
  <c r="Q36" i="8" s="1"/>
  <c r="O42" i="8"/>
  <c r="O48" i="8"/>
  <c r="O54" i="8"/>
  <c r="O60" i="8"/>
  <c r="O66" i="8"/>
  <c r="O72" i="8"/>
  <c r="O78" i="8"/>
  <c r="O84" i="8"/>
  <c r="Q84" i="8" s="1"/>
  <c r="O90" i="8"/>
  <c r="O7" i="8"/>
  <c r="O25" i="8"/>
  <c r="O43" i="8"/>
  <c r="O61" i="8"/>
  <c r="F48" i="2"/>
  <c r="L48" i="2" s="1"/>
  <c r="F41" i="2"/>
  <c r="L41" i="2" s="1"/>
  <c r="F45" i="2"/>
  <c r="L45" i="2" s="1"/>
  <c r="F46" i="2"/>
  <c r="L46" i="2" s="1"/>
  <c r="F39" i="2"/>
  <c r="L39" i="2" s="1"/>
  <c r="F47" i="2"/>
  <c r="L47" i="2" s="1"/>
  <c r="F42" i="2"/>
  <c r="L42" i="2" s="1"/>
  <c r="F43" i="2"/>
  <c r="L43" i="2" s="1"/>
  <c r="F44" i="2"/>
  <c r="L44" i="2" s="1"/>
  <c r="D54" i="46" l="1"/>
  <c r="E50" i="46" s="1"/>
  <c r="F54" i="55"/>
  <c r="G50" i="55" s="1"/>
  <c r="E47" i="55"/>
  <c r="F43" i="55" s="1"/>
  <c r="Q3" i="8"/>
  <c r="Q6" i="8"/>
  <c r="Q8" i="8"/>
  <c r="Q27" i="8"/>
  <c r="R6" i="2"/>
  <c r="Q6" i="2"/>
  <c r="O3" i="2"/>
  <c r="H3" i="53"/>
  <c r="P3" i="2"/>
  <c r="F45" i="46"/>
  <c r="F46" i="46" s="1"/>
  <c r="Q23" i="8"/>
  <c r="Q57" i="8"/>
  <c r="Q7" i="8"/>
  <c r="Q78" i="8"/>
  <c r="Q30" i="8"/>
  <c r="Q31" i="8"/>
  <c r="Q95" i="8"/>
  <c r="Q43" i="8"/>
  <c r="Q50" i="8"/>
  <c r="Q63" i="8"/>
  <c r="Q15" i="8"/>
  <c r="Q26" i="8"/>
  <c r="Q73" i="8"/>
  <c r="Q60" i="8"/>
  <c r="Q80" i="8"/>
  <c r="Q12" i="8"/>
  <c r="Q100" i="8"/>
  <c r="Q54" i="8"/>
  <c r="Q81" i="8"/>
  <c r="Q4" i="8"/>
  <c r="Q41" i="8"/>
  <c r="Q75" i="8"/>
  <c r="Q18" i="8"/>
  <c r="Q46" i="8"/>
  <c r="Q37" i="8"/>
  <c r="Q52" i="8"/>
  <c r="Q45" i="8"/>
  <c r="Q33" i="8"/>
  <c r="Q89" i="8"/>
  <c r="Q62" i="8"/>
  <c r="Q71" i="8"/>
  <c r="Q58" i="8"/>
  <c r="Q39" i="8"/>
  <c r="Q67" i="8"/>
  <c r="Q72" i="8"/>
  <c r="Q96" i="8"/>
  <c r="Q35" i="8"/>
  <c r="Q66" i="8"/>
  <c r="Q79" i="8"/>
  <c r="Q69" i="8"/>
  <c r="Q16" i="8"/>
  <c r="E7" i="45"/>
  <c r="Q34" i="8"/>
  <c r="Q42" i="8"/>
  <c r="Q77" i="8"/>
  <c r="Q5" i="8"/>
  <c r="Q13" i="8"/>
  <c r="D7" i="45"/>
  <c r="Q32" i="8"/>
  <c r="Q19" i="8"/>
  <c r="Q53" i="8"/>
  <c r="Q90" i="8"/>
  <c r="Q93" i="8"/>
  <c r="Q99" i="8"/>
  <c r="Q55" i="8"/>
  <c r="Q14" i="8"/>
  <c r="Q64" i="8"/>
  <c r="Q94" i="8"/>
  <c r="Q44" i="8"/>
  <c r="Q98" i="8"/>
  <c r="Q48" i="8"/>
  <c r="Q40" i="8"/>
  <c r="Q68" i="8"/>
  <c r="Q61" i="8"/>
  <c r="Q28" i="8"/>
  <c r="Q22" i="8"/>
  <c r="Q9" i="8"/>
  <c r="Q59" i="8"/>
  <c r="Q21" i="8"/>
  <c r="Q97" i="8"/>
  <c r="Q91" i="8"/>
  <c r="Q85" i="8"/>
  <c r="Q17" i="8"/>
  <c r="Q76" i="8"/>
  <c r="Q51" i="8"/>
  <c r="Q24" i="8"/>
  <c r="Q101" i="8"/>
  <c r="T11" i="8" s="1"/>
  <c r="Q49" i="8"/>
  <c r="Q25" i="8"/>
  <c r="T3" i="8" l="1"/>
  <c r="D3" i="8" s="1"/>
  <c r="E52" i="46"/>
  <c r="E53" i="46" s="1"/>
  <c r="P4" i="2"/>
  <c r="P5" i="2" s="1"/>
  <c r="P6" i="2" s="1"/>
  <c r="P7" i="2" s="1"/>
  <c r="G52" i="55"/>
  <c r="G53" i="55" s="1"/>
  <c r="F45" i="55"/>
  <c r="F46" i="55" s="1"/>
  <c r="T10" i="8"/>
  <c r="D39" i="8" s="1"/>
  <c r="R7" i="2"/>
  <c r="O4" i="2"/>
  <c r="O5" i="2" s="1"/>
  <c r="O6" i="2" s="1"/>
  <c r="O7" i="2" s="1"/>
  <c r="Q7" i="2"/>
  <c r="T5" i="8"/>
  <c r="D13" i="8" s="1"/>
  <c r="T7" i="8"/>
  <c r="D24" i="8" s="1"/>
  <c r="T4" i="8"/>
  <c r="D11" i="8" s="1"/>
  <c r="H4" i="53"/>
  <c r="O18" i="53" a="1"/>
  <c r="O18" i="53" s="1"/>
  <c r="G3" i="53"/>
  <c r="F47" i="46"/>
  <c r="G43" i="46" s="1"/>
  <c r="T6" i="8"/>
  <c r="D20" i="8" s="1"/>
  <c r="T8" i="8"/>
  <c r="D32" i="8" s="1"/>
  <c r="T9" i="8"/>
  <c r="D37" i="8" s="1"/>
  <c r="E8" i="45"/>
  <c r="D8" i="45"/>
  <c r="D70" i="8"/>
  <c r="D71" i="8"/>
  <c r="D75" i="8"/>
  <c r="D74" i="8"/>
  <c r="D78" i="8"/>
  <c r="D76" i="8"/>
  <c r="D72" i="8"/>
  <c r="D77" i="8"/>
  <c r="D73" i="8"/>
  <c r="D69" i="8"/>
  <c r="D57" i="8"/>
  <c r="D61" i="8"/>
  <c r="D68" i="8"/>
  <c r="D60" i="8"/>
  <c r="D66" i="8"/>
  <c r="D64" i="8"/>
  <c r="D62" i="8"/>
  <c r="D56" i="8"/>
  <c r="D58" i="8"/>
  <c r="D67" i="8"/>
  <c r="D63" i="8"/>
  <c r="D65" i="8"/>
  <c r="D59" i="8"/>
  <c r="D55" i="8"/>
  <c r="D51" i="8"/>
  <c r="D54" i="8"/>
  <c r="D49" i="8"/>
  <c r="D50" i="8"/>
  <c r="D52" i="8"/>
  <c r="D53" i="8"/>
  <c r="D48" i="8"/>
  <c r="D47" i="8"/>
  <c r="D46" i="8"/>
  <c r="D45" i="8"/>
  <c r="D44" i="8"/>
  <c r="D43" i="8"/>
  <c r="D5" i="8" l="1"/>
  <c r="D7" i="8"/>
  <c r="D4" i="8"/>
  <c r="E4" i="8" s="1"/>
  <c r="D6" i="8"/>
  <c r="E54" i="46"/>
  <c r="F50" i="46" s="1"/>
  <c r="F47" i="55"/>
  <c r="G43" i="55" s="1"/>
  <c r="G54" i="55"/>
  <c r="H50" i="55" s="1"/>
  <c r="D40" i="8"/>
  <c r="D42" i="8"/>
  <c r="D41" i="8"/>
  <c r="D38" i="8"/>
  <c r="P8" i="2"/>
  <c r="Q8" i="2"/>
  <c r="O8" i="2"/>
  <c r="R8" i="2"/>
  <c r="E5" i="8"/>
  <c r="D8" i="8"/>
  <c r="D12" i="8"/>
  <c r="D9" i="8"/>
  <c r="D10" i="8"/>
  <c r="D15" i="8"/>
  <c r="D14" i="8"/>
  <c r="D35" i="8"/>
  <c r="D25" i="8"/>
  <c r="D26" i="8"/>
  <c r="D16" i="8"/>
  <c r="D27" i="8"/>
  <c r="G4" i="53"/>
  <c r="N18" i="53" a="1"/>
  <c r="N18" i="53" s="1"/>
  <c r="Q18" i="53" s="1"/>
  <c r="D23" i="8"/>
  <c r="H5" i="53"/>
  <c r="O17" i="53" a="1"/>
  <c r="O17" i="53" s="1"/>
  <c r="D17" i="8"/>
  <c r="D36" i="8"/>
  <c r="D18" i="8"/>
  <c r="D19" i="8"/>
  <c r="D21" i="8"/>
  <c r="D22" i="8"/>
  <c r="G45" i="46"/>
  <c r="G46" i="46" s="1"/>
  <c r="D31" i="8"/>
  <c r="D28" i="8"/>
  <c r="D30" i="8"/>
  <c r="D33" i="8"/>
  <c r="D34" i="8"/>
  <c r="D29" i="8"/>
  <c r="D9" i="45"/>
  <c r="E9" i="45"/>
  <c r="F52" i="46" l="1"/>
  <c r="F53" i="46" s="1"/>
  <c r="F54" i="46"/>
  <c r="G50" i="46" s="1"/>
  <c r="P9" i="2"/>
  <c r="H52" i="55"/>
  <c r="H53" i="55" s="1"/>
  <c r="G45" i="55"/>
  <c r="G46" i="55" s="1"/>
  <c r="R9" i="2"/>
  <c r="O9" i="2"/>
  <c r="Q9" i="2"/>
  <c r="H6" i="53"/>
  <c r="O16" i="53" a="1"/>
  <c r="O16" i="53" s="1"/>
  <c r="G5" i="53"/>
  <c r="N17" i="53" a="1"/>
  <c r="N17" i="53" s="1"/>
  <c r="Q17" i="53" s="1"/>
  <c r="G47" i="46"/>
  <c r="H43" i="46" s="1"/>
  <c r="E10" i="45"/>
  <c r="D10" i="45"/>
  <c r="E6" i="8"/>
  <c r="E7" i="8" s="1"/>
  <c r="G52" i="46" l="1"/>
  <c r="G53" i="46" s="1"/>
  <c r="G54" i="46"/>
  <c r="H50" i="46" s="1"/>
  <c r="P10" i="2"/>
  <c r="G47" i="55"/>
  <c r="H43" i="55" s="1"/>
  <c r="H54" i="55"/>
  <c r="I50" i="55" s="1"/>
  <c r="Q10" i="2"/>
  <c r="O10" i="2"/>
  <c r="R10" i="2"/>
  <c r="H7" i="53"/>
  <c r="O15" i="53" a="1"/>
  <c r="O15" i="53" s="1"/>
  <c r="G6" i="53"/>
  <c r="N16" i="53" a="1"/>
  <c r="N16" i="53" s="1"/>
  <c r="Q16" i="53" s="1"/>
  <c r="H45" i="46"/>
  <c r="H46" i="46" s="1"/>
  <c r="D11" i="45"/>
  <c r="E11" i="45"/>
  <c r="E8" i="8"/>
  <c r="E9" i="8" s="1"/>
  <c r="H52" i="46" l="1"/>
  <c r="H53" i="46" s="1"/>
  <c r="P11" i="2"/>
  <c r="I52" i="55"/>
  <c r="I53" i="55" s="1"/>
  <c r="H45" i="55"/>
  <c r="H46" i="55" s="1"/>
  <c r="Q11" i="2"/>
  <c r="R11" i="2"/>
  <c r="O11" i="2"/>
  <c r="H8" i="53"/>
  <c r="O14" i="53" a="1"/>
  <c r="O14" i="53" s="1"/>
  <c r="G7" i="53"/>
  <c r="N15" i="53" a="1"/>
  <c r="N15" i="53" s="1"/>
  <c r="Q15" i="53" s="1"/>
  <c r="H47" i="46"/>
  <c r="I43" i="46" s="1"/>
  <c r="E12" i="45"/>
  <c r="D12" i="45"/>
  <c r="E10" i="8"/>
  <c r="E11" i="8" s="1"/>
  <c r="H54" i="46" l="1"/>
  <c r="I50" i="46" s="1"/>
  <c r="I52" i="46"/>
  <c r="I53" i="46" s="1"/>
  <c r="I54" i="46" s="1"/>
  <c r="J50" i="46" s="1"/>
  <c r="J52" i="46" s="1"/>
  <c r="J53" i="46" s="1"/>
  <c r="P12" i="2"/>
  <c r="H47" i="55"/>
  <c r="I43" i="55" s="1"/>
  <c r="I54" i="55"/>
  <c r="J50" i="55" s="1"/>
  <c r="Q12" i="2"/>
  <c r="O12" i="2"/>
  <c r="R12" i="2"/>
  <c r="H9" i="53"/>
  <c r="O13" i="53" a="1"/>
  <c r="O13" i="53" s="1"/>
  <c r="G8" i="53"/>
  <c r="N14" i="53" a="1"/>
  <c r="N14" i="53" s="1"/>
  <c r="Q14" i="53" s="1"/>
  <c r="I45" i="46"/>
  <c r="I46" i="46" s="1"/>
  <c r="D13" i="45"/>
  <c r="E13" i="45"/>
  <c r="E12" i="8"/>
  <c r="J54" i="46" l="1"/>
  <c r="K50" i="46" s="1"/>
  <c r="K52" i="46" s="1"/>
  <c r="K53" i="46" s="1"/>
  <c r="P13" i="2"/>
  <c r="J52" i="55"/>
  <c r="J53" i="55" s="1"/>
  <c r="I45" i="55"/>
  <c r="I46" i="55" s="1"/>
  <c r="Q13" i="2"/>
  <c r="R13" i="2"/>
  <c r="O13" i="2"/>
  <c r="H10" i="53"/>
  <c r="O12" i="53" a="1"/>
  <c r="O12" i="53" s="1"/>
  <c r="G9" i="53"/>
  <c r="N13" i="53" a="1"/>
  <c r="N13" i="53" s="1"/>
  <c r="Q13" i="53" s="1"/>
  <c r="I47" i="46"/>
  <c r="J43" i="46" s="1"/>
  <c r="E14" i="45"/>
  <c r="D14" i="45"/>
  <c r="E13" i="8"/>
  <c r="K54" i="46" l="1"/>
  <c r="L50" i="46" s="1"/>
  <c r="P14" i="2"/>
  <c r="I47" i="55"/>
  <c r="J43" i="55" s="1"/>
  <c r="J54" i="55"/>
  <c r="K50" i="55" s="1"/>
  <c r="Q14" i="2"/>
  <c r="O14" i="2"/>
  <c r="R14" i="2"/>
  <c r="L52" i="46"/>
  <c r="L53" i="46" s="1"/>
  <c r="H11" i="53"/>
  <c r="O11" i="53" a="1"/>
  <c r="O11" i="53" s="1"/>
  <c r="G10" i="53"/>
  <c r="N12" i="53" a="1"/>
  <c r="N12" i="53" s="1"/>
  <c r="Q12" i="53" s="1"/>
  <c r="J45" i="46"/>
  <c r="J46" i="46" s="1"/>
  <c r="E15" i="45"/>
  <c r="D15" i="45"/>
  <c r="E14" i="8"/>
  <c r="P15" i="2" l="1"/>
  <c r="Q15" i="2"/>
  <c r="K52" i="55"/>
  <c r="K53" i="55" s="1"/>
  <c r="J45" i="55"/>
  <c r="J46" i="55" s="1"/>
  <c r="R15" i="2"/>
  <c r="O15" i="2"/>
  <c r="L54" i="46"/>
  <c r="M50" i="46" s="1"/>
  <c r="M52" i="46" s="1"/>
  <c r="M53" i="46" s="1"/>
  <c r="H12" i="53"/>
  <c r="O10" i="53" a="1"/>
  <c r="O10" i="53" s="1"/>
  <c r="G11" i="53"/>
  <c r="N11" i="53" a="1"/>
  <c r="N11" i="53" s="1"/>
  <c r="Q11" i="53" s="1"/>
  <c r="J47" i="46"/>
  <c r="K43" i="46" s="1"/>
  <c r="K45" i="46" s="1"/>
  <c r="E16" i="45"/>
  <c r="D16" i="45"/>
  <c r="E15" i="8"/>
  <c r="E16" i="8" s="1"/>
  <c r="P16" i="2" l="1"/>
  <c r="Q16" i="2"/>
  <c r="J47" i="55"/>
  <c r="K43" i="55" s="1"/>
  <c r="K54" i="55"/>
  <c r="L50" i="55" s="1"/>
  <c r="O16" i="2"/>
  <c r="R16" i="2"/>
  <c r="M54" i="46"/>
  <c r="N50" i="46" s="1"/>
  <c r="N52" i="46" s="1"/>
  <c r="N53" i="46" s="1"/>
  <c r="H13" i="53"/>
  <c r="O9" i="53" a="1"/>
  <c r="O9" i="53" s="1"/>
  <c r="G12" i="53"/>
  <c r="N10" i="53" a="1"/>
  <c r="N10" i="53" s="1"/>
  <c r="Q10" i="53" s="1"/>
  <c r="K46" i="46"/>
  <c r="K47" i="46" s="1"/>
  <c r="L43" i="46" s="1"/>
  <c r="L45" i="46" s="1"/>
  <c r="L46" i="46" s="1"/>
  <c r="D17" i="45"/>
  <c r="E17" i="45"/>
  <c r="E17" i="8"/>
  <c r="P17" i="2" l="1"/>
  <c r="Q17" i="2"/>
  <c r="L52" i="55"/>
  <c r="L53" i="55" s="1"/>
  <c r="K45" i="55"/>
  <c r="K46" i="55" s="1"/>
  <c r="O17" i="2"/>
  <c r="R17" i="2"/>
  <c r="N54" i="46"/>
  <c r="O50" i="46" s="1"/>
  <c r="H14" i="53"/>
  <c r="O8" i="53" a="1"/>
  <c r="O8" i="53" s="1"/>
  <c r="G13" i="53"/>
  <c r="N9" i="53" a="1"/>
  <c r="N9" i="53" s="1"/>
  <c r="Q9" i="53" s="1"/>
  <c r="E18" i="8"/>
  <c r="E19" i="8" s="1"/>
  <c r="L47" i="46"/>
  <c r="M43" i="46" s="1"/>
  <c r="D18" i="45"/>
  <c r="E18" i="45"/>
  <c r="P18" i="2" l="1"/>
  <c r="Q18" i="2"/>
  <c r="K47" i="55"/>
  <c r="L43" i="55" s="1"/>
  <c r="L54" i="55"/>
  <c r="M50" i="55" s="1"/>
  <c r="R18" i="2"/>
  <c r="O18" i="2"/>
  <c r="O52" i="46"/>
  <c r="O53" i="46" s="1"/>
  <c r="H15" i="53"/>
  <c r="O7" i="53" a="1"/>
  <c r="O7" i="53" s="1"/>
  <c r="G14" i="53"/>
  <c r="N8" i="53" a="1"/>
  <c r="N8" i="53" s="1"/>
  <c r="Q8" i="53" s="1"/>
  <c r="M45" i="46"/>
  <c r="M46" i="46" s="1"/>
  <c r="E19" i="45"/>
  <c r="D19" i="45"/>
  <c r="E20" i="8"/>
  <c r="P19" i="2" l="1"/>
  <c r="Q19" i="2"/>
  <c r="M52" i="55"/>
  <c r="M53" i="55" s="1"/>
  <c r="L45" i="55"/>
  <c r="L46" i="55" s="1"/>
  <c r="O19" i="2"/>
  <c r="R19" i="2"/>
  <c r="O54" i="46"/>
  <c r="P50" i="46" s="1"/>
  <c r="G15" i="53"/>
  <c r="N7" i="53" a="1"/>
  <c r="N7" i="53" s="1"/>
  <c r="Q7" i="53" s="1"/>
  <c r="H16" i="53"/>
  <c r="O6" i="53" a="1"/>
  <c r="O6" i="53" s="1"/>
  <c r="M47" i="46"/>
  <c r="N43" i="46" s="1"/>
  <c r="D20" i="45"/>
  <c r="E20" i="45"/>
  <c r="E21" i="8"/>
  <c r="E22" i="8" s="1"/>
  <c r="P20" i="2" l="1"/>
  <c r="Q20" i="2"/>
  <c r="L47" i="55"/>
  <c r="M43" i="55" s="1"/>
  <c r="M54" i="55"/>
  <c r="N50" i="55" s="1"/>
  <c r="R20" i="2"/>
  <c r="O20" i="2"/>
  <c r="P52" i="46"/>
  <c r="P53" i="46" s="1"/>
  <c r="H17" i="53"/>
  <c r="O5" i="53" a="1"/>
  <c r="O5" i="53" s="1"/>
  <c r="G16" i="53"/>
  <c r="N6" i="53" a="1"/>
  <c r="N6" i="53" s="1"/>
  <c r="Q6" i="53" s="1"/>
  <c r="N45" i="46"/>
  <c r="N46" i="46" s="1"/>
  <c r="E21" i="45"/>
  <c r="D21" i="45"/>
  <c r="E23" i="8"/>
  <c r="E24" i="8" s="1"/>
  <c r="P21" i="2" l="1"/>
  <c r="Q21" i="2"/>
  <c r="N52" i="55"/>
  <c r="N53" i="55" s="1"/>
  <c r="M45" i="55"/>
  <c r="M46" i="55" s="1"/>
  <c r="O21" i="2"/>
  <c r="R21" i="2"/>
  <c r="P54" i="46"/>
  <c r="Q50" i="46" s="1"/>
  <c r="Q52" i="46" s="1"/>
  <c r="Q53" i="46" s="1"/>
  <c r="H18" i="53"/>
  <c r="O3" i="53" s="1" a="1"/>
  <c r="O3" i="53" s="1"/>
  <c r="O4" i="53" a="1"/>
  <c r="O4" i="53" s="1"/>
  <c r="G17" i="53"/>
  <c r="N5" i="53" a="1"/>
  <c r="N5" i="53" s="1"/>
  <c r="Q5" i="53" s="1"/>
  <c r="N47" i="46"/>
  <c r="O43" i="46" s="1"/>
  <c r="D22" i="45"/>
  <c r="E22" i="45"/>
  <c r="E25" i="8"/>
  <c r="E26" i="8" s="1"/>
  <c r="Q22" i="2" l="1"/>
  <c r="M47" i="55"/>
  <c r="N43" i="55" s="1"/>
  <c r="N45" i="55" s="1"/>
  <c r="N46" i="55" s="1"/>
  <c r="P22" i="2"/>
  <c r="N54" i="55"/>
  <c r="O50" i="55" s="1"/>
  <c r="R22" i="2"/>
  <c r="O22" i="2"/>
  <c r="Q54" i="46"/>
  <c r="R50" i="46" s="1"/>
  <c r="G18" i="53"/>
  <c r="N3" i="53" s="1" a="1"/>
  <c r="N3" i="53" s="1"/>
  <c r="N4" i="53" a="1"/>
  <c r="N4" i="53" s="1"/>
  <c r="Q4" i="53" s="1"/>
  <c r="O45" i="46"/>
  <c r="O46" i="46" s="1"/>
  <c r="E23" i="45"/>
  <c r="D23" i="45"/>
  <c r="Q23" i="2" l="1"/>
  <c r="P23" i="2"/>
  <c r="Q3" i="53"/>
  <c r="Q21" i="53" s="1"/>
  <c r="E2" i="56" a="1"/>
  <c r="B2" i="55" a="1"/>
  <c r="O52" i="55"/>
  <c r="O53" i="55" s="1"/>
  <c r="N47" i="55"/>
  <c r="O43" i="55" s="1"/>
  <c r="O23" i="2"/>
  <c r="R23" i="2"/>
  <c r="R52" i="46"/>
  <c r="R53" i="46" s="1"/>
  <c r="O47" i="46"/>
  <c r="P43" i="46" s="1"/>
  <c r="P45" i="46" s="1"/>
  <c r="P46" i="46" s="1"/>
  <c r="D24" i="45"/>
  <c r="E24" i="45"/>
  <c r="E27" i="8"/>
  <c r="E28" i="8" s="1"/>
  <c r="Q24" i="2" l="1"/>
  <c r="P24" i="2"/>
  <c r="B2" i="55"/>
  <c r="C4" i="55"/>
  <c r="D4" i="55"/>
  <c r="K4" i="55"/>
  <c r="L4" i="55"/>
  <c r="G4" i="55"/>
  <c r="O4" i="55"/>
  <c r="I4" i="55"/>
  <c r="F4" i="55"/>
  <c r="N4" i="55"/>
  <c r="H4" i="55"/>
  <c r="P4" i="55"/>
  <c r="E4" i="55"/>
  <c r="M4" i="55"/>
  <c r="J4" i="55"/>
  <c r="E2" i="56"/>
  <c r="E3" i="56" s="1"/>
  <c r="N3" i="56"/>
  <c r="M3" i="56"/>
  <c r="K3" i="56"/>
  <c r="H3" i="56"/>
  <c r="F3" i="56"/>
  <c r="S3" i="56"/>
  <c r="P3" i="56"/>
  <c r="O3" i="56"/>
  <c r="G3" i="56"/>
  <c r="L3" i="56"/>
  <c r="J3" i="56"/>
  <c r="R3" i="56"/>
  <c r="I3" i="56"/>
  <c r="Q3" i="56"/>
  <c r="O45" i="55"/>
  <c r="O46" i="55" s="1"/>
  <c r="O54" i="55"/>
  <c r="P50" i="55" s="1"/>
  <c r="R24" i="2"/>
  <c r="O24" i="2"/>
  <c r="R54" i="46"/>
  <c r="S50" i="46" s="1"/>
  <c r="S52" i="46" s="1"/>
  <c r="S53" i="46" s="1"/>
  <c r="P47" i="46"/>
  <c r="Q43" i="46" s="1"/>
  <c r="D25" i="45"/>
  <c r="Q25" i="2" s="1"/>
  <c r="E25" i="45"/>
  <c r="E29" i="8"/>
  <c r="E30" i="8" s="1"/>
  <c r="P25" i="2" l="1"/>
  <c r="M6" i="55"/>
  <c r="M7" i="55" s="1"/>
  <c r="M8" i="55" s="1"/>
  <c r="P4" i="56"/>
  <c r="P5" i="56" s="1"/>
  <c r="P6" i="56" s="1"/>
  <c r="P7" i="56" s="1"/>
  <c r="J4" i="56"/>
  <c r="J5" i="56" s="1"/>
  <c r="J6" i="56" s="1"/>
  <c r="J7" i="56" s="1"/>
  <c r="G6" i="55"/>
  <c r="G7" i="55" s="1"/>
  <c r="G8" i="55" s="1"/>
  <c r="E6" i="55"/>
  <c r="E7" i="55" s="1"/>
  <c r="E8" i="55" s="1"/>
  <c r="H4" i="56"/>
  <c r="H5" i="56" s="1"/>
  <c r="H6" i="56" s="1"/>
  <c r="H7" i="56" s="1"/>
  <c r="L6" i="55"/>
  <c r="L7" i="55" s="1"/>
  <c r="L8" i="55" s="1"/>
  <c r="O4" i="56"/>
  <c r="O5" i="56" s="1"/>
  <c r="O6" i="56" s="1"/>
  <c r="O7" i="56" s="1"/>
  <c r="J6" i="55"/>
  <c r="J7" i="55" s="1"/>
  <c r="J8" i="55" s="1"/>
  <c r="M4" i="56"/>
  <c r="M5" i="56" s="1"/>
  <c r="M6" i="56" s="1"/>
  <c r="M7" i="56" s="1"/>
  <c r="K6" i="55"/>
  <c r="K7" i="55" s="1"/>
  <c r="K8" i="55" s="1"/>
  <c r="N4" i="56"/>
  <c r="N5" i="56" s="1"/>
  <c r="N6" i="56" s="1"/>
  <c r="N7" i="56" s="1"/>
  <c r="H6" i="55"/>
  <c r="H7" i="55" s="1"/>
  <c r="H8" i="55" s="1"/>
  <c r="K4" i="56"/>
  <c r="K5" i="56" s="1"/>
  <c r="K6" i="56" s="1"/>
  <c r="K7" i="56" s="1"/>
  <c r="D6" i="55"/>
  <c r="D7" i="55" s="1"/>
  <c r="D8" i="55" s="1"/>
  <c r="G4" i="56"/>
  <c r="G5" i="56" s="1"/>
  <c r="G6" i="56" s="1"/>
  <c r="G7" i="56" s="1"/>
  <c r="O6" i="55"/>
  <c r="O7" i="55" s="1"/>
  <c r="O8" i="55" s="1"/>
  <c r="R4" i="56"/>
  <c r="R5" i="56" s="1"/>
  <c r="R6" i="56" s="1"/>
  <c r="R7" i="56" s="1"/>
  <c r="N6" i="55"/>
  <c r="N7" i="55" s="1"/>
  <c r="N8" i="55" s="1"/>
  <c r="Q4" i="56"/>
  <c r="Q5" i="56" s="1"/>
  <c r="Q6" i="56" s="1"/>
  <c r="Q7" i="56" s="1"/>
  <c r="C6" i="55"/>
  <c r="C7" i="55" s="1"/>
  <c r="C8" i="55" s="1"/>
  <c r="F4" i="56"/>
  <c r="F5" i="56" s="1"/>
  <c r="F6" i="56" s="1"/>
  <c r="F7" i="56" s="1"/>
  <c r="L4" i="56"/>
  <c r="L5" i="56" s="1"/>
  <c r="L6" i="56" s="1"/>
  <c r="L7" i="56" s="1"/>
  <c r="I6" i="55"/>
  <c r="I7" i="55" s="1"/>
  <c r="I8" i="55" s="1"/>
  <c r="P6" i="55"/>
  <c r="P7" i="55" s="1"/>
  <c r="P8" i="55" s="1"/>
  <c r="S4" i="56"/>
  <c r="S5" i="56" s="1"/>
  <c r="S6" i="56" s="1"/>
  <c r="S7" i="56" s="1"/>
  <c r="F6" i="55"/>
  <c r="F7" i="55" s="1"/>
  <c r="F8" i="55" s="1"/>
  <c r="I4" i="56"/>
  <c r="I5" i="56" s="1"/>
  <c r="I6" i="56" s="1"/>
  <c r="I7" i="56" s="1"/>
  <c r="B6" i="55"/>
  <c r="B4" i="55"/>
  <c r="E4" i="56" s="1"/>
  <c r="E5" i="56" s="1"/>
  <c r="E6" i="56" s="1"/>
  <c r="E7" i="56" s="1"/>
  <c r="P52" i="55"/>
  <c r="P53" i="55" s="1"/>
  <c r="O47" i="55"/>
  <c r="P43" i="55" s="1"/>
  <c r="O25" i="2"/>
  <c r="R25" i="2"/>
  <c r="S54" i="46"/>
  <c r="T50" i="46" s="1"/>
  <c r="T52" i="46" s="1"/>
  <c r="T53" i="46" s="1"/>
  <c r="Q45" i="46"/>
  <c r="Q46" i="46" s="1"/>
  <c r="D26" i="45"/>
  <c r="Q26" i="2" s="1"/>
  <c r="E26" i="45"/>
  <c r="P26" i="2" s="1"/>
  <c r="E31" i="8"/>
  <c r="B7" i="55" l="1"/>
  <c r="B8" i="55" s="1"/>
  <c r="B34" i="55" s="1"/>
  <c r="B36" i="55" s="1"/>
  <c r="B37" i="55" s="1"/>
  <c r="I10" i="56"/>
  <c r="I9" i="56"/>
  <c r="E9" i="56"/>
  <c r="E10" i="56"/>
  <c r="Q9" i="56"/>
  <c r="Q10" i="56"/>
  <c r="N10" i="56"/>
  <c r="N9" i="56"/>
  <c r="F10" i="56"/>
  <c r="F9" i="56"/>
  <c r="R10" i="56"/>
  <c r="R9" i="56"/>
  <c r="M10" i="56"/>
  <c r="M9" i="56"/>
  <c r="S10" i="56"/>
  <c r="S9" i="56"/>
  <c r="J9" i="56"/>
  <c r="J10" i="56"/>
  <c r="G10" i="56"/>
  <c r="G9" i="56"/>
  <c r="H10" i="56"/>
  <c r="H9" i="56"/>
  <c r="L9" i="56"/>
  <c r="L10" i="56"/>
  <c r="O10" i="56"/>
  <c r="O9" i="56"/>
  <c r="P10" i="56"/>
  <c r="P9" i="56"/>
  <c r="K10" i="56"/>
  <c r="K9" i="56"/>
  <c r="P45" i="55"/>
  <c r="P46" i="55" s="1"/>
  <c r="P54" i="55"/>
  <c r="Q50" i="55" s="1"/>
  <c r="R26" i="2"/>
  <c r="O26" i="2"/>
  <c r="T54" i="46"/>
  <c r="U50" i="46" s="1"/>
  <c r="U52" i="46" s="1"/>
  <c r="U53" i="46" s="1"/>
  <c r="E32" i="8"/>
  <c r="E33" i="8" s="1"/>
  <c r="Q47" i="46"/>
  <c r="R43" i="46" s="1"/>
  <c r="D27" i="45"/>
  <c r="Q27" i="2" s="1"/>
  <c r="E27" i="45"/>
  <c r="P27" i="2" s="1"/>
  <c r="P12" i="56" l="1"/>
  <c r="P11" i="56"/>
  <c r="G12" i="56"/>
  <c r="G11" i="56"/>
  <c r="M12" i="56"/>
  <c r="M11" i="56"/>
  <c r="Q12" i="56"/>
  <c r="Q11" i="56"/>
  <c r="J11" i="56"/>
  <c r="J12" i="56"/>
  <c r="E12" i="56"/>
  <c r="E11" i="56"/>
  <c r="H11" i="56"/>
  <c r="H12" i="56"/>
  <c r="N11" i="56"/>
  <c r="N12" i="56"/>
  <c r="O11" i="56"/>
  <c r="O12" i="56"/>
  <c r="B38" i="55"/>
  <c r="C34" i="55" s="1"/>
  <c r="F12" i="56"/>
  <c r="F11" i="56"/>
  <c r="I12" i="56"/>
  <c r="I11" i="56"/>
  <c r="K11" i="56"/>
  <c r="K12" i="56"/>
  <c r="S12" i="56"/>
  <c r="S11" i="56"/>
  <c r="R11" i="56"/>
  <c r="R12" i="56"/>
  <c r="L11" i="56"/>
  <c r="L12" i="56"/>
  <c r="Q52" i="55"/>
  <c r="Q53" i="55" s="1"/>
  <c r="P47" i="55"/>
  <c r="Q43" i="55" s="1"/>
  <c r="O27" i="2"/>
  <c r="R27" i="2"/>
  <c r="U54" i="46"/>
  <c r="V50" i="46" s="1"/>
  <c r="V52" i="46" s="1"/>
  <c r="V53" i="46" s="1"/>
  <c r="E34" i="8"/>
  <c r="E35" i="8" s="1"/>
  <c r="R45" i="46"/>
  <c r="R46" i="46" s="1"/>
  <c r="R47" i="46" s="1"/>
  <c r="S43" i="46" s="1"/>
  <c r="S45" i="46" s="1"/>
  <c r="S46" i="46" s="1"/>
  <c r="E28" i="45"/>
  <c r="P28" i="2" s="1"/>
  <c r="D28" i="45"/>
  <c r="Q28" i="2" s="1"/>
  <c r="E13" i="56" l="1"/>
  <c r="E14" i="56" s="1"/>
  <c r="E16" i="56" s="1"/>
  <c r="E17" i="56" s="1"/>
  <c r="G13" i="56"/>
  <c r="G14" i="56" s="1"/>
  <c r="G16" i="56" s="1"/>
  <c r="G17" i="56" s="1"/>
  <c r="N13" i="56"/>
  <c r="N14" i="56" s="1"/>
  <c r="N16" i="56" s="1"/>
  <c r="N17" i="56" s="1"/>
  <c r="R13" i="56"/>
  <c r="R14" i="56" s="1"/>
  <c r="R16" i="56" s="1"/>
  <c r="R17" i="56" s="1"/>
  <c r="F13" i="56"/>
  <c r="F14" i="56" s="1"/>
  <c r="F16" i="56" s="1"/>
  <c r="F17" i="56" s="1"/>
  <c r="J13" i="56"/>
  <c r="J14" i="56" s="1"/>
  <c r="J16" i="56" s="1"/>
  <c r="J17" i="56" s="1"/>
  <c r="L13" i="56"/>
  <c r="L14" i="56" s="1"/>
  <c r="L16" i="56" s="1"/>
  <c r="L17" i="56" s="1"/>
  <c r="M13" i="56"/>
  <c r="M14" i="56" s="1"/>
  <c r="M16" i="56" s="1"/>
  <c r="M17" i="56" s="1"/>
  <c r="P13" i="56"/>
  <c r="P14" i="56" s="1"/>
  <c r="P16" i="56" s="1"/>
  <c r="P17" i="56" s="1"/>
  <c r="S13" i="56"/>
  <c r="S14" i="56" s="1"/>
  <c r="S16" i="56" s="1"/>
  <c r="S17" i="56" s="1"/>
  <c r="O13" i="56"/>
  <c r="O14" i="56" s="1"/>
  <c r="O16" i="56" s="1"/>
  <c r="O17" i="56" s="1"/>
  <c r="Q13" i="56"/>
  <c r="Q14" i="56" s="1"/>
  <c r="Q16" i="56" s="1"/>
  <c r="Q17" i="56" s="1"/>
  <c r="K13" i="56"/>
  <c r="K14" i="56" s="1"/>
  <c r="K16" i="56" s="1"/>
  <c r="K17" i="56" s="1"/>
  <c r="I13" i="56"/>
  <c r="I14" i="56" s="1"/>
  <c r="I16" i="56" s="1"/>
  <c r="I17" i="56" s="1"/>
  <c r="H13" i="56"/>
  <c r="H14" i="56" s="1"/>
  <c r="H16" i="56" s="1"/>
  <c r="H17" i="56" s="1"/>
  <c r="C36" i="55"/>
  <c r="C37" i="55" s="1"/>
  <c r="Q45" i="55"/>
  <c r="Q46" i="55" s="1"/>
  <c r="Q54" i="55"/>
  <c r="R50" i="55" s="1"/>
  <c r="R28" i="2"/>
  <c r="O28" i="2"/>
  <c r="V54" i="46"/>
  <c r="W50" i="46" s="1"/>
  <c r="W52" i="46" s="1"/>
  <c r="W53" i="46" s="1"/>
  <c r="E36" i="8"/>
  <c r="E37" i="8" s="1"/>
  <c r="S47" i="46"/>
  <c r="T43" i="46" s="1"/>
  <c r="T45" i="46" s="1"/>
  <c r="T46" i="46" s="1"/>
  <c r="E29" i="45"/>
  <c r="P29" i="2" s="1"/>
  <c r="D29" i="45"/>
  <c r="Q29" i="2" s="1"/>
  <c r="C38" i="55" l="1"/>
  <c r="D34" i="55" s="1"/>
  <c r="D36" i="55" s="1"/>
  <c r="D37" i="55" s="1"/>
  <c r="D38" i="55" s="1"/>
  <c r="E34" i="55" s="1"/>
  <c r="R52" i="55"/>
  <c r="R53" i="55" s="1"/>
  <c r="Q47" i="55"/>
  <c r="R43" i="55" s="1"/>
  <c r="R29" i="2"/>
  <c r="O29" i="2"/>
  <c r="W54" i="46"/>
  <c r="X50" i="46" s="1"/>
  <c r="X52" i="46" s="1"/>
  <c r="X53" i="46" s="1"/>
  <c r="T47" i="46"/>
  <c r="U43" i="46" s="1"/>
  <c r="D30" i="45"/>
  <c r="Q30" i="2" s="1"/>
  <c r="E30" i="45"/>
  <c r="P30" i="2" s="1"/>
  <c r="E38" i="8"/>
  <c r="E36" i="55" l="1"/>
  <c r="E37" i="55" s="1"/>
  <c r="E38" i="55" s="1"/>
  <c r="F34" i="55" s="1"/>
  <c r="R54" i="55"/>
  <c r="S50" i="55" s="1"/>
  <c r="R45" i="55"/>
  <c r="R46" i="55" s="1"/>
  <c r="R47" i="55" s="1"/>
  <c r="S43" i="55" s="1"/>
  <c r="R30" i="2"/>
  <c r="O30" i="2"/>
  <c r="X54" i="46"/>
  <c r="Y50" i="46" s="1"/>
  <c r="U45" i="46"/>
  <c r="U46" i="46" s="1"/>
  <c r="E31" i="45"/>
  <c r="D31" i="45"/>
  <c r="Q31" i="2" s="1"/>
  <c r="E39" i="8"/>
  <c r="R31" i="2" l="1"/>
  <c r="F36" i="55"/>
  <c r="F37" i="55" s="1"/>
  <c r="S45" i="55"/>
  <c r="S46" i="55" s="1"/>
  <c r="S52" i="55"/>
  <c r="S53" i="55" s="1"/>
  <c r="O31" i="2"/>
  <c r="P31" i="2"/>
  <c r="Y52" i="46"/>
  <c r="Y53" i="46" s="1"/>
  <c r="U47" i="46"/>
  <c r="V43" i="46" s="1"/>
  <c r="V45" i="46" s="1"/>
  <c r="D32" i="45"/>
  <c r="Q32" i="2" s="1"/>
  <c r="E32" i="45"/>
  <c r="E40" i="8"/>
  <c r="R32" i="2" l="1"/>
  <c r="F38" i="55"/>
  <c r="G34" i="55" s="1"/>
  <c r="G36" i="55" s="1"/>
  <c r="G37" i="55" s="1"/>
  <c r="G38" i="55" s="1"/>
  <c r="H34" i="55" s="1"/>
  <c r="H36" i="55" s="1"/>
  <c r="H37" i="55" s="1"/>
  <c r="S54" i="55"/>
  <c r="T50" i="55" s="1"/>
  <c r="S47" i="55"/>
  <c r="T43" i="55" s="1"/>
  <c r="O32" i="2"/>
  <c r="P32" i="2"/>
  <c r="Y54" i="46"/>
  <c r="Z50" i="46" s="1"/>
  <c r="V46" i="46"/>
  <c r="V47" i="46" s="1"/>
  <c r="W43" i="46" s="1"/>
  <c r="W45" i="46" s="1"/>
  <c r="W46" i="46" s="1"/>
  <c r="D33" i="45"/>
  <c r="E33" i="45"/>
  <c r="E41" i="8"/>
  <c r="H38" i="55" l="1"/>
  <c r="I34" i="55" s="1"/>
  <c r="T45" i="55"/>
  <c r="T46" i="55" s="1"/>
  <c r="T52" i="55"/>
  <c r="T53" i="55" s="1"/>
  <c r="P33" i="2"/>
  <c r="O33" i="2"/>
  <c r="Q33" i="2"/>
  <c r="R33" i="2"/>
  <c r="Z52" i="46"/>
  <c r="Z53" i="46" s="1"/>
  <c r="W47" i="46"/>
  <c r="X43" i="46" s="1"/>
  <c r="E34" i="45"/>
  <c r="D34" i="45"/>
  <c r="E42" i="8"/>
  <c r="O34" i="2" l="1"/>
  <c r="P34" i="2"/>
  <c r="I36" i="55"/>
  <c r="I37" i="55" s="1"/>
  <c r="T54" i="55"/>
  <c r="U50" i="55" s="1"/>
  <c r="T47" i="55"/>
  <c r="U43" i="55" s="1"/>
  <c r="Q34" i="2"/>
  <c r="R34" i="2"/>
  <c r="Z54" i="46"/>
  <c r="AA50" i="46" s="1"/>
  <c r="X45" i="46"/>
  <c r="X46" i="46" s="1"/>
  <c r="D35" i="45"/>
  <c r="E35" i="45"/>
  <c r="E43" i="8"/>
  <c r="O35" i="2" l="1"/>
  <c r="P35" i="2"/>
  <c r="I38" i="55"/>
  <c r="J34" i="55" s="1"/>
  <c r="U45" i="55"/>
  <c r="U46" i="55" s="1"/>
  <c r="U47" i="55" s="1"/>
  <c r="V43" i="55" s="1"/>
  <c r="U52" i="55"/>
  <c r="U53" i="55" s="1"/>
  <c r="R35" i="2"/>
  <c r="Q35" i="2"/>
  <c r="AA52" i="46"/>
  <c r="AA53" i="46" s="1"/>
  <c r="X47" i="46"/>
  <c r="Y43" i="46" s="1"/>
  <c r="E36" i="45"/>
  <c r="D36" i="45"/>
  <c r="E44" i="8"/>
  <c r="O36" i="2" l="1"/>
  <c r="P36" i="2"/>
  <c r="U54" i="55"/>
  <c r="V50" i="55" s="1"/>
  <c r="V52" i="55" s="1"/>
  <c r="V53" i="55" s="1"/>
  <c r="V54" i="55" s="1"/>
  <c r="W50" i="55" s="1"/>
  <c r="J36" i="55"/>
  <c r="J37" i="55" s="1"/>
  <c r="V45" i="55"/>
  <c r="V46" i="55" s="1"/>
  <c r="Q36" i="2"/>
  <c r="R36" i="2"/>
  <c r="AA54" i="46"/>
  <c r="AB50" i="46" s="1"/>
  <c r="AB52" i="46" s="1"/>
  <c r="AB53" i="46" s="1"/>
  <c r="Y45" i="46"/>
  <c r="Y46" i="46" s="1"/>
  <c r="E37" i="45"/>
  <c r="D37" i="45"/>
  <c r="E45" i="8"/>
  <c r="O37" i="2" l="1"/>
  <c r="P37" i="2"/>
  <c r="T2" i="56" s="1" a="1"/>
  <c r="J38" i="55"/>
  <c r="K34" i="55" s="1"/>
  <c r="W52" i="55"/>
  <c r="W53" i="55" s="1"/>
  <c r="V47" i="55"/>
  <c r="W43" i="55" s="1"/>
  <c r="R37" i="2"/>
  <c r="Q37" i="2"/>
  <c r="AB54" i="46"/>
  <c r="AC50" i="46" s="1"/>
  <c r="Y47" i="46"/>
  <c r="Z43" i="46" s="1"/>
  <c r="Z45" i="46" s="1"/>
  <c r="Z46" i="46" s="1"/>
  <c r="E38" i="45"/>
  <c r="D38" i="45"/>
  <c r="O38" i="2" s="1"/>
  <c r="E46" i="8"/>
  <c r="E47" i="8" s="1"/>
  <c r="Q2" i="55" l="1" a="1"/>
  <c r="Q2" i="55" s="1"/>
  <c r="Q4" i="55" s="1"/>
  <c r="K36" i="55"/>
  <c r="K37" i="55" s="1"/>
  <c r="AC4" i="55"/>
  <c r="T2" i="56"/>
  <c r="T3" i="56" s="1"/>
  <c r="AX3" i="56"/>
  <c r="AT3" i="56"/>
  <c r="AD3" i="56"/>
  <c r="AS3" i="56"/>
  <c r="AC3" i="56"/>
  <c r="AN3" i="56"/>
  <c r="AQ3" i="56"/>
  <c r="AA3" i="56"/>
  <c r="BB3" i="56"/>
  <c r="X3" i="56"/>
  <c r="AF3" i="56"/>
  <c r="BA3" i="56"/>
  <c r="AL3" i="56"/>
  <c r="V3" i="56"/>
  <c r="AZ3" i="56"/>
  <c r="AK3" i="56"/>
  <c r="U3" i="56"/>
  <c r="AY3" i="56"/>
  <c r="AI3" i="56"/>
  <c r="AV3" i="56"/>
  <c r="W3" i="56"/>
  <c r="Y3" i="56"/>
  <c r="AE3" i="56"/>
  <c r="AG3" i="56"/>
  <c r="AH3" i="56"/>
  <c r="AP3" i="56"/>
  <c r="AM3" i="56"/>
  <c r="AO3" i="56"/>
  <c r="AU3" i="56"/>
  <c r="AW3" i="56"/>
  <c r="AB3" i="56"/>
  <c r="Z3" i="56"/>
  <c r="AJ3" i="56"/>
  <c r="AR3" i="56"/>
  <c r="W45" i="55"/>
  <c r="W46" i="55" s="1"/>
  <c r="W54" i="55"/>
  <c r="X50" i="55" s="1"/>
  <c r="R38" i="2"/>
  <c r="P38" i="2"/>
  <c r="Q38" i="2"/>
  <c r="AC52" i="46"/>
  <c r="AC53" i="46" s="1"/>
  <c r="Z47" i="46"/>
  <c r="AA43" i="46" s="1"/>
  <c r="AA45" i="46" s="1"/>
  <c r="AA46" i="46" s="1"/>
  <c r="D39" i="45"/>
  <c r="O39" i="2" s="1"/>
  <c r="E39" i="45"/>
  <c r="AJ4" i="55" l="1"/>
  <c r="AJ6" i="55" s="1"/>
  <c r="AJ7" i="55" s="1"/>
  <c r="AJ8" i="55" s="1"/>
  <c r="AG4" i="55"/>
  <c r="AJ4" i="56" s="1"/>
  <c r="AJ5" i="56" s="1"/>
  <c r="AJ6" i="56" s="1"/>
  <c r="AJ7" i="56" s="1"/>
  <c r="AK4" i="55"/>
  <c r="AK6" i="55" s="1"/>
  <c r="AK7" i="55" s="1"/>
  <c r="AK8" i="55" s="1"/>
  <c r="W4" i="55"/>
  <c r="AB4" i="55"/>
  <c r="T4" i="55"/>
  <c r="AV4" i="55"/>
  <c r="AV6" i="55" s="1"/>
  <c r="AV7" i="55" s="1"/>
  <c r="AV8" i="55" s="1"/>
  <c r="AT4" i="55"/>
  <c r="AT6" i="55" s="1"/>
  <c r="AT7" i="55" s="1"/>
  <c r="AT8" i="55" s="1"/>
  <c r="AP4" i="55"/>
  <c r="AP6" i="55" s="1"/>
  <c r="AP7" i="55" s="1"/>
  <c r="AP8" i="55" s="1"/>
  <c r="AN4" i="55"/>
  <c r="AN6" i="55" s="1"/>
  <c r="AN7" i="55" s="1"/>
  <c r="AN8" i="55" s="1"/>
  <c r="R4" i="55"/>
  <c r="U4" i="56" s="1"/>
  <c r="U5" i="56" s="1"/>
  <c r="U6" i="56" s="1"/>
  <c r="U7" i="56" s="1"/>
  <c r="AR4" i="55"/>
  <c r="AX4" i="55"/>
  <c r="AX6" i="55" s="1"/>
  <c r="AX7" i="55" s="1"/>
  <c r="AX8" i="55" s="1"/>
  <c r="U4" i="55"/>
  <c r="AI4" i="55"/>
  <c r="AI6" i="55" s="1"/>
  <c r="AI7" i="55" s="1"/>
  <c r="AI8" i="55" s="1"/>
  <c r="AF4" i="55"/>
  <c r="AI4" i="56" s="1"/>
  <c r="AI5" i="56" s="1"/>
  <c r="AI6" i="56" s="1"/>
  <c r="AI7" i="56" s="1"/>
  <c r="Y4" i="55"/>
  <c r="Y6" i="55" s="1"/>
  <c r="Y7" i="55" s="1"/>
  <c r="Y8" i="55" s="1"/>
  <c r="AM4" i="55"/>
  <c r="AP4" i="56" s="1"/>
  <c r="AP5" i="56" s="1"/>
  <c r="AP6" i="56" s="1"/>
  <c r="AP7" i="56" s="1"/>
  <c r="AO4" i="55"/>
  <c r="AO6" i="55" s="1"/>
  <c r="AO7" i="55" s="1"/>
  <c r="AO8" i="55" s="1"/>
  <c r="AQ4" i="55"/>
  <c r="X4" i="55"/>
  <c r="AA4" i="56" s="1"/>
  <c r="AA5" i="56" s="1"/>
  <c r="AA6" i="56" s="1"/>
  <c r="AA7" i="56" s="1"/>
  <c r="S4" i="55"/>
  <c r="AW4" i="55"/>
  <c r="AW6" i="55" s="1"/>
  <c r="AW7" i="55" s="1"/>
  <c r="AW8" i="55" s="1"/>
  <c r="AY4" i="55"/>
  <c r="AY6" i="55" s="1"/>
  <c r="AY7" i="55" s="1"/>
  <c r="AY8" i="55" s="1"/>
  <c r="AD4" i="55"/>
  <c r="AG4" i="56" s="1"/>
  <c r="AG5" i="56" s="1"/>
  <c r="AG6" i="56" s="1"/>
  <c r="AG7" i="56" s="1"/>
  <c r="Z4" i="55"/>
  <c r="Z6" i="55" s="1"/>
  <c r="Z7" i="55" s="1"/>
  <c r="Z8" i="55" s="1"/>
  <c r="AA4" i="55"/>
  <c r="AA6" i="55" s="1"/>
  <c r="AA7" i="55" s="1"/>
  <c r="AA8" i="55" s="1"/>
  <c r="AH4" i="55"/>
  <c r="AH6" i="55" s="1"/>
  <c r="AH7" i="55" s="1"/>
  <c r="AH8" i="55" s="1"/>
  <c r="V4" i="55"/>
  <c r="V6" i="55" s="1"/>
  <c r="V7" i="55" s="1"/>
  <c r="V8" i="55" s="1"/>
  <c r="AU4" i="55"/>
  <c r="AE4" i="55"/>
  <c r="AS4" i="55"/>
  <c r="AV4" i="56" s="1"/>
  <c r="AV5" i="56" s="1"/>
  <c r="AV6" i="56" s="1"/>
  <c r="AV7" i="56" s="1"/>
  <c r="AL4" i="55"/>
  <c r="AL6" i="55" s="1"/>
  <c r="AL7" i="55" s="1"/>
  <c r="AL8" i="55" s="1"/>
  <c r="K38" i="55"/>
  <c r="L34" i="55" s="1"/>
  <c r="L36" i="55" s="1"/>
  <c r="L37" i="55" s="1"/>
  <c r="AQ4" i="56"/>
  <c r="AQ5" i="56" s="1"/>
  <c r="AQ6" i="56" s="1"/>
  <c r="AQ7" i="56" s="1"/>
  <c r="AR6" i="55"/>
  <c r="AR7" i="55" s="1"/>
  <c r="AR8" i="55" s="1"/>
  <c r="AU4" i="56"/>
  <c r="AU5" i="56" s="1"/>
  <c r="AU6" i="56" s="1"/>
  <c r="AU7" i="56" s="1"/>
  <c r="U6" i="55"/>
  <c r="U7" i="55" s="1"/>
  <c r="U8" i="55" s="1"/>
  <c r="X4" i="56"/>
  <c r="X5" i="56" s="1"/>
  <c r="X6" i="56" s="1"/>
  <c r="X7" i="56" s="1"/>
  <c r="S6" i="55"/>
  <c r="S7" i="55" s="1"/>
  <c r="S8" i="55" s="1"/>
  <c r="V4" i="56"/>
  <c r="V5" i="56" s="1"/>
  <c r="V6" i="56" s="1"/>
  <c r="V7" i="56" s="1"/>
  <c r="AC4" i="56"/>
  <c r="AC5" i="56" s="1"/>
  <c r="AC6" i="56" s="1"/>
  <c r="AC7" i="56" s="1"/>
  <c r="AK4" i="56"/>
  <c r="AK5" i="56" s="1"/>
  <c r="AK6" i="56" s="1"/>
  <c r="AK7" i="56" s="1"/>
  <c r="AQ6" i="55"/>
  <c r="AQ7" i="55" s="1"/>
  <c r="AQ8" i="55" s="1"/>
  <c r="AT4" i="56"/>
  <c r="AT5" i="56" s="1"/>
  <c r="AT6" i="56" s="1"/>
  <c r="AT7" i="56" s="1"/>
  <c r="AU6" i="55"/>
  <c r="AU7" i="55" s="1"/>
  <c r="AU8" i="55" s="1"/>
  <c r="AX4" i="56"/>
  <c r="AX5" i="56" s="1"/>
  <c r="AX6" i="56" s="1"/>
  <c r="AX7" i="56" s="1"/>
  <c r="AE6" i="55"/>
  <c r="AE7" i="55" s="1"/>
  <c r="AE8" i="55" s="1"/>
  <c r="AH4" i="56"/>
  <c r="AH5" i="56" s="1"/>
  <c r="AH6" i="56" s="1"/>
  <c r="AH7" i="56" s="1"/>
  <c r="Q6" i="55"/>
  <c r="Q7" i="55" s="1"/>
  <c r="Q8" i="55" s="1"/>
  <c r="T4" i="56"/>
  <c r="T5" i="56" s="1"/>
  <c r="T6" i="56" s="1"/>
  <c r="T7" i="56" s="1"/>
  <c r="W6" i="55"/>
  <c r="W7" i="55" s="1"/>
  <c r="W8" i="55" s="1"/>
  <c r="Z4" i="56"/>
  <c r="Z5" i="56" s="1"/>
  <c r="Z6" i="56" s="1"/>
  <c r="Z7" i="56" s="1"/>
  <c r="AC6" i="55"/>
  <c r="AC7" i="55" s="1"/>
  <c r="AC8" i="55" s="1"/>
  <c r="AF4" i="56"/>
  <c r="AF5" i="56" s="1"/>
  <c r="AF6" i="56" s="1"/>
  <c r="AF7" i="56" s="1"/>
  <c r="AM4" i="56"/>
  <c r="AM5" i="56" s="1"/>
  <c r="AM6" i="56" s="1"/>
  <c r="AM7" i="56" s="1"/>
  <c r="AB6" i="55"/>
  <c r="AB7" i="55" s="1"/>
  <c r="AB8" i="55" s="1"/>
  <c r="AE4" i="56"/>
  <c r="AE5" i="56" s="1"/>
  <c r="AE6" i="56" s="1"/>
  <c r="AE7" i="56" s="1"/>
  <c r="T6" i="55"/>
  <c r="T7" i="55" s="1"/>
  <c r="T8" i="55" s="1"/>
  <c r="W4" i="56"/>
  <c r="W5" i="56" s="1"/>
  <c r="W6" i="56" s="1"/>
  <c r="W7" i="56" s="1"/>
  <c r="X52" i="55"/>
  <c r="X53" i="55" s="1"/>
  <c r="W47" i="55"/>
  <c r="X43" i="55" s="1"/>
  <c r="R39" i="2"/>
  <c r="P39" i="2"/>
  <c r="Q39" i="2"/>
  <c r="AC54" i="46"/>
  <c r="AD50" i="46" s="1"/>
  <c r="AA47" i="46"/>
  <c r="AB43" i="46" s="1"/>
  <c r="E40" i="45"/>
  <c r="D40" i="45"/>
  <c r="O40" i="2" s="1"/>
  <c r="AG6" i="55" l="1"/>
  <c r="AG7" i="55" s="1"/>
  <c r="AG8" i="55" s="1"/>
  <c r="AY4" i="56"/>
  <c r="AY5" i="56" s="1"/>
  <c r="AY6" i="56" s="1"/>
  <c r="AY7" i="56" s="1"/>
  <c r="AY9" i="56" s="1"/>
  <c r="AN4" i="56"/>
  <c r="AN5" i="56" s="1"/>
  <c r="AN6" i="56" s="1"/>
  <c r="AN7" i="56" s="1"/>
  <c r="AN10" i="56" s="1"/>
  <c r="AM6" i="55"/>
  <c r="AM7" i="55" s="1"/>
  <c r="AM8" i="55" s="1"/>
  <c r="Y4" i="56"/>
  <c r="Y5" i="56" s="1"/>
  <c r="Y6" i="56" s="1"/>
  <c r="Y7" i="56" s="1"/>
  <c r="Y10" i="56" s="1"/>
  <c r="R6" i="55"/>
  <c r="R7" i="55" s="1"/>
  <c r="R8" i="55" s="1"/>
  <c r="AS6" i="55"/>
  <c r="AS7" i="55" s="1"/>
  <c r="AS8" i="55" s="1"/>
  <c r="AR4" i="56"/>
  <c r="AR5" i="56" s="1"/>
  <c r="AR6" i="56" s="1"/>
  <c r="AR7" i="56" s="1"/>
  <c r="AR9" i="56" s="1"/>
  <c r="X6" i="55"/>
  <c r="X7" i="55" s="1"/>
  <c r="X8" i="55" s="1"/>
  <c r="AD4" i="56"/>
  <c r="AD5" i="56" s="1"/>
  <c r="AD6" i="56" s="1"/>
  <c r="AD7" i="56" s="1"/>
  <c r="AD10" i="56" s="1"/>
  <c r="BA4" i="56"/>
  <c r="BA5" i="56" s="1"/>
  <c r="BA6" i="56" s="1"/>
  <c r="BA7" i="56" s="1"/>
  <c r="BA9" i="56" s="1"/>
  <c r="AF6" i="55"/>
  <c r="AF7" i="55" s="1"/>
  <c r="AF8" i="55" s="1"/>
  <c r="AB4" i="56"/>
  <c r="AB5" i="56" s="1"/>
  <c r="AB6" i="56" s="1"/>
  <c r="AB7" i="56" s="1"/>
  <c r="AB10" i="56" s="1"/>
  <c r="AD6" i="55"/>
  <c r="AD7" i="55" s="1"/>
  <c r="AD8" i="55" s="1"/>
  <c r="BB4" i="56"/>
  <c r="BB5" i="56" s="1"/>
  <c r="BB6" i="56" s="1"/>
  <c r="BB7" i="56" s="1"/>
  <c r="BB10" i="56" s="1"/>
  <c r="AW4" i="56"/>
  <c r="AW5" i="56" s="1"/>
  <c r="AW6" i="56" s="1"/>
  <c r="AW7" i="56" s="1"/>
  <c r="AW9" i="56" s="1"/>
  <c r="AO4" i="56"/>
  <c r="AO5" i="56" s="1"/>
  <c r="AO6" i="56" s="1"/>
  <c r="AO7" i="56" s="1"/>
  <c r="AO9" i="56" s="1"/>
  <c r="AZ4" i="56"/>
  <c r="AZ5" i="56" s="1"/>
  <c r="AZ6" i="56" s="1"/>
  <c r="AZ7" i="56" s="1"/>
  <c r="AZ9" i="56" s="1"/>
  <c r="AL4" i="56"/>
  <c r="AL5" i="56" s="1"/>
  <c r="AL6" i="56" s="1"/>
  <c r="AL7" i="56" s="1"/>
  <c r="AL10" i="56" s="1"/>
  <c r="AS4" i="56"/>
  <c r="AS5" i="56" s="1"/>
  <c r="AS6" i="56" s="1"/>
  <c r="AS7" i="56" s="1"/>
  <c r="AS9" i="56" s="1"/>
  <c r="L38" i="55"/>
  <c r="M34" i="55" s="1"/>
  <c r="AJ10" i="56"/>
  <c r="AJ9" i="56"/>
  <c r="Z9" i="56"/>
  <c r="Z10" i="56"/>
  <c r="AP9" i="56"/>
  <c r="AP10" i="56"/>
  <c r="AI10" i="56"/>
  <c r="AI9" i="56"/>
  <c r="AH10" i="56"/>
  <c r="AH9" i="56"/>
  <c r="W10" i="56"/>
  <c r="W9" i="56"/>
  <c r="T10" i="56"/>
  <c r="T9" i="56"/>
  <c r="AG10" i="56"/>
  <c r="AG9" i="56"/>
  <c r="AF9" i="56"/>
  <c r="AF10" i="56"/>
  <c r="AE9" i="56"/>
  <c r="AE10" i="56"/>
  <c r="X9" i="56"/>
  <c r="X10" i="56"/>
  <c r="AT9" i="56"/>
  <c r="AT10" i="56"/>
  <c r="AX10" i="56"/>
  <c r="AX9" i="56"/>
  <c r="Y9" i="56"/>
  <c r="AM9" i="56"/>
  <c r="AM10" i="56"/>
  <c r="U10" i="56"/>
  <c r="U9" i="56"/>
  <c r="AC9" i="56"/>
  <c r="AC10" i="56"/>
  <c r="AB9" i="56"/>
  <c r="AA10" i="56"/>
  <c r="AA9" i="56"/>
  <c r="AV10" i="56"/>
  <c r="AV9" i="56"/>
  <c r="M36" i="55"/>
  <c r="M37" i="55" s="1"/>
  <c r="AU9" i="56"/>
  <c r="AU10" i="56"/>
  <c r="AK10" i="56"/>
  <c r="AK9" i="56"/>
  <c r="V10" i="56"/>
  <c r="V9" i="56"/>
  <c r="AQ10" i="56"/>
  <c r="AQ9" i="56"/>
  <c r="X45" i="55"/>
  <c r="X46" i="55" s="1"/>
  <c r="X54" i="55"/>
  <c r="Y50" i="55" s="1"/>
  <c r="P40" i="2"/>
  <c r="R40" i="2"/>
  <c r="Q40" i="2"/>
  <c r="AD52" i="46"/>
  <c r="AD53" i="46" s="1"/>
  <c r="AB45" i="46"/>
  <c r="AB46" i="46" s="1"/>
  <c r="D41" i="45"/>
  <c r="O41" i="2" s="1"/>
  <c r="E41" i="45"/>
  <c r="AY10" i="56" l="1"/>
  <c r="AN9" i="56"/>
  <c r="AN12" i="56" s="1"/>
  <c r="AR10" i="56"/>
  <c r="BA10" i="56"/>
  <c r="AW10" i="56"/>
  <c r="AL9" i="56"/>
  <c r="AO10" i="56"/>
  <c r="AD9" i="56"/>
  <c r="AD12" i="56" s="1"/>
  <c r="BB9" i="56"/>
  <c r="BB11" i="56" s="1"/>
  <c r="AZ10" i="56"/>
  <c r="AS10" i="56"/>
  <c r="AA12" i="56"/>
  <c r="AA11" i="56"/>
  <c r="AW11" i="56"/>
  <c r="AW12" i="56"/>
  <c r="V12" i="56"/>
  <c r="V11" i="56"/>
  <c r="M38" i="55"/>
  <c r="N34" i="55" s="1"/>
  <c r="Y12" i="56"/>
  <c r="Y11" i="56"/>
  <c r="W12" i="56"/>
  <c r="W11" i="56"/>
  <c r="AY11" i="56"/>
  <c r="AY12" i="56"/>
  <c r="AC12" i="56"/>
  <c r="AC11" i="56"/>
  <c r="AC13" i="56" s="1"/>
  <c r="AC14" i="56" s="1"/>
  <c r="AC16" i="56" s="1"/>
  <c r="AC17" i="56" s="1"/>
  <c r="AR11" i="56"/>
  <c r="AR12" i="56"/>
  <c r="AF12" i="56"/>
  <c r="AF11" i="56"/>
  <c r="AP12" i="56"/>
  <c r="AP11" i="56"/>
  <c r="AE12" i="56"/>
  <c r="AE11" i="56"/>
  <c r="AE13" i="56" s="1"/>
  <c r="AE14" i="56" s="1"/>
  <c r="AE16" i="56" s="1"/>
  <c r="AE17" i="56" s="1"/>
  <c r="AK12" i="56"/>
  <c r="AK11" i="56"/>
  <c r="U12" i="56"/>
  <c r="U11" i="56"/>
  <c r="AX12" i="56"/>
  <c r="AX11" i="56"/>
  <c r="AX13" i="56" s="1"/>
  <c r="AX14" i="56" s="1"/>
  <c r="AX16" i="56" s="1"/>
  <c r="AX17" i="56" s="1"/>
  <c r="AG12" i="56"/>
  <c r="AG11" i="56"/>
  <c r="AH11" i="56"/>
  <c r="AH12" i="56"/>
  <c r="AT12" i="56"/>
  <c r="AT11" i="56"/>
  <c r="AT13" i="56" s="1"/>
  <c r="AT14" i="56" s="1"/>
  <c r="AT16" i="56" s="1"/>
  <c r="AT17" i="56" s="1"/>
  <c r="BB12" i="56"/>
  <c r="Z11" i="56"/>
  <c r="Z12" i="56"/>
  <c r="AS12" i="56"/>
  <c r="AS11" i="56"/>
  <c r="BA12" i="56"/>
  <c r="BA11" i="56"/>
  <c r="BA13" i="56" s="1"/>
  <c r="BA14" i="56" s="1"/>
  <c r="BA16" i="56" s="1"/>
  <c r="BA17" i="56" s="1"/>
  <c r="AL12" i="56"/>
  <c r="AL11" i="56"/>
  <c r="AO12" i="56"/>
  <c r="AO11" i="56"/>
  <c r="AV12" i="56"/>
  <c r="AV11" i="56"/>
  <c r="T11" i="56"/>
  <c r="T12" i="56"/>
  <c r="T13" i="56" s="1"/>
  <c r="T14" i="56" s="1"/>
  <c r="T16" i="56" s="1"/>
  <c r="T17" i="56" s="1"/>
  <c r="AI12" i="56"/>
  <c r="AI11" i="56"/>
  <c r="AJ11" i="56"/>
  <c r="AJ12" i="56"/>
  <c r="AQ12" i="56"/>
  <c r="AQ11" i="56"/>
  <c r="AU12" i="56"/>
  <c r="AU11" i="56"/>
  <c r="AU13" i="56" s="1"/>
  <c r="AU14" i="56" s="1"/>
  <c r="AU16" i="56" s="1"/>
  <c r="AU17" i="56" s="1"/>
  <c r="AB12" i="56"/>
  <c r="AB11" i="56"/>
  <c r="AM12" i="56"/>
  <c r="AM11" i="56"/>
  <c r="AZ11" i="56"/>
  <c r="AZ12" i="56"/>
  <c r="X11" i="56"/>
  <c r="X12" i="56"/>
  <c r="Y52" i="55"/>
  <c r="Y53" i="55" s="1"/>
  <c r="X47" i="55"/>
  <c r="Y43" i="55" s="1"/>
  <c r="Q41" i="2"/>
  <c r="P41" i="2"/>
  <c r="R41" i="2"/>
  <c r="AD54" i="46"/>
  <c r="AE50" i="46" s="1"/>
  <c r="AB47" i="46"/>
  <c r="AC43" i="46" s="1"/>
  <c r="E42" i="45"/>
  <c r="D42" i="45"/>
  <c r="O42" i="2" s="1"/>
  <c r="AN11" i="56" l="1"/>
  <c r="AN13" i="56" s="1"/>
  <c r="AN14" i="56" s="1"/>
  <c r="AN16" i="56" s="1"/>
  <c r="AN17" i="56" s="1"/>
  <c r="AM13" i="56"/>
  <c r="AM14" i="56" s="1"/>
  <c r="AM16" i="56" s="1"/>
  <c r="AM17" i="56" s="1"/>
  <c r="AO13" i="56"/>
  <c r="AO14" i="56" s="1"/>
  <c r="AO16" i="56" s="1"/>
  <c r="AO17" i="56" s="1"/>
  <c r="AD11" i="56"/>
  <c r="AD13" i="56" s="1"/>
  <c r="AD14" i="56" s="1"/>
  <c r="AD16" i="56" s="1"/>
  <c r="AD17" i="56" s="1"/>
  <c r="AF13" i="56"/>
  <c r="AF14" i="56" s="1"/>
  <c r="AF16" i="56" s="1"/>
  <c r="AF17" i="56" s="1"/>
  <c r="W13" i="56"/>
  <c r="W14" i="56" s="1"/>
  <c r="W16" i="56" s="1"/>
  <c r="W17" i="56" s="1"/>
  <c r="AA13" i="56"/>
  <c r="AA14" i="56" s="1"/>
  <c r="AA16" i="56" s="1"/>
  <c r="AA17" i="56" s="1"/>
  <c r="AR13" i="56"/>
  <c r="AR14" i="56" s="1"/>
  <c r="AR16" i="56" s="1"/>
  <c r="AR17" i="56" s="1"/>
  <c r="AV13" i="56"/>
  <c r="AV14" i="56" s="1"/>
  <c r="AV16" i="56" s="1"/>
  <c r="AV17" i="56" s="1"/>
  <c r="AS13" i="56"/>
  <c r="AS14" i="56" s="1"/>
  <c r="AS16" i="56" s="1"/>
  <c r="AS17" i="56" s="1"/>
  <c r="AP13" i="56"/>
  <c r="AP14" i="56" s="1"/>
  <c r="AP16" i="56" s="1"/>
  <c r="AP17" i="56" s="1"/>
  <c r="AW13" i="56"/>
  <c r="AW14" i="56" s="1"/>
  <c r="AW16" i="56" s="1"/>
  <c r="AW17" i="56" s="1"/>
  <c r="AZ13" i="56"/>
  <c r="AZ14" i="56" s="1"/>
  <c r="AZ16" i="56" s="1"/>
  <c r="AZ17" i="56" s="1"/>
  <c r="AY13" i="56"/>
  <c r="AY14" i="56" s="1"/>
  <c r="AY16" i="56" s="1"/>
  <c r="AY17" i="56" s="1"/>
  <c r="V13" i="56"/>
  <c r="V14" i="56" s="1"/>
  <c r="V16" i="56" s="1"/>
  <c r="V17" i="56" s="1"/>
  <c r="AJ13" i="56"/>
  <c r="AJ14" i="56" s="1"/>
  <c r="AJ16" i="56" s="1"/>
  <c r="AJ17" i="56" s="1"/>
  <c r="Z13" i="56"/>
  <c r="Z14" i="56" s="1"/>
  <c r="Z16" i="56" s="1"/>
  <c r="Z17" i="56" s="1"/>
  <c r="AH13" i="56"/>
  <c r="AH14" i="56" s="1"/>
  <c r="AH16" i="56" s="1"/>
  <c r="AH17" i="56" s="1"/>
  <c r="AB13" i="56"/>
  <c r="AB14" i="56" s="1"/>
  <c r="AB16" i="56" s="1"/>
  <c r="AB17" i="56" s="1"/>
  <c r="AI13" i="56"/>
  <c r="AI14" i="56" s="1"/>
  <c r="AI16" i="56" s="1"/>
  <c r="AI17" i="56" s="1"/>
  <c r="AL13" i="56"/>
  <c r="AL14" i="56" s="1"/>
  <c r="AL16" i="56" s="1"/>
  <c r="AL17" i="56" s="1"/>
  <c r="BB13" i="56"/>
  <c r="BB14" i="56" s="1"/>
  <c r="BB16" i="56" s="1"/>
  <c r="BB17" i="56" s="1"/>
  <c r="AG13" i="56"/>
  <c r="AG14" i="56" s="1"/>
  <c r="AG16" i="56" s="1"/>
  <c r="AG17" i="56" s="1"/>
  <c r="AK13" i="56"/>
  <c r="AK14" i="56" s="1"/>
  <c r="AK16" i="56" s="1"/>
  <c r="AK17" i="56" s="1"/>
  <c r="Y13" i="56"/>
  <c r="Y14" i="56" s="1"/>
  <c r="Y16" i="56" s="1"/>
  <c r="Y17" i="56" s="1"/>
  <c r="AQ13" i="56"/>
  <c r="AQ14" i="56" s="1"/>
  <c r="AQ16" i="56" s="1"/>
  <c r="AQ17" i="56" s="1"/>
  <c r="U13" i="56"/>
  <c r="U14" i="56" s="1"/>
  <c r="U16" i="56" s="1"/>
  <c r="U17" i="56" s="1"/>
  <c r="X13" i="56"/>
  <c r="X14" i="56" s="1"/>
  <c r="X16" i="56" s="1"/>
  <c r="X17" i="56" s="1"/>
  <c r="N36" i="55"/>
  <c r="N37" i="55" s="1"/>
  <c r="Y45" i="55"/>
  <c r="Y46" i="55" s="1"/>
  <c r="Y54" i="55"/>
  <c r="Z50" i="55" s="1"/>
  <c r="Q42" i="2"/>
  <c r="P42" i="2"/>
  <c r="R42" i="2"/>
  <c r="AE52" i="46"/>
  <c r="AE53" i="46" s="1"/>
  <c r="AC45" i="46"/>
  <c r="AC46" i="46" s="1"/>
  <c r="D43" i="45"/>
  <c r="O43" i="2" s="1"/>
  <c r="E43" i="45"/>
  <c r="BI2" i="56" l="1" a="1"/>
  <c r="N27" i="2" s="1"/>
  <c r="N25" i="2"/>
  <c r="N23" i="2"/>
  <c r="N34" i="2"/>
  <c r="D34" i="2" s="1"/>
  <c r="F34" i="2" s="1"/>
  <c r="L34" i="2" s="1"/>
  <c r="N26" i="2"/>
  <c r="N38" i="55"/>
  <c r="O34" i="55" s="1"/>
  <c r="Z52" i="55"/>
  <c r="Z53" i="55" s="1"/>
  <c r="Y47" i="55"/>
  <c r="Z43" i="55" s="1"/>
  <c r="Q43" i="2"/>
  <c r="P43" i="2"/>
  <c r="R43" i="2"/>
  <c r="AE54" i="46"/>
  <c r="AF50" i="46" s="1"/>
  <c r="AC47" i="46"/>
  <c r="AD43" i="46" s="1"/>
  <c r="E44" i="45"/>
  <c r="D44" i="45"/>
  <c r="N32" i="2" l="1"/>
  <c r="N16" i="2"/>
  <c r="BI2" i="56"/>
  <c r="N3" i="2" s="1"/>
  <c r="N5" i="2"/>
  <c r="N24" i="2"/>
  <c r="N20" i="2"/>
  <c r="N13" i="2"/>
  <c r="N12" i="2"/>
  <c r="N18" i="2"/>
  <c r="N15" i="2"/>
  <c r="N36" i="2"/>
  <c r="D36" i="2" s="1"/>
  <c r="F36" i="2" s="1"/>
  <c r="L36" i="2" s="1"/>
  <c r="N29" i="2"/>
  <c r="N31" i="2"/>
  <c r="N4" i="2"/>
  <c r="N30" i="2"/>
  <c r="N6" i="2"/>
  <c r="N9" i="2"/>
  <c r="N19" i="2"/>
  <c r="N8" i="2"/>
  <c r="N37" i="2"/>
  <c r="D37" i="2" s="1"/>
  <c r="F37" i="2" s="1"/>
  <c r="L37" i="2" s="1"/>
  <c r="U32" i="56" s="1"/>
  <c r="N35" i="2"/>
  <c r="D35" i="2" s="1"/>
  <c r="F35" i="2" s="1"/>
  <c r="L35" i="2" s="1"/>
  <c r="N10" i="2"/>
  <c r="N14" i="2"/>
  <c r="N7" i="2"/>
  <c r="N11" i="2"/>
  <c r="N28" i="2"/>
  <c r="N33" i="2"/>
  <c r="D33" i="2" s="1"/>
  <c r="F33" i="2" s="1"/>
  <c r="L33" i="2" s="1"/>
  <c r="N21" i="2"/>
  <c r="N38" i="2"/>
  <c r="D38" i="2" s="1"/>
  <c r="F38" i="2" s="1"/>
  <c r="L38" i="2" s="1"/>
  <c r="N22" i="2"/>
  <c r="N17" i="2"/>
  <c r="O36" i="55"/>
  <c r="O37" i="55" s="1"/>
  <c r="Z45" i="55"/>
  <c r="Z46" i="55" s="1"/>
  <c r="Z54" i="55"/>
  <c r="AA50" i="55" s="1"/>
  <c r="Q44" i="2"/>
  <c r="O44" i="2"/>
  <c r="P44" i="2"/>
  <c r="R44" i="2"/>
  <c r="AF52" i="46"/>
  <c r="AF53" i="46" s="1"/>
  <c r="AD45" i="46"/>
  <c r="AD46" i="46" s="1"/>
  <c r="D45" i="45"/>
  <c r="E45" i="45"/>
  <c r="AC32" i="56" l="1"/>
  <c r="O32" i="56"/>
  <c r="Z32" i="56"/>
  <c r="R32" i="56"/>
  <c r="P32" i="56"/>
  <c r="W32" i="56"/>
  <c r="I32" i="56"/>
  <c r="AB32" i="56"/>
  <c r="F32" i="56"/>
  <c r="J32" i="56"/>
  <c r="K32" i="56"/>
  <c r="N32" i="56"/>
  <c r="V32" i="56"/>
  <c r="H32" i="56"/>
  <c r="Q32" i="56"/>
  <c r="S32" i="56"/>
  <c r="E32" i="56"/>
  <c r="L32" i="56"/>
  <c r="AA32" i="56"/>
  <c r="Y32" i="56"/>
  <c r="G32" i="56"/>
  <c r="X32" i="56"/>
  <c r="M32" i="56"/>
  <c r="T32" i="56"/>
  <c r="Z47" i="55"/>
  <c r="AA43" i="55" s="1"/>
  <c r="AA45" i="55" s="1"/>
  <c r="AA46" i="55" s="1"/>
  <c r="Q45" i="2"/>
  <c r="O38" i="55"/>
  <c r="P34" i="55" s="1"/>
  <c r="AA52" i="55"/>
  <c r="AA53" i="55" s="1"/>
  <c r="O45" i="2"/>
  <c r="P45" i="2"/>
  <c r="R45" i="2"/>
  <c r="AF54" i="46"/>
  <c r="AG50" i="46" s="1"/>
  <c r="AG52" i="46" s="1"/>
  <c r="AG53" i="46" s="1"/>
  <c r="AD47" i="46"/>
  <c r="AE43" i="46" s="1"/>
  <c r="D46" i="45"/>
  <c r="E46" i="45"/>
  <c r="Q46" i="2" l="1"/>
  <c r="P36" i="55"/>
  <c r="P37" i="55" s="1"/>
  <c r="AA47" i="55"/>
  <c r="AB43" i="55" s="1"/>
  <c r="AA54" i="55"/>
  <c r="AB50" i="55" s="1"/>
  <c r="R46" i="2"/>
  <c r="P46" i="2"/>
  <c r="O46" i="2"/>
  <c r="O47" i="2" s="1"/>
  <c r="AG54" i="46"/>
  <c r="AH50" i="46" s="1"/>
  <c r="AH52" i="46" s="1"/>
  <c r="AH53" i="46" s="1"/>
  <c r="AE45" i="46"/>
  <c r="AE46" i="46" s="1"/>
  <c r="E47" i="45"/>
  <c r="D47" i="45"/>
  <c r="Q47" i="2" l="1"/>
  <c r="P38" i="55"/>
  <c r="Q34" i="55" s="1"/>
  <c r="AB52" i="55"/>
  <c r="AB53" i="55" s="1"/>
  <c r="AB45" i="55"/>
  <c r="AB46" i="55" s="1"/>
  <c r="R47" i="2"/>
  <c r="P47" i="2"/>
  <c r="AH54" i="46"/>
  <c r="AI50" i="46" s="1"/>
  <c r="AE47" i="46"/>
  <c r="AF43" i="46" s="1"/>
  <c r="AF45" i="46" s="1"/>
  <c r="AF46" i="46" s="1"/>
  <c r="E48" i="45"/>
  <c r="D48" i="45"/>
  <c r="AB54" i="55" l="1"/>
  <c r="AC50" i="55" s="1"/>
  <c r="Q48" i="2"/>
  <c r="Q36" i="55"/>
  <c r="Q37" i="55" s="1"/>
  <c r="AB47" i="55"/>
  <c r="AC43" i="55" s="1"/>
  <c r="AC52" i="55"/>
  <c r="AC53" i="55" s="1"/>
  <c r="O48" i="2"/>
  <c r="P48" i="2"/>
  <c r="R48" i="2"/>
  <c r="AI52" i="46"/>
  <c r="AI53" i="46" s="1"/>
  <c r="AF47" i="46"/>
  <c r="AG43" i="46" s="1"/>
  <c r="D49" i="45"/>
  <c r="D50" i="45" s="1"/>
  <c r="D51" i="45" s="1"/>
  <c r="D52" i="45" s="1"/>
  <c r="D53" i="45" s="1"/>
  <c r="E49" i="45"/>
  <c r="Q38" i="55" l="1"/>
  <c r="R34" i="55" s="1"/>
  <c r="R36" i="55" s="1"/>
  <c r="R37" i="55" s="1"/>
  <c r="AC54" i="55"/>
  <c r="AD50" i="55" s="1"/>
  <c r="AC45" i="55"/>
  <c r="AC46" i="55" s="1"/>
  <c r="O49" i="2"/>
  <c r="O50" i="2" s="1"/>
  <c r="O51" i="2" s="1"/>
  <c r="O52" i="2" s="1"/>
  <c r="E50" i="45"/>
  <c r="P49" i="2"/>
  <c r="Q53" i="2"/>
  <c r="O53" i="2"/>
  <c r="Q49" i="2"/>
  <c r="Q50" i="2" s="1"/>
  <c r="Q51" i="2" s="1"/>
  <c r="Q52" i="2" s="1"/>
  <c r="AI54" i="46"/>
  <c r="AJ50" i="46" s="1"/>
  <c r="AG45" i="46"/>
  <c r="AG46" i="46" s="1"/>
  <c r="R38" i="55" l="1"/>
  <c r="S34" i="55" s="1"/>
  <c r="AC47" i="55"/>
  <c r="AD43" i="55" s="1"/>
  <c r="AD52" i="55"/>
  <c r="AD53" i="55" s="1"/>
  <c r="E2" i="47" a="1"/>
  <c r="E2" i="47" s="1"/>
  <c r="E3" i="47" s="1"/>
  <c r="B2" i="46" a="1"/>
  <c r="B2" i="46" s="1"/>
  <c r="E51" i="45"/>
  <c r="P50" i="2"/>
  <c r="AJ52" i="46"/>
  <c r="AJ53" i="46" s="1"/>
  <c r="AG47" i="46"/>
  <c r="AH43" i="46" s="1"/>
  <c r="AH45" i="46" s="1"/>
  <c r="AH46" i="46" s="1"/>
  <c r="S36" i="55" l="1"/>
  <c r="S37" i="55" s="1"/>
  <c r="AM3" i="47"/>
  <c r="AV3" i="47"/>
  <c r="X3" i="47"/>
  <c r="AC3" i="47"/>
  <c r="AD54" i="55"/>
  <c r="AE50" i="55" s="1"/>
  <c r="AD45" i="55"/>
  <c r="AD46" i="55" s="1"/>
  <c r="AB3" i="47"/>
  <c r="T3" i="47"/>
  <c r="AJ4" i="46"/>
  <c r="AJ6" i="46" s="1"/>
  <c r="AL4" i="46"/>
  <c r="AA3" i="47"/>
  <c r="T4" i="46"/>
  <c r="W4" i="47" s="1"/>
  <c r="AQ4" i="46"/>
  <c r="AT4" i="47" s="1"/>
  <c r="AM4" i="46"/>
  <c r="AM6" i="46" s="1"/>
  <c r="D4" i="46"/>
  <c r="G4" i="47" s="1"/>
  <c r="AS4" i="46"/>
  <c r="AV4" i="47" s="1"/>
  <c r="G3" i="47"/>
  <c r="AN3" i="47"/>
  <c r="R3" i="47"/>
  <c r="AQ3" i="47"/>
  <c r="L4" i="46"/>
  <c r="O4" i="47" s="1"/>
  <c r="I3" i="47"/>
  <c r="AH3" i="47"/>
  <c r="AK3" i="47"/>
  <c r="U3" i="47"/>
  <c r="AZ3" i="47"/>
  <c r="P4" i="46"/>
  <c r="J4" i="46"/>
  <c r="M4" i="47" s="1"/>
  <c r="AI3" i="47"/>
  <c r="V3" i="47"/>
  <c r="P3" i="47"/>
  <c r="AO3" i="47"/>
  <c r="AO4" i="46"/>
  <c r="AO6" i="46" s="1"/>
  <c r="V4" i="46"/>
  <c r="Y4" i="47" s="1"/>
  <c r="AG3" i="47"/>
  <c r="AJ3" i="47"/>
  <c r="H3" i="47"/>
  <c r="W3" i="47"/>
  <c r="AV4" i="46"/>
  <c r="AV6" i="46" s="1"/>
  <c r="AV7" i="46" s="1"/>
  <c r="AV8" i="46" s="1"/>
  <c r="F4" i="46"/>
  <c r="F6" i="46" s="1"/>
  <c r="R4" i="46"/>
  <c r="R6" i="46" s="1"/>
  <c r="X4" i="46"/>
  <c r="X6" i="46" s="1"/>
  <c r="AL3" i="47"/>
  <c r="AF3" i="47"/>
  <c r="S3" i="47"/>
  <c r="BB3" i="47"/>
  <c r="Y3" i="47"/>
  <c r="F3" i="47"/>
  <c r="AT3" i="47"/>
  <c r="AY3" i="47"/>
  <c r="H4" i="46"/>
  <c r="K4" i="47" s="1"/>
  <c r="AB4" i="46"/>
  <c r="AE4" i="47" s="1"/>
  <c r="AD4" i="46"/>
  <c r="AG4" i="47" s="1"/>
  <c r="AF4" i="46"/>
  <c r="AI4" i="47" s="1"/>
  <c r="AH4" i="46"/>
  <c r="AK4" i="47" s="1"/>
  <c r="M4" i="46"/>
  <c r="P4" i="47" s="1"/>
  <c r="AR4" i="46"/>
  <c r="AU4" i="47" s="1"/>
  <c r="AW4" i="46"/>
  <c r="AW6" i="46" s="1"/>
  <c r="AW7" i="46" s="1"/>
  <c r="AW8" i="46" s="1"/>
  <c r="C4" i="46"/>
  <c r="F4" i="47" s="1"/>
  <c r="G4" i="46"/>
  <c r="J4" i="47" s="1"/>
  <c r="K4" i="46"/>
  <c r="N4" i="47" s="1"/>
  <c r="AD3" i="47"/>
  <c r="AU4" i="46"/>
  <c r="AX4" i="47" s="1"/>
  <c r="O4" i="46"/>
  <c r="O6" i="46" s="1"/>
  <c r="S4" i="46"/>
  <c r="V4" i="47" s="1"/>
  <c r="W4" i="46"/>
  <c r="Z4" i="47" s="1"/>
  <c r="M3" i="47"/>
  <c r="AR3" i="47"/>
  <c r="L3" i="47"/>
  <c r="AE3" i="47"/>
  <c r="AY4" i="46"/>
  <c r="BB4" i="47" s="1"/>
  <c r="AX3" i="47"/>
  <c r="AN4" i="46"/>
  <c r="AN6" i="46" s="1"/>
  <c r="AP4" i="46"/>
  <c r="AS4" i="47" s="1"/>
  <c r="AT4" i="46"/>
  <c r="AT6" i="46" s="1"/>
  <c r="AT7" i="46" s="1"/>
  <c r="AT8" i="46" s="1"/>
  <c r="Y4" i="46"/>
  <c r="AB4" i="47" s="1"/>
  <c r="E4" i="46"/>
  <c r="E6" i="46" s="1"/>
  <c r="I4" i="46"/>
  <c r="L4" i="47" s="1"/>
  <c r="AK4" i="46"/>
  <c r="AN4" i="47" s="1"/>
  <c r="AN5" i="47" s="1"/>
  <c r="AN6" i="47" s="1"/>
  <c r="AN7" i="47" s="1"/>
  <c r="O3" i="47"/>
  <c r="N3" i="47"/>
  <c r="AS3" i="47"/>
  <c r="AW3" i="47"/>
  <c r="BA3" i="47"/>
  <c r="Q4" i="46"/>
  <c r="Q6" i="46" s="1"/>
  <c r="U4" i="46"/>
  <c r="U6" i="46" s="1"/>
  <c r="N4" i="46"/>
  <c r="N6" i="46" s="1"/>
  <c r="Q3" i="47"/>
  <c r="AA4" i="46"/>
  <c r="AA6" i="46" s="1"/>
  <c r="AC4" i="46"/>
  <c r="AC6" i="46" s="1"/>
  <c r="AE4" i="46"/>
  <c r="AH4" i="47" s="1"/>
  <c r="AG4" i="46"/>
  <c r="AJ4" i="47" s="1"/>
  <c r="AJ5" i="47" s="1"/>
  <c r="AJ6" i="47" s="1"/>
  <c r="AJ7" i="47" s="1"/>
  <c r="AI4" i="46"/>
  <c r="AL4" i="47" s="1"/>
  <c r="Z4" i="46"/>
  <c r="Z6" i="46" s="1"/>
  <c r="K3" i="47"/>
  <c r="AP3" i="47"/>
  <c r="Z3" i="47"/>
  <c r="J3" i="47"/>
  <c r="AU3" i="47"/>
  <c r="AX4" i="46"/>
  <c r="BA4" i="47" s="1"/>
  <c r="BA5" i="47" s="1"/>
  <c r="BA6" i="47" s="1"/>
  <c r="BA7" i="47" s="1"/>
  <c r="E52" i="45"/>
  <c r="P51" i="2"/>
  <c r="AJ54" i="46"/>
  <c r="AK50" i="46" s="1"/>
  <c r="B6" i="46"/>
  <c r="B4" i="46"/>
  <c r="E4" i="47" s="1"/>
  <c r="E5" i="47" s="1"/>
  <c r="E6" i="47" s="1"/>
  <c r="E7" i="47" s="1"/>
  <c r="AH47" i="46"/>
  <c r="AI43" i="46" s="1"/>
  <c r="AL6" i="46"/>
  <c r="AO4" i="47"/>
  <c r="AP4" i="47"/>
  <c r="AS6" i="46"/>
  <c r="I4" i="47"/>
  <c r="P6" i="46"/>
  <c r="S4" i="47"/>
  <c r="J6" i="46" l="1"/>
  <c r="AV5" i="47"/>
  <c r="AV6" i="47" s="1"/>
  <c r="AV7" i="47" s="1"/>
  <c r="K6" i="46"/>
  <c r="AM4" i="47"/>
  <c r="AB5" i="47"/>
  <c r="AB6" i="47" s="1"/>
  <c r="AB7" i="47" s="1"/>
  <c r="AB9" i="47" s="1"/>
  <c r="D6" i="46"/>
  <c r="D7" i="46" s="1"/>
  <c r="D8" i="46" s="1"/>
  <c r="E10" i="47"/>
  <c r="E9" i="47"/>
  <c r="S38" i="55"/>
  <c r="T34" i="55" s="1"/>
  <c r="T36" i="55" s="1"/>
  <c r="T37" i="55" s="1"/>
  <c r="T4" i="47"/>
  <c r="T5" i="47" s="1"/>
  <c r="T6" i="47" s="1"/>
  <c r="T7" i="47" s="1"/>
  <c r="T10" i="47" s="1"/>
  <c r="AU6" i="46"/>
  <c r="AU7" i="46" s="1"/>
  <c r="AU8" i="46" s="1"/>
  <c r="F5" i="47"/>
  <c r="F6" i="47" s="1"/>
  <c r="F7" i="47" s="1"/>
  <c r="F9" i="47" s="1"/>
  <c r="AK5" i="47"/>
  <c r="AK6" i="47" s="1"/>
  <c r="AK7" i="47" s="1"/>
  <c r="AK10" i="47" s="1"/>
  <c r="T6" i="46"/>
  <c r="T7" i="46" s="1"/>
  <c r="T8" i="46" s="1"/>
  <c r="AB6" i="46"/>
  <c r="AB7" i="46" s="1"/>
  <c r="AB8" i="46" s="1"/>
  <c r="AM5" i="47"/>
  <c r="AM6" i="47" s="1"/>
  <c r="AM7" i="47" s="1"/>
  <c r="AM10" i="47" s="1"/>
  <c r="G5" i="47"/>
  <c r="G6" i="47" s="1"/>
  <c r="G7" i="47" s="1"/>
  <c r="G9" i="47" s="1"/>
  <c r="L6" i="46"/>
  <c r="L7" i="46" s="1"/>
  <c r="L8" i="46" s="1"/>
  <c r="AI5" i="47"/>
  <c r="AI6" i="47" s="1"/>
  <c r="AI7" i="47" s="1"/>
  <c r="AI10" i="47" s="1"/>
  <c r="AH5" i="47"/>
  <c r="AH6" i="47" s="1"/>
  <c r="AH7" i="47" s="1"/>
  <c r="AH10" i="47" s="1"/>
  <c r="AQ6" i="46"/>
  <c r="AQ7" i="46" s="1"/>
  <c r="AQ8" i="46" s="1"/>
  <c r="Y6" i="46"/>
  <c r="G6" i="46"/>
  <c r="G7" i="46" s="1"/>
  <c r="G8" i="46" s="1"/>
  <c r="P5" i="47"/>
  <c r="P6" i="47" s="1"/>
  <c r="P7" i="47" s="1"/>
  <c r="P9" i="47" s="1"/>
  <c r="AD47" i="55"/>
  <c r="AE43" i="55" s="1"/>
  <c r="AE52" i="55"/>
  <c r="AE53" i="55" s="1"/>
  <c r="V5" i="47"/>
  <c r="V6" i="47" s="1"/>
  <c r="V7" i="47" s="1"/>
  <c r="V10" i="47" s="1"/>
  <c r="X4" i="47"/>
  <c r="X5" i="47" s="1"/>
  <c r="X6" i="47" s="1"/>
  <c r="X7" i="47" s="1"/>
  <c r="X9" i="47" s="1"/>
  <c r="Y5" i="47"/>
  <c r="Y6" i="47" s="1"/>
  <c r="Y7" i="47" s="1"/>
  <c r="Y10" i="47" s="1"/>
  <c r="W5" i="47"/>
  <c r="W6" i="47" s="1"/>
  <c r="W7" i="47" s="1"/>
  <c r="W9" i="47" s="1"/>
  <c r="AO5" i="47"/>
  <c r="AO6" i="47" s="1"/>
  <c r="AO7" i="47" s="1"/>
  <c r="AO10" i="47" s="1"/>
  <c r="H4" i="47"/>
  <c r="H5" i="47" s="1"/>
  <c r="H6" i="47" s="1"/>
  <c r="H7" i="47" s="1"/>
  <c r="H9" i="47" s="1"/>
  <c r="AX6" i="46"/>
  <c r="AX7" i="46" s="1"/>
  <c r="AX8" i="46" s="1"/>
  <c r="AD6" i="46"/>
  <c r="AD7" i="46" s="1"/>
  <c r="AD8" i="46" s="1"/>
  <c r="AY4" i="47"/>
  <c r="AY5" i="47" s="1"/>
  <c r="AY6" i="47" s="1"/>
  <c r="AY7" i="47" s="1"/>
  <c r="AY10" i="47" s="1"/>
  <c r="L5" i="47"/>
  <c r="L6" i="47" s="1"/>
  <c r="L7" i="47" s="1"/>
  <c r="L10" i="47" s="1"/>
  <c r="AG6" i="46"/>
  <c r="AG7" i="46" s="1"/>
  <c r="AG8" i="46" s="1"/>
  <c r="AH6" i="46"/>
  <c r="AR4" i="47"/>
  <c r="AR5" i="47" s="1"/>
  <c r="AR6" i="47" s="1"/>
  <c r="AR7" i="47" s="1"/>
  <c r="AR10" i="47" s="1"/>
  <c r="I6" i="46"/>
  <c r="I7" i="46" s="1"/>
  <c r="I8" i="46" s="1"/>
  <c r="AE5" i="47"/>
  <c r="AE6" i="47" s="1"/>
  <c r="AE7" i="47" s="1"/>
  <c r="AE10" i="47" s="1"/>
  <c r="V6" i="46"/>
  <c r="V7" i="46" s="1"/>
  <c r="V8" i="46" s="1"/>
  <c r="S5" i="47"/>
  <c r="S6" i="47" s="1"/>
  <c r="S7" i="47" s="1"/>
  <c r="S9" i="47" s="1"/>
  <c r="M6" i="46"/>
  <c r="M7" i="46" s="1"/>
  <c r="M8" i="46" s="1"/>
  <c r="I5" i="47"/>
  <c r="I6" i="47" s="1"/>
  <c r="I7" i="47" s="1"/>
  <c r="I10" i="47" s="1"/>
  <c r="BB5" i="47"/>
  <c r="BB6" i="47" s="1"/>
  <c r="BB7" i="47" s="1"/>
  <c r="BB10" i="47" s="1"/>
  <c r="Z5" i="47"/>
  <c r="Z6" i="47" s="1"/>
  <c r="Z7" i="47" s="1"/>
  <c r="Z9" i="47" s="1"/>
  <c r="AU5" i="47"/>
  <c r="AU6" i="47" s="1"/>
  <c r="AU7" i="47" s="1"/>
  <c r="AU10" i="47" s="1"/>
  <c r="S6" i="46"/>
  <c r="S7" i="46" s="1"/>
  <c r="S8" i="46" s="1"/>
  <c r="R4" i="47"/>
  <c r="R5" i="47" s="1"/>
  <c r="R6" i="47" s="1"/>
  <c r="R7" i="47" s="1"/>
  <c r="R9" i="47" s="1"/>
  <c r="AC4" i="47"/>
  <c r="AC5" i="47" s="1"/>
  <c r="AC6" i="47" s="1"/>
  <c r="AC7" i="47" s="1"/>
  <c r="AC10" i="47" s="1"/>
  <c r="U4" i="47"/>
  <c r="U5" i="47" s="1"/>
  <c r="U6" i="47" s="1"/>
  <c r="U7" i="47" s="1"/>
  <c r="U10" i="47" s="1"/>
  <c r="AL5" i="47"/>
  <c r="AL6" i="47" s="1"/>
  <c r="AL7" i="47" s="1"/>
  <c r="AL10" i="47" s="1"/>
  <c r="AR6" i="46"/>
  <c r="AR7" i="46" s="1"/>
  <c r="AR8" i="46" s="1"/>
  <c r="AT5" i="47"/>
  <c r="AT6" i="47" s="1"/>
  <c r="AT7" i="47" s="1"/>
  <c r="AT10" i="47" s="1"/>
  <c r="AK6" i="46"/>
  <c r="AK7" i="46" s="1"/>
  <c r="AK8" i="46" s="1"/>
  <c r="AP5" i="47"/>
  <c r="AP6" i="47" s="1"/>
  <c r="AP7" i="47" s="1"/>
  <c r="AP10" i="47" s="1"/>
  <c r="AI6" i="46"/>
  <c r="AI7" i="46" s="1"/>
  <c r="AI8" i="46" s="1"/>
  <c r="AS5" i="47"/>
  <c r="AS6" i="47" s="1"/>
  <c r="AS7" i="47" s="1"/>
  <c r="AS10" i="47" s="1"/>
  <c r="H6" i="46"/>
  <c r="H7" i="46" s="1"/>
  <c r="H8" i="46" s="1"/>
  <c r="AE6" i="46"/>
  <c r="AE7" i="46" s="1"/>
  <c r="AE8" i="46" s="1"/>
  <c r="W6" i="46"/>
  <c r="W7" i="46" s="1"/>
  <c r="W8" i="46" s="1"/>
  <c r="Q4" i="47"/>
  <c r="Q5" i="47" s="1"/>
  <c r="Q6" i="47" s="1"/>
  <c r="Q7" i="47" s="1"/>
  <c r="AG5" i="47"/>
  <c r="AG6" i="47" s="1"/>
  <c r="AG7" i="47" s="1"/>
  <c r="AG10" i="47" s="1"/>
  <c r="AZ4" i="47"/>
  <c r="AZ5" i="47" s="1"/>
  <c r="AZ6" i="47" s="1"/>
  <c r="AZ7" i="47" s="1"/>
  <c r="AZ9" i="47" s="1"/>
  <c r="AW4" i="47"/>
  <c r="AW5" i="47" s="1"/>
  <c r="AW6" i="47" s="1"/>
  <c r="AW7" i="47" s="1"/>
  <c r="AW9" i="47" s="1"/>
  <c r="AA4" i="47"/>
  <c r="AA5" i="47" s="1"/>
  <c r="AA6" i="47" s="1"/>
  <c r="AA7" i="47" s="1"/>
  <c r="AA9" i="47" s="1"/>
  <c r="M5" i="47"/>
  <c r="M6" i="47" s="1"/>
  <c r="M7" i="47" s="1"/>
  <c r="M9" i="47" s="1"/>
  <c r="AF6" i="46"/>
  <c r="AF7" i="46" s="1"/>
  <c r="AF8" i="46" s="1"/>
  <c r="N5" i="47"/>
  <c r="N6" i="47" s="1"/>
  <c r="N7" i="47" s="1"/>
  <c r="N9" i="47" s="1"/>
  <c r="AP6" i="46"/>
  <c r="AP7" i="46" s="1"/>
  <c r="AP8" i="46" s="1"/>
  <c r="AX5" i="47"/>
  <c r="AX6" i="47" s="1"/>
  <c r="AX7" i="47" s="1"/>
  <c r="AX10" i="47" s="1"/>
  <c r="AD4" i="47"/>
  <c r="AD5" i="47" s="1"/>
  <c r="AD6" i="47" s="1"/>
  <c r="AD7" i="47" s="1"/>
  <c r="AD9" i="47" s="1"/>
  <c r="C6" i="46"/>
  <c r="C7" i="46" s="1"/>
  <c r="C8" i="46" s="1"/>
  <c r="J5" i="47"/>
  <c r="J6" i="47" s="1"/>
  <c r="J7" i="47" s="1"/>
  <c r="J10" i="47" s="1"/>
  <c r="K5" i="47"/>
  <c r="K6" i="47" s="1"/>
  <c r="K7" i="47" s="1"/>
  <c r="K10" i="47" s="1"/>
  <c r="AQ4" i="47"/>
  <c r="AQ5" i="47" s="1"/>
  <c r="AQ6" i="47" s="1"/>
  <c r="AQ7" i="47" s="1"/>
  <c r="AQ10" i="47" s="1"/>
  <c r="O5" i="47"/>
  <c r="O6" i="47" s="1"/>
  <c r="O7" i="47" s="1"/>
  <c r="O9" i="47" s="1"/>
  <c r="AF4" i="47"/>
  <c r="AF5" i="47" s="1"/>
  <c r="AF6" i="47" s="1"/>
  <c r="AF7" i="47" s="1"/>
  <c r="AF9" i="47" s="1"/>
  <c r="AY6" i="46"/>
  <c r="AY7" i="46" s="1"/>
  <c r="AY8" i="46" s="1"/>
  <c r="BA9" i="47"/>
  <c r="BA10" i="47"/>
  <c r="E53" i="45"/>
  <c r="P53" i="2" s="1"/>
  <c r="P52" i="2"/>
  <c r="AK52" i="46"/>
  <c r="AK53" i="46" s="1"/>
  <c r="B7" i="46"/>
  <c r="B8" i="46" s="1"/>
  <c r="AI45" i="46"/>
  <c r="AI46" i="46" s="1"/>
  <c r="AN9" i="47"/>
  <c r="AN10" i="47"/>
  <c r="AJ10" i="47"/>
  <c r="AJ9" i="47"/>
  <c r="AV10" i="47"/>
  <c r="AV9" i="47"/>
  <c r="G10" i="47"/>
  <c r="F10" i="47"/>
  <c r="AJ7" i="46"/>
  <c r="AJ8" i="46" s="1"/>
  <c r="Z7" i="46"/>
  <c r="Z8" i="46" s="1"/>
  <c r="U7" i="46"/>
  <c r="U8" i="46" s="1"/>
  <c r="Y7" i="46"/>
  <c r="Y8" i="46" s="1"/>
  <c r="AA7" i="46"/>
  <c r="AA8" i="46" s="1"/>
  <c r="AC7" i="46"/>
  <c r="AC8" i="46" s="1"/>
  <c r="O7" i="46"/>
  <c r="O8" i="46" s="1"/>
  <c r="AS7" i="46"/>
  <c r="AS8" i="46" s="1"/>
  <c r="F7" i="46"/>
  <c r="F8" i="46" s="1"/>
  <c r="AL7" i="46"/>
  <c r="AL8" i="46" s="1"/>
  <c r="J7" i="46"/>
  <c r="J8" i="46" s="1"/>
  <c r="Q7" i="46"/>
  <c r="Q8" i="46" s="1"/>
  <c r="E7" i="46"/>
  <c r="E8" i="46" s="1"/>
  <c r="K7" i="46"/>
  <c r="K8" i="46" s="1"/>
  <c r="AH7" i="46"/>
  <c r="AH8" i="46" s="1"/>
  <c r="AN7" i="46"/>
  <c r="AN8" i="46" s="1"/>
  <c r="AM7" i="46"/>
  <c r="AM8" i="46" s="1"/>
  <c r="X7" i="46"/>
  <c r="X8" i="46" s="1"/>
  <c r="P7" i="46"/>
  <c r="P8" i="46" s="1"/>
  <c r="N7" i="46"/>
  <c r="N8" i="46" s="1"/>
  <c r="AO7" i="46"/>
  <c r="AO8" i="46" s="1"/>
  <c r="R7" i="46"/>
  <c r="R8" i="46" s="1"/>
  <c r="AM9" i="47" l="1"/>
  <c r="AO9" i="47"/>
  <c r="AB10" i="47"/>
  <c r="V9" i="47"/>
  <c r="S10" i="47"/>
  <c r="T9" i="47"/>
  <c r="T11" i="47" s="1"/>
  <c r="AI9" i="47"/>
  <c r="AI12" i="47" s="1"/>
  <c r="AK9" i="47"/>
  <c r="AK12" i="47" s="1"/>
  <c r="E12" i="47"/>
  <c r="E11" i="47"/>
  <c r="AF10" i="47"/>
  <c r="Z10" i="47"/>
  <c r="X10" i="47"/>
  <c r="L9" i="47"/>
  <c r="L12" i="47" s="1"/>
  <c r="AH9" i="47"/>
  <c r="AH11" i="47" s="1"/>
  <c r="P10" i="47"/>
  <c r="H10" i="47"/>
  <c r="AA10" i="47"/>
  <c r="AY9" i="47"/>
  <c r="T38" i="55"/>
  <c r="U34" i="55" s="1"/>
  <c r="AS9" i="47"/>
  <c r="AS11" i="47" s="1"/>
  <c r="Y9" i="47"/>
  <c r="Y12" i="47" s="1"/>
  <c r="W10" i="47"/>
  <c r="BB9" i="47"/>
  <c r="BB11" i="47" s="1"/>
  <c r="AE54" i="55"/>
  <c r="AF50" i="55" s="1"/>
  <c r="AE45" i="55"/>
  <c r="AE46" i="55" s="1"/>
  <c r="AX9" i="47"/>
  <c r="AX11" i="47" s="1"/>
  <c r="N10" i="47"/>
  <c r="AU9" i="47"/>
  <c r="AU11" i="47" s="1"/>
  <c r="AR9" i="47"/>
  <c r="AR12" i="47" s="1"/>
  <c r="AE9" i="47"/>
  <c r="AE11" i="47" s="1"/>
  <c r="AZ10" i="47"/>
  <c r="R10" i="47"/>
  <c r="AP9" i="47"/>
  <c r="AP11" i="47" s="1"/>
  <c r="AG9" i="47"/>
  <c r="AG12" i="47" s="1"/>
  <c r="I9" i="47"/>
  <c r="I11" i="47" s="1"/>
  <c r="AT9" i="47"/>
  <c r="AT11" i="47" s="1"/>
  <c r="AW10" i="47"/>
  <c r="AC9" i="47"/>
  <c r="AC12" i="47" s="1"/>
  <c r="J9" i="47"/>
  <c r="J11" i="47" s="1"/>
  <c r="M10" i="47"/>
  <c r="U9" i="47"/>
  <c r="U11" i="47" s="1"/>
  <c r="AL9" i="47"/>
  <c r="AL11" i="47" s="1"/>
  <c r="Q9" i="47"/>
  <c r="Q11" i="47" s="1"/>
  <c r="Q10" i="47"/>
  <c r="AD10" i="47"/>
  <c r="AQ9" i="47"/>
  <c r="AQ11" i="47" s="1"/>
  <c r="K9" i="47"/>
  <c r="K11" i="47" s="1"/>
  <c r="O10" i="47"/>
  <c r="AX12" i="47"/>
  <c r="AY12" i="47"/>
  <c r="AY11" i="47"/>
  <c r="AZ12" i="47"/>
  <c r="AZ11" i="47"/>
  <c r="BA12" i="47"/>
  <c r="BA11" i="47"/>
  <c r="AK54" i="46"/>
  <c r="AL50" i="46" s="1"/>
  <c r="B34" i="46"/>
  <c r="B36" i="46" s="1"/>
  <c r="AI47" i="46"/>
  <c r="AJ43" i="46" s="1"/>
  <c r="AM12" i="47"/>
  <c r="AM11" i="47"/>
  <c r="O11" i="47"/>
  <c r="O12" i="47"/>
  <c r="P11" i="47"/>
  <c r="P12" i="47"/>
  <c r="W12" i="47"/>
  <c r="W11" i="47"/>
  <c r="N12" i="47"/>
  <c r="N11" i="47"/>
  <c r="AB11" i="47"/>
  <c r="AB12" i="47"/>
  <c r="AD11" i="47"/>
  <c r="AD12" i="47"/>
  <c r="AV11" i="47"/>
  <c r="AV12" i="47"/>
  <c r="X12" i="47"/>
  <c r="X11" i="47"/>
  <c r="AW12" i="47"/>
  <c r="AW11" i="47"/>
  <c r="AJ11" i="47"/>
  <c r="AJ12" i="47"/>
  <c r="AN11" i="47"/>
  <c r="AN12" i="47"/>
  <c r="F11" i="47"/>
  <c r="F12" i="47"/>
  <c r="V12" i="47"/>
  <c r="V11" i="47"/>
  <c r="G11" i="47"/>
  <c r="G12" i="47"/>
  <c r="M12" i="47"/>
  <c r="M11" i="47"/>
  <c r="S11" i="47"/>
  <c r="S12" i="47"/>
  <c r="AH12" i="47"/>
  <c r="AF11" i="47"/>
  <c r="AF12" i="47"/>
  <c r="H12" i="47"/>
  <c r="H11" i="47"/>
  <c r="AO11" i="47"/>
  <c r="AO12" i="47"/>
  <c r="T12" i="47"/>
  <c r="R11" i="47"/>
  <c r="R12" i="47"/>
  <c r="AA12" i="47"/>
  <c r="AA11" i="47"/>
  <c r="Z12" i="47"/>
  <c r="Z11" i="47"/>
  <c r="AK11" i="47" l="1"/>
  <c r="AU12" i="47"/>
  <c r="AI11" i="47"/>
  <c r="AI13" i="47" s="1"/>
  <c r="AI14" i="47" s="1"/>
  <c r="AI16" i="47" s="1"/>
  <c r="AI17" i="47" s="1"/>
  <c r="E13" i="47"/>
  <c r="E14" i="47" s="1"/>
  <c r="E16" i="47" s="1"/>
  <c r="E17" i="47" s="1"/>
  <c r="AE12" i="47"/>
  <c r="AS12" i="47"/>
  <c r="B37" i="46"/>
  <c r="B38" i="46" s="1"/>
  <c r="C34" i="46" s="1"/>
  <c r="C36" i="46" s="1"/>
  <c r="C37" i="46" s="1"/>
  <c r="C38" i="46" s="1"/>
  <c r="D34" i="46" s="1"/>
  <c r="D36" i="46" s="1"/>
  <c r="D37" i="46" s="1"/>
  <c r="D38" i="46" s="1"/>
  <c r="E34" i="46" s="1"/>
  <c r="AR11" i="47"/>
  <c r="AR13" i="47" s="1"/>
  <c r="AR14" i="47" s="1"/>
  <c r="AR16" i="47" s="1"/>
  <c r="AR17" i="47" s="1"/>
  <c r="Y11" i="47"/>
  <c r="L11" i="47"/>
  <c r="L13" i="47" s="1"/>
  <c r="L14" i="47" s="1"/>
  <c r="L16" i="47" s="1"/>
  <c r="L17" i="47" s="1"/>
  <c r="AL12" i="47"/>
  <c r="AL13" i="47" s="1"/>
  <c r="AL14" i="47" s="1"/>
  <c r="AL16" i="47" s="1"/>
  <c r="AL17" i="47" s="1"/>
  <c r="BB12" i="47"/>
  <c r="BB13" i="47" s="1"/>
  <c r="BB14" i="47" s="1"/>
  <c r="BB16" i="47" s="1"/>
  <c r="BB17" i="47" s="1"/>
  <c r="U36" i="55"/>
  <c r="U37" i="55" s="1"/>
  <c r="AP12" i="47"/>
  <c r="AE47" i="55"/>
  <c r="AF43" i="55" s="1"/>
  <c r="AF52" i="55"/>
  <c r="AF53" i="55" s="1"/>
  <c r="I12" i="47"/>
  <c r="I13" i="47" s="1"/>
  <c r="I14" i="47" s="1"/>
  <c r="I16" i="47" s="1"/>
  <c r="I17" i="47" s="1"/>
  <c r="AG11" i="47"/>
  <c r="AG13" i="47" s="1"/>
  <c r="AG14" i="47" s="1"/>
  <c r="AG16" i="47" s="1"/>
  <c r="AG17" i="47" s="1"/>
  <c r="AT12" i="47"/>
  <c r="AT13" i="47" s="1"/>
  <c r="AT14" i="47" s="1"/>
  <c r="AT16" i="47" s="1"/>
  <c r="AT17" i="47" s="1"/>
  <c r="AY13" i="47"/>
  <c r="AY14" i="47" s="1"/>
  <c r="AY16" i="47" s="1"/>
  <c r="AY17" i="47" s="1"/>
  <c r="U12" i="47"/>
  <c r="U13" i="47" s="1"/>
  <c r="U14" i="47" s="1"/>
  <c r="U16" i="47" s="1"/>
  <c r="U17" i="47" s="1"/>
  <c r="AC11" i="47"/>
  <c r="J12" i="47"/>
  <c r="J13" i="47" s="1"/>
  <c r="J14" i="47" s="1"/>
  <c r="J16" i="47" s="1"/>
  <c r="J17" i="47" s="1"/>
  <c r="AZ13" i="47"/>
  <c r="AZ14" i="47" s="1"/>
  <c r="AZ16" i="47" s="1"/>
  <c r="AZ17" i="47" s="1"/>
  <c r="Q12" i="47"/>
  <c r="Q13" i="47" s="1"/>
  <c r="Q14" i="47" s="1"/>
  <c r="Q16" i="47" s="1"/>
  <c r="Q17" i="47" s="1"/>
  <c r="K12" i="47"/>
  <c r="K13" i="47" s="1"/>
  <c r="K14" i="47" s="1"/>
  <c r="K16" i="47" s="1"/>
  <c r="K17" i="47" s="1"/>
  <c r="AQ12" i="47"/>
  <c r="AQ13" i="47" s="1"/>
  <c r="AQ14" i="47" s="1"/>
  <c r="AQ16" i="47" s="1"/>
  <c r="AQ17" i="47" s="1"/>
  <c r="AX13" i="47"/>
  <c r="AX14" i="47" s="1"/>
  <c r="AX16" i="47" s="1"/>
  <c r="AX17" i="47" s="1"/>
  <c r="BA13" i="47"/>
  <c r="BA14" i="47" s="1"/>
  <c r="BA16" i="47" s="1"/>
  <c r="BA17" i="47" s="1"/>
  <c r="AL52" i="46"/>
  <c r="AL53" i="46" s="1"/>
  <c r="AJ45" i="46"/>
  <c r="AJ46" i="46" s="1"/>
  <c r="AM13" i="47"/>
  <c r="AM14" i="47" s="1"/>
  <c r="AM16" i="47" s="1"/>
  <c r="AM17" i="47" s="1"/>
  <c r="Y13" i="47"/>
  <c r="Y14" i="47" s="1"/>
  <c r="Y16" i="47" s="1"/>
  <c r="Y17" i="47" s="1"/>
  <c r="X13" i="47"/>
  <c r="X14" i="47" s="1"/>
  <c r="X16" i="47" s="1"/>
  <c r="X17" i="47" s="1"/>
  <c r="Z13" i="47"/>
  <c r="Z14" i="47" s="1"/>
  <c r="Z16" i="47" s="1"/>
  <c r="Z17" i="47" s="1"/>
  <c r="H13" i="47"/>
  <c r="H14" i="47" s="1"/>
  <c r="H16" i="47" s="1"/>
  <c r="H17" i="47" s="1"/>
  <c r="AS13" i="47"/>
  <c r="AS14" i="47" s="1"/>
  <c r="AS16" i="47" s="1"/>
  <c r="AS17" i="47" s="1"/>
  <c r="V13" i="47"/>
  <c r="V14" i="47" s="1"/>
  <c r="V16" i="47" s="1"/>
  <c r="V17" i="47" s="1"/>
  <c r="N13" i="47"/>
  <c r="N14" i="47" s="1"/>
  <c r="N16" i="47" s="1"/>
  <c r="N17" i="47" s="1"/>
  <c r="S13" i="47"/>
  <c r="S14" i="47" s="1"/>
  <c r="S16" i="47" s="1"/>
  <c r="S17" i="47" s="1"/>
  <c r="AK13" i="47"/>
  <c r="AK14" i="47" s="1"/>
  <c r="AK16" i="47" s="1"/>
  <c r="AK17" i="47" s="1"/>
  <c r="P13" i="47"/>
  <c r="P14" i="47" s="1"/>
  <c r="P16" i="47" s="1"/>
  <c r="P17" i="47" s="1"/>
  <c r="AA13" i="47"/>
  <c r="AA14" i="47" s="1"/>
  <c r="AA16" i="47" s="1"/>
  <c r="AA17" i="47" s="1"/>
  <c r="T13" i="47"/>
  <c r="T14" i="47" s="1"/>
  <c r="T16" i="47" s="1"/>
  <c r="T17" i="47" s="1"/>
  <c r="AP13" i="47"/>
  <c r="AP14" i="47" s="1"/>
  <c r="AP16" i="47" s="1"/>
  <c r="AP17" i="47" s="1"/>
  <c r="AD13" i="47"/>
  <c r="AD14" i="47" s="1"/>
  <c r="AD16" i="47" s="1"/>
  <c r="AD17" i="47" s="1"/>
  <c r="AC13" i="47"/>
  <c r="AC14" i="47" s="1"/>
  <c r="AC16" i="47" s="1"/>
  <c r="AC17" i="47" s="1"/>
  <c r="AH13" i="47"/>
  <c r="AH14" i="47" s="1"/>
  <c r="AH16" i="47" s="1"/>
  <c r="AH17" i="47" s="1"/>
  <c r="AW13" i="47"/>
  <c r="AW14" i="47" s="1"/>
  <c r="AW16" i="47" s="1"/>
  <c r="AW17" i="47" s="1"/>
  <c r="G13" i="47"/>
  <c r="G14" i="47" s="1"/>
  <c r="G16" i="47" s="1"/>
  <c r="G17" i="47" s="1"/>
  <c r="W13" i="47"/>
  <c r="W14" i="47" s="1"/>
  <c r="W16" i="47" s="1"/>
  <c r="W17" i="47" s="1"/>
  <c r="AV13" i="47"/>
  <c r="AV14" i="47" s="1"/>
  <c r="AV16" i="47" s="1"/>
  <c r="AV17" i="47" s="1"/>
  <c r="F13" i="47"/>
  <c r="F14" i="47" s="1"/>
  <c r="F16" i="47" s="1"/>
  <c r="F17" i="47" s="1"/>
  <c r="R13" i="47"/>
  <c r="R14" i="47" s="1"/>
  <c r="R16" i="47" s="1"/>
  <c r="R17" i="47" s="1"/>
  <c r="AU13" i="47"/>
  <c r="AU14" i="47" s="1"/>
  <c r="AU16" i="47" s="1"/>
  <c r="AU17" i="47" s="1"/>
  <c r="AO13" i="47"/>
  <c r="AO14" i="47" s="1"/>
  <c r="AO16" i="47" s="1"/>
  <c r="AO17" i="47" s="1"/>
  <c r="AF13" i="47"/>
  <c r="AF14" i="47" s="1"/>
  <c r="AF16" i="47" s="1"/>
  <c r="AF17" i="47" s="1"/>
  <c r="O13" i="47"/>
  <c r="O14" i="47" s="1"/>
  <c r="O16" i="47" s="1"/>
  <c r="O17" i="47" s="1"/>
  <c r="AN13" i="47"/>
  <c r="AN14" i="47" s="1"/>
  <c r="AN16" i="47" s="1"/>
  <c r="AN17" i="47" s="1"/>
  <c r="AE13" i="47"/>
  <c r="AE14" i="47" s="1"/>
  <c r="AE16" i="47" s="1"/>
  <c r="AE17" i="47" s="1"/>
  <c r="AB13" i="47"/>
  <c r="AB14" i="47" s="1"/>
  <c r="AB16" i="47" s="1"/>
  <c r="AB17" i="47" s="1"/>
  <c r="M13" i="47"/>
  <c r="M14" i="47" s="1"/>
  <c r="M16" i="47" s="1"/>
  <c r="M17" i="47" s="1"/>
  <c r="AJ13" i="47"/>
  <c r="AJ14" i="47" s="1"/>
  <c r="AJ16" i="47" s="1"/>
  <c r="AJ17" i="47" s="1"/>
  <c r="U38" i="55" l="1"/>
  <c r="V34" i="55" s="1"/>
  <c r="AF54" i="55"/>
  <c r="AG50" i="55" s="1"/>
  <c r="AF45" i="55"/>
  <c r="AF46" i="55" s="1"/>
  <c r="BI2" i="47" a="1"/>
  <c r="AL54" i="46"/>
  <c r="AM50" i="46" s="1"/>
  <c r="E36" i="46"/>
  <c r="E37" i="46" s="1"/>
  <c r="AJ47" i="46"/>
  <c r="AK43" i="46" s="1"/>
  <c r="V36" i="55" l="1"/>
  <c r="V37" i="55" s="1"/>
  <c r="V38" i="55" s="1"/>
  <c r="W34" i="55" s="1"/>
  <c r="AF47" i="55"/>
  <c r="AG43" i="55" s="1"/>
  <c r="AG52" i="55"/>
  <c r="AG53" i="55" s="1"/>
  <c r="BI2" i="47"/>
  <c r="M53" i="2"/>
  <c r="C53" i="2" s="1"/>
  <c r="E53" i="2" s="1"/>
  <c r="K53" i="2" s="1"/>
  <c r="M49" i="2"/>
  <c r="C49" i="2" s="1"/>
  <c r="E49" i="2" s="1"/>
  <c r="K49" i="2" s="1"/>
  <c r="M48" i="2"/>
  <c r="C48" i="2" s="1"/>
  <c r="E48" i="2" s="1"/>
  <c r="K48" i="2" s="1"/>
  <c r="M50" i="2"/>
  <c r="C50" i="2" s="1"/>
  <c r="E50" i="2" s="1"/>
  <c r="K50" i="2" s="1"/>
  <c r="M51" i="2"/>
  <c r="C51" i="2" s="1"/>
  <c r="E51" i="2" s="1"/>
  <c r="K51" i="2" s="1"/>
  <c r="M52" i="2"/>
  <c r="C52" i="2" s="1"/>
  <c r="E52" i="2" s="1"/>
  <c r="K52" i="2" s="1"/>
  <c r="E32" i="47" s="1"/>
  <c r="AM52" i="46"/>
  <c r="AM53" i="46" s="1"/>
  <c r="E38" i="46"/>
  <c r="F34" i="46" s="1"/>
  <c r="F36" i="46" s="1"/>
  <c r="F37" i="46" s="1"/>
  <c r="F38" i="46" s="1"/>
  <c r="G34" i="46" s="1"/>
  <c r="AK45" i="46"/>
  <c r="AK46" i="46" s="1"/>
  <c r="W36" i="55" l="1"/>
  <c r="W37" i="55" s="1"/>
  <c r="AG54" i="55"/>
  <c r="AH50" i="55" s="1"/>
  <c r="AG45" i="55"/>
  <c r="AG46" i="55" s="1"/>
  <c r="AC32" i="47"/>
  <c r="U32" i="47"/>
  <c r="M32" i="47"/>
  <c r="AB32" i="47"/>
  <c r="T32" i="47"/>
  <c r="L32" i="47"/>
  <c r="AA32" i="47"/>
  <c r="S32" i="47"/>
  <c r="K32" i="47"/>
  <c r="Z32" i="47"/>
  <c r="R32" i="47"/>
  <c r="J32" i="47"/>
  <c r="Y32" i="47"/>
  <c r="Q32" i="47"/>
  <c r="I32" i="47"/>
  <c r="X32" i="47"/>
  <c r="P32" i="47"/>
  <c r="H32" i="47"/>
  <c r="W32" i="47"/>
  <c r="O32" i="47"/>
  <c r="G32" i="47"/>
  <c r="V32" i="47"/>
  <c r="N32" i="47"/>
  <c r="F32" i="47"/>
  <c r="M4" i="2"/>
  <c r="C4" i="2" s="1"/>
  <c r="M47" i="2"/>
  <c r="C47" i="2" s="1"/>
  <c r="AM54" i="46"/>
  <c r="AN50" i="46" s="1"/>
  <c r="D10" i="2"/>
  <c r="D11" i="2"/>
  <c r="D19" i="2"/>
  <c r="D27" i="2"/>
  <c r="D4" i="2"/>
  <c r="D12" i="2"/>
  <c r="D7" i="2"/>
  <c r="D31" i="2"/>
  <c r="D8" i="2"/>
  <c r="D9" i="2"/>
  <c r="D20" i="2"/>
  <c r="D15" i="2"/>
  <c r="D24" i="2"/>
  <c r="D25" i="2"/>
  <c r="D16" i="2"/>
  <c r="D5" i="2"/>
  <c r="D21" i="2"/>
  <c r="D29" i="2"/>
  <c r="D6" i="2"/>
  <c r="D14" i="2"/>
  <c r="D22" i="2"/>
  <c r="D30" i="2"/>
  <c r="D23" i="2"/>
  <c r="D32" i="2"/>
  <c r="D17" i="2"/>
  <c r="M37" i="2"/>
  <c r="C37" i="2" s="1"/>
  <c r="M6" i="2"/>
  <c r="C6" i="2" s="1"/>
  <c r="M14" i="2"/>
  <c r="M30" i="2"/>
  <c r="M7" i="2"/>
  <c r="M15" i="2"/>
  <c r="C15" i="2" s="1"/>
  <c r="M23" i="2"/>
  <c r="C23" i="2" s="1"/>
  <c r="M31" i="2"/>
  <c r="C31" i="2" s="1"/>
  <c r="M39" i="2"/>
  <c r="C39" i="2" s="1"/>
  <c r="M16" i="2"/>
  <c r="M24" i="2"/>
  <c r="M32" i="2"/>
  <c r="M40" i="2"/>
  <c r="M34" i="2"/>
  <c r="M11" i="2"/>
  <c r="M27" i="2"/>
  <c r="C27" i="2" s="1"/>
  <c r="M12" i="2"/>
  <c r="C12" i="2" s="1"/>
  <c r="M28" i="2"/>
  <c r="M5" i="2"/>
  <c r="M29" i="2"/>
  <c r="C29" i="2" s="1"/>
  <c r="M46" i="2"/>
  <c r="C46" i="2" s="1"/>
  <c r="M8" i="2"/>
  <c r="C8" i="2" s="1"/>
  <c r="M43" i="2"/>
  <c r="M36" i="2"/>
  <c r="C36" i="2" s="1"/>
  <c r="M13" i="2"/>
  <c r="C13" i="2" s="1"/>
  <c r="M22" i="2"/>
  <c r="M9" i="2"/>
  <c r="M17" i="2"/>
  <c r="C17" i="2" s="1"/>
  <c r="M25" i="2"/>
  <c r="C25" i="2" s="1"/>
  <c r="M33" i="2"/>
  <c r="C33" i="2" s="1"/>
  <c r="M41" i="2"/>
  <c r="C41" i="2" s="1"/>
  <c r="M10" i="2"/>
  <c r="C10" i="2" s="1"/>
  <c r="M18" i="2"/>
  <c r="M26" i="2"/>
  <c r="M42" i="2"/>
  <c r="M19" i="2"/>
  <c r="M35" i="2"/>
  <c r="M20" i="2"/>
  <c r="M44" i="2"/>
  <c r="C44" i="2" s="1"/>
  <c r="M21" i="2"/>
  <c r="C21" i="2" s="1"/>
  <c r="M45" i="2"/>
  <c r="M38" i="2"/>
  <c r="G36" i="46"/>
  <c r="G37" i="46" s="1"/>
  <c r="AK47" i="46"/>
  <c r="AL43" i="46" s="1"/>
  <c r="M3" i="2"/>
  <c r="C3" i="2" s="1"/>
  <c r="D13" i="2"/>
  <c r="D26" i="2"/>
  <c r="D28" i="2"/>
  <c r="D18" i="2"/>
  <c r="W38" i="55" l="1"/>
  <c r="X34" i="55" s="1"/>
  <c r="X36" i="55" s="1"/>
  <c r="X37" i="55" s="1"/>
  <c r="AG47" i="55"/>
  <c r="AH43" i="55" s="1"/>
  <c r="AH52" i="55"/>
  <c r="AH53" i="55" s="1"/>
  <c r="C11" i="2"/>
  <c r="E11" i="2" s="1"/>
  <c r="K11" i="2" s="1"/>
  <c r="C34" i="2"/>
  <c r="E34" i="2" s="1"/>
  <c r="K34" i="2" s="1"/>
  <c r="C42" i="2"/>
  <c r="E42" i="2" s="1"/>
  <c r="K42" i="2" s="1"/>
  <c r="C9" i="2"/>
  <c r="C32" i="2"/>
  <c r="E32" i="2" s="1"/>
  <c r="K32" i="2" s="1"/>
  <c r="C7" i="2"/>
  <c r="E7" i="2" s="1"/>
  <c r="K7" i="2" s="1"/>
  <c r="C43" i="2"/>
  <c r="E43" i="2" s="1"/>
  <c r="K43" i="2" s="1"/>
  <c r="C35" i="2"/>
  <c r="E35" i="2" s="1"/>
  <c r="K35" i="2" s="1"/>
  <c r="C40" i="2"/>
  <c r="E40" i="2" s="1"/>
  <c r="K40" i="2" s="1"/>
  <c r="C38" i="2"/>
  <c r="E38" i="2" s="1"/>
  <c r="K38" i="2" s="1"/>
  <c r="C26" i="2"/>
  <c r="E26" i="2" s="1"/>
  <c r="K26" i="2" s="1"/>
  <c r="C22" i="2"/>
  <c r="E22" i="2" s="1"/>
  <c r="K22" i="2" s="1"/>
  <c r="C5" i="2"/>
  <c r="E5" i="2" s="1"/>
  <c r="K5" i="2" s="1"/>
  <c r="C24" i="2"/>
  <c r="E24" i="2" s="1"/>
  <c r="K24" i="2" s="1"/>
  <c r="C30" i="2"/>
  <c r="E30" i="2" s="1"/>
  <c r="K30" i="2" s="1"/>
  <c r="C19" i="2"/>
  <c r="E19" i="2" s="1"/>
  <c r="K19" i="2" s="1"/>
  <c r="C45" i="2"/>
  <c r="E45" i="2" s="1"/>
  <c r="K45" i="2" s="1"/>
  <c r="C18" i="2"/>
  <c r="E18" i="2" s="1"/>
  <c r="K18" i="2" s="1"/>
  <c r="C28" i="2"/>
  <c r="E28" i="2" s="1"/>
  <c r="K28" i="2" s="1"/>
  <c r="C16" i="2"/>
  <c r="E16" i="2" s="1"/>
  <c r="K16" i="2" s="1"/>
  <c r="C14" i="2"/>
  <c r="E14" i="2" s="1"/>
  <c r="K14" i="2" s="1"/>
  <c r="E10" i="2"/>
  <c r="K10" i="2" s="1"/>
  <c r="E12" i="2"/>
  <c r="K12" i="2" s="1"/>
  <c r="E47" i="2"/>
  <c r="K47" i="2" s="1"/>
  <c r="E6" i="2"/>
  <c r="K6" i="2" s="1"/>
  <c r="F6" i="2"/>
  <c r="L6" i="2" s="1"/>
  <c r="F20" i="2"/>
  <c r="L20" i="2" s="1"/>
  <c r="F19" i="2"/>
  <c r="L19" i="2" s="1"/>
  <c r="F26" i="2"/>
  <c r="L26" i="2" s="1"/>
  <c r="E44" i="2"/>
  <c r="K44" i="2" s="1"/>
  <c r="E41" i="2"/>
  <c r="K41" i="2" s="1"/>
  <c r="E4" i="2"/>
  <c r="E27" i="2"/>
  <c r="K27" i="2" s="1"/>
  <c r="E39" i="2"/>
  <c r="K39" i="2" s="1"/>
  <c r="E37" i="2"/>
  <c r="K37" i="2" s="1"/>
  <c r="F29" i="2"/>
  <c r="L29" i="2" s="1"/>
  <c r="F9" i="2"/>
  <c r="L9" i="2" s="1"/>
  <c r="F11" i="2"/>
  <c r="L11" i="2" s="1"/>
  <c r="F4" i="2"/>
  <c r="L4" i="2" s="1"/>
  <c r="F14" i="2"/>
  <c r="L14" i="2" s="1"/>
  <c r="E21" i="2"/>
  <c r="K21" i="2" s="1"/>
  <c r="F13" i="2"/>
  <c r="L13" i="2" s="1"/>
  <c r="E33" i="2"/>
  <c r="K33" i="2" s="1"/>
  <c r="E31" i="2"/>
  <c r="K31" i="2" s="1"/>
  <c r="F17" i="2"/>
  <c r="L17" i="2" s="1"/>
  <c r="F21" i="2"/>
  <c r="L21" i="2" s="1"/>
  <c r="F8" i="2"/>
  <c r="L8" i="2" s="1"/>
  <c r="F10" i="2"/>
  <c r="L10" i="2" s="1"/>
  <c r="F27" i="2"/>
  <c r="L27" i="2" s="1"/>
  <c r="F28" i="2"/>
  <c r="L28" i="2" s="1"/>
  <c r="F31" i="2"/>
  <c r="L31" i="2" s="1"/>
  <c r="F22" i="2"/>
  <c r="L22" i="2" s="1"/>
  <c r="F18" i="2"/>
  <c r="L18" i="2" s="1"/>
  <c r="E3" i="2"/>
  <c r="C2" i="33" s="1"/>
  <c r="E25" i="2"/>
  <c r="K25" i="2" s="1"/>
  <c r="E23" i="2"/>
  <c r="K23" i="2" s="1"/>
  <c r="F5" i="2"/>
  <c r="L5" i="2" s="1"/>
  <c r="E17" i="2"/>
  <c r="K17" i="2" s="1"/>
  <c r="E46" i="2"/>
  <c r="K46" i="2" s="1"/>
  <c r="E15" i="2"/>
  <c r="K15" i="2" s="1"/>
  <c r="F23" i="2"/>
  <c r="L23" i="2" s="1"/>
  <c r="F16" i="2"/>
  <c r="L16" i="2" s="1"/>
  <c r="F7" i="2"/>
  <c r="L7" i="2" s="1"/>
  <c r="F24" i="2"/>
  <c r="L24" i="2" s="1"/>
  <c r="E13" i="2"/>
  <c r="K13" i="2" s="1"/>
  <c r="F15" i="2"/>
  <c r="L15" i="2" s="1"/>
  <c r="E36" i="2"/>
  <c r="K36" i="2" s="1"/>
  <c r="E8" i="2"/>
  <c r="K8" i="2" s="1"/>
  <c r="F32" i="2"/>
  <c r="L32" i="2" s="1"/>
  <c r="E9" i="2"/>
  <c r="K9" i="2" s="1"/>
  <c r="E29" i="2"/>
  <c r="K29" i="2" s="1"/>
  <c r="F30" i="2"/>
  <c r="L30" i="2" s="1"/>
  <c r="F25" i="2"/>
  <c r="L25" i="2" s="1"/>
  <c r="F12" i="2"/>
  <c r="L12" i="2" s="1"/>
  <c r="AN52" i="46"/>
  <c r="AN53" i="46" s="1"/>
  <c r="D3" i="2"/>
  <c r="G38" i="46"/>
  <c r="H34" i="46" s="1"/>
  <c r="H36" i="46" s="1"/>
  <c r="H37" i="46" s="1"/>
  <c r="AL45" i="46"/>
  <c r="AL46" i="46" s="1"/>
  <c r="C20" i="2"/>
  <c r="X38" i="55" l="1"/>
  <c r="Y34" i="55" s="1"/>
  <c r="AH54" i="55"/>
  <c r="AI50" i="55" s="1"/>
  <c r="AH45" i="55"/>
  <c r="AH46" i="55" s="1"/>
  <c r="B2" i="33"/>
  <c r="D2" i="33"/>
  <c r="K3" i="2"/>
  <c r="K4" i="2"/>
  <c r="H2" i="33"/>
  <c r="O2" i="33"/>
  <c r="E2" i="33"/>
  <c r="G2" i="33"/>
  <c r="F2" i="33"/>
  <c r="R2" i="33"/>
  <c r="L2" i="33"/>
  <c r="K2" i="33"/>
  <c r="N2" i="33"/>
  <c r="F3" i="2"/>
  <c r="L3" i="2" s="1"/>
  <c r="I2" i="33"/>
  <c r="M2" i="33"/>
  <c r="J2" i="33"/>
  <c r="P2" i="33"/>
  <c r="Q2" i="33"/>
  <c r="E20" i="2"/>
  <c r="K20" i="2" s="1"/>
  <c r="AN54" i="46"/>
  <c r="AO50" i="46" s="1"/>
  <c r="H38" i="46"/>
  <c r="I34" i="46" s="1"/>
  <c r="I36" i="46" s="1"/>
  <c r="I37" i="46" s="1"/>
  <c r="AL47" i="46"/>
  <c r="AM43" i="46" s="1"/>
  <c r="Y36" i="55" l="1"/>
  <c r="Y37" i="55" s="1"/>
  <c r="Y38" i="55" s="1"/>
  <c r="Z34" i="55" s="1"/>
  <c r="AH47" i="55"/>
  <c r="AI43" i="55" s="1"/>
  <c r="AI52" i="55"/>
  <c r="AI53" i="55" s="1"/>
  <c r="C2" i="30" a="1"/>
  <c r="C2" i="30" s="1"/>
  <c r="AE3" i="33"/>
  <c r="G3" i="33"/>
  <c r="AL2" i="33"/>
  <c r="AW2" i="33"/>
  <c r="AD3" i="33"/>
  <c r="AR3" i="33"/>
  <c r="AB2" i="33"/>
  <c r="C3" i="33"/>
  <c r="AI2" i="33"/>
  <c r="M3" i="33"/>
  <c r="Y3" i="33"/>
  <c r="AM3" i="33"/>
  <c r="C3" i="30" a="1"/>
  <c r="C3" i="30" s="1"/>
  <c r="AY3" i="33"/>
  <c r="AP2" i="33"/>
  <c r="AO2" i="33"/>
  <c r="AY2" i="33"/>
  <c r="AV3" i="33"/>
  <c r="L3" i="33"/>
  <c r="AN3" i="33"/>
  <c r="V3" i="33"/>
  <c r="U3" i="33"/>
  <c r="AF3" i="33"/>
  <c r="E3" i="33"/>
  <c r="AD2" i="33"/>
  <c r="AC3" i="33"/>
  <c r="AS2" i="33"/>
  <c r="W2" i="33"/>
  <c r="AC2" i="33"/>
  <c r="X2" i="33"/>
  <c r="D3" i="33"/>
  <c r="AU3" i="33"/>
  <c r="I3" i="33"/>
  <c r="AA3" i="33"/>
  <c r="T3" i="33"/>
  <c r="AX3" i="33"/>
  <c r="W3" i="33"/>
  <c r="Z2" i="33"/>
  <c r="AI3" i="33"/>
  <c r="Z3" i="33"/>
  <c r="V2" i="33"/>
  <c r="AJ2" i="33"/>
  <c r="AN2" i="33"/>
  <c r="O3" i="33"/>
  <c r="N3" i="33"/>
  <c r="P3" i="33"/>
  <c r="T2" i="33"/>
  <c r="AV2" i="33"/>
  <c r="AE2" i="33"/>
  <c r="AM2" i="33"/>
  <c r="AK2" i="33"/>
  <c r="X3" i="33"/>
  <c r="AO3" i="33"/>
  <c r="J3" i="33"/>
  <c r="B3" i="33"/>
  <c r="R3" i="33"/>
  <c r="AK3" i="33"/>
  <c r="AG2" i="33"/>
  <c r="K3" i="33"/>
  <c r="AQ3" i="33"/>
  <c r="AT2" i="33"/>
  <c r="AH2" i="33"/>
  <c r="AF2" i="33"/>
  <c r="Y2" i="33"/>
  <c r="AA2" i="33"/>
  <c r="AZ2" i="33"/>
  <c r="AJ3" i="33"/>
  <c r="AS3" i="33"/>
  <c r="AG3" i="33"/>
  <c r="AP3" i="33"/>
  <c r="AT3" i="33"/>
  <c r="AZ3" i="33"/>
  <c r="AX2" i="33"/>
  <c r="H3" i="33"/>
  <c r="AQ2" i="33"/>
  <c r="S2" i="33"/>
  <c r="S3" i="33"/>
  <c r="AR2" i="33"/>
  <c r="U2" i="33"/>
  <c r="AU2" i="33"/>
  <c r="AL3" i="33"/>
  <c r="AH3" i="33"/>
  <c r="AB3" i="33"/>
  <c r="Q3" i="33"/>
  <c r="F3" i="33"/>
  <c r="AW3" i="33"/>
  <c r="AO52" i="46"/>
  <c r="AO53" i="46" s="1"/>
  <c r="I38" i="46"/>
  <c r="J34" i="46" s="1"/>
  <c r="AM45" i="46"/>
  <c r="AM46" i="46" s="1"/>
  <c r="Z36" i="55" l="1"/>
  <c r="Z37" i="55" s="1"/>
  <c r="AI54" i="55"/>
  <c r="AJ50" i="55" s="1"/>
  <c r="AI45" i="55"/>
  <c r="AI46" i="55" s="1"/>
  <c r="AI47" i="55" s="1"/>
  <c r="AJ43" i="55" s="1"/>
  <c r="AO54" i="46"/>
  <c r="AP50" i="46" s="1"/>
  <c r="AP52" i="46" s="1"/>
  <c r="AP53" i="46" s="1"/>
  <c r="AP54" i="46" s="1"/>
  <c r="AQ50" i="46" s="1"/>
  <c r="AQ52" i="46" s="1"/>
  <c r="AQ53" i="46" s="1"/>
  <c r="AM47" i="46"/>
  <c r="AN43" i="46" s="1"/>
  <c r="AN45" i="46" s="1"/>
  <c r="AN46" i="46" s="1"/>
  <c r="J36" i="46"/>
  <c r="J37" i="46" s="1"/>
  <c r="Z38" i="55" l="1"/>
  <c r="AA34" i="55" s="1"/>
  <c r="AJ45" i="55"/>
  <c r="AJ46" i="55" s="1"/>
  <c r="AJ52" i="55"/>
  <c r="AJ53" i="55" s="1"/>
  <c r="AQ54" i="46"/>
  <c r="AR50" i="46" s="1"/>
  <c r="J38" i="46"/>
  <c r="K34" i="46" s="1"/>
  <c r="K36" i="46" s="1"/>
  <c r="K37" i="46" s="1"/>
  <c r="K38" i="46" s="1"/>
  <c r="L34" i="46" s="1"/>
  <c r="L36" i="46" s="1"/>
  <c r="L37" i="46" s="1"/>
  <c r="AN47" i="46"/>
  <c r="AO43" i="46" s="1"/>
  <c r="AJ54" i="55" l="1"/>
  <c r="AK50" i="55" s="1"/>
  <c r="AK52" i="55" s="1"/>
  <c r="AK53" i="55" s="1"/>
  <c r="AA36" i="55"/>
  <c r="AA37" i="55" s="1"/>
  <c r="AJ47" i="55"/>
  <c r="AK43" i="55" s="1"/>
  <c r="AR52" i="46"/>
  <c r="AR53" i="46" s="1"/>
  <c r="L38" i="46"/>
  <c r="M34" i="46" s="1"/>
  <c r="AO45" i="46"/>
  <c r="AO46" i="46" s="1"/>
  <c r="AK54" i="55" l="1"/>
  <c r="AL50" i="55" s="1"/>
  <c r="AL52" i="55" s="1"/>
  <c r="AL53" i="55" s="1"/>
  <c r="AA38" i="55"/>
  <c r="AB34" i="55" s="1"/>
  <c r="AK45" i="55"/>
  <c r="AK46" i="55" s="1"/>
  <c r="AR54" i="46"/>
  <c r="AS50" i="46" s="1"/>
  <c r="M36" i="46"/>
  <c r="M37" i="46" s="1"/>
  <c r="AO47" i="46"/>
  <c r="AP43" i="46" s="1"/>
  <c r="AP45" i="46" s="1"/>
  <c r="AP46" i="46" s="1"/>
  <c r="AB36" i="55" l="1"/>
  <c r="AB37" i="55" s="1"/>
  <c r="AK47" i="55"/>
  <c r="AL43" i="55" s="1"/>
  <c r="AL54" i="55"/>
  <c r="AM50" i="55" s="1"/>
  <c r="AS52" i="46"/>
  <c r="AS53" i="46" s="1"/>
  <c r="M38" i="46"/>
  <c r="N34" i="46" s="1"/>
  <c r="AP47" i="46"/>
  <c r="AQ43" i="46" s="1"/>
  <c r="AB38" i="55" l="1"/>
  <c r="AC34" i="55" s="1"/>
  <c r="AM52" i="55"/>
  <c r="AM53" i="55" s="1"/>
  <c r="AL45" i="55"/>
  <c r="AL46" i="55" s="1"/>
  <c r="AS54" i="46"/>
  <c r="AT50" i="46" s="1"/>
  <c r="N36" i="46"/>
  <c r="N37" i="46" s="1"/>
  <c r="AQ45" i="46"/>
  <c r="AQ46" i="46" s="1"/>
  <c r="AC36" i="55" l="1"/>
  <c r="AC37" i="55" s="1"/>
  <c r="AC38" i="55" s="1"/>
  <c r="AD34" i="55" s="1"/>
  <c r="AL47" i="55"/>
  <c r="AM43" i="55" s="1"/>
  <c r="AM54" i="55"/>
  <c r="AN50" i="55" s="1"/>
  <c r="AT52" i="46"/>
  <c r="AT53" i="46" s="1"/>
  <c r="N38" i="46"/>
  <c r="O34" i="46" s="1"/>
  <c r="O36" i="46" s="1"/>
  <c r="O37" i="46" s="1"/>
  <c r="AQ47" i="46"/>
  <c r="AR43" i="46" s="1"/>
  <c r="AD36" i="55" l="1"/>
  <c r="AD37" i="55" s="1"/>
  <c r="AN52" i="55"/>
  <c r="AN53" i="55" s="1"/>
  <c r="AM45" i="55"/>
  <c r="AM46" i="55" s="1"/>
  <c r="AT54" i="46"/>
  <c r="O38" i="46"/>
  <c r="P34" i="46" s="1"/>
  <c r="AR45" i="46"/>
  <c r="AR46" i="46" s="1"/>
  <c r="AU50" i="46" l="1"/>
  <c r="AU52" i="46" s="1"/>
  <c r="AU53" i="46" s="1"/>
  <c r="AU54" i="46" s="1"/>
  <c r="AV50" i="46" s="1"/>
  <c r="AV52" i="46" s="1"/>
  <c r="AV53" i="46" s="1"/>
  <c r="AV54" i="46" s="1"/>
  <c r="AW50" i="46" s="1"/>
  <c r="AW52" i="46" s="1"/>
  <c r="AW53" i="46" s="1"/>
  <c r="AW54" i="46" s="1"/>
  <c r="AX50" i="46" s="1"/>
  <c r="AX52" i="46" s="1"/>
  <c r="AX53" i="46" s="1"/>
  <c r="AX54" i="46" s="1"/>
  <c r="AY50" i="46" s="1"/>
  <c r="AY52" i="46" s="1"/>
  <c r="AY53" i="46" s="1"/>
  <c r="AY54" i="46" s="1"/>
  <c r="B11" i="46" s="1"/>
  <c r="B12" i="46" s="1"/>
  <c r="B13" i="46" s="1"/>
  <c r="AN54" i="55"/>
  <c r="AO50" i="55" s="1"/>
  <c r="AD38" i="55"/>
  <c r="AE34" i="55" s="1"/>
  <c r="AE36" i="55" s="1"/>
  <c r="AE37" i="55" s="1"/>
  <c r="AM47" i="55"/>
  <c r="AN43" i="55" s="1"/>
  <c r="AN45" i="55"/>
  <c r="AN46" i="55" s="1"/>
  <c r="AO52" i="55"/>
  <c r="AO53" i="55" s="1"/>
  <c r="P36" i="46"/>
  <c r="P37" i="46" s="1"/>
  <c r="P38" i="46" s="1"/>
  <c r="Q34" i="46" s="1"/>
  <c r="AR47" i="46"/>
  <c r="AS43" i="46" s="1"/>
  <c r="E30" i="47" l="1"/>
  <c r="W30" i="47"/>
  <c r="M30" i="47"/>
  <c r="R30" i="47"/>
  <c r="O30" i="47"/>
  <c r="AB30" i="47"/>
  <c r="J30" i="47"/>
  <c r="T30" i="47"/>
  <c r="Y30" i="47"/>
  <c r="L30" i="47"/>
  <c r="S30" i="47"/>
  <c r="AC30" i="47"/>
  <c r="Z30" i="47"/>
  <c r="H30" i="47"/>
  <c r="G30" i="47"/>
  <c r="V30" i="47"/>
  <c r="Q30" i="47"/>
  <c r="N30" i="47"/>
  <c r="AA30" i="47"/>
  <c r="I30" i="47"/>
  <c r="F30" i="47"/>
  <c r="X30" i="47"/>
  <c r="P30" i="47"/>
  <c r="U30" i="47"/>
  <c r="K30" i="47"/>
  <c r="AE38" i="55"/>
  <c r="AF34" i="55" s="1"/>
  <c r="AF36" i="55" s="1"/>
  <c r="AF37" i="55" s="1"/>
  <c r="AF38" i="55" s="1"/>
  <c r="AG34" i="55" s="1"/>
  <c r="AN47" i="55"/>
  <c r="AO43" i="55" s="1"/>
  <c r="AO45" i="55" s="1"/>
  <c r="AO46" i="55" s="1"/>
  <c r="AO54" i="55"/>
  <c r="AP50" i="55" s="1"/>
  <c r="Q36" i="46"/>
  <c r="Q37" i="46" s="1"/>
  <c r="AS45" i="46"/>
  <c r="AS46" i="46" s="1"/>
  <c r="AG36" i="55" l="1"/>
  <c r="AG37" i="55" s="1"/>
  <c r="AG38" i="55" s="1"/>
  <c r="AH34" i="55" s="1"/>
  <c r="AO47" i="55"/>
  <c r="AP43" i="55" s="1"/>
  <c r="AP52" i="55"/>
  <c r="AP53" i="55" s="1"/>
  <c r="Q38" i="46"/>
  <c r="R34" i="46" s="1"/>
  <c r="AS47" i="46"/>
  <c r="AT43" i="46" s="1"/>
  <c r="AH36" i="55" l="1"/>
  <c r="AH37" i="55" s="1"/>
  <c r="AP45" i="55"/>
  <c r="AP46" i="55" s="1"/>
  <c r="AP54" i="55"/>
  <c r="AQ50" i="55" s="1"/>
  <c r="R36" i="46"/>
  <c r="R37" i="46" s="1"/>
  <c r="AT45" i="46"/>
  <c r="AT46" i="46" s="1"/>
  <c r="AT47" i="46" s="1"/>
  <c r="AH38" i="55" l="1"/>
  <c r="AI34" i="55" s="1"/>
  <c r="AI36" i="55" s="1"/>
  <c r="AI37" i="55" s="1"/>
  <c r="AI38" i="55" s="1"/>
  <c r="AJ34" i="55" s="1"/>
  <c r="AU43" i="46"/>
  <c r="AU45" i="46" s="1"/>
  <c r="AU46" i="46" s="1"/>
  <c r="AU47" i="46" s="1"/>
  <c r="AV43" i="46" s="1"/>
  <c r="AV45" i="46" s="1"/>
  <c r="AV46" i="46" s="1"/>
  <c r="AV47" i="46" s="1"/>
  <c r="AW43" i="46" s="1"/>
  <c r="AW45" i="46" s="1"/>
  <c r="AW46" i="46" s="1"/>
  <c r="AW47" i="46" s="1"/>
  <c r="AX43" i="46" s="1"/>
  <c r="AX45" i="46" s="1"/>
  <c r="AX46" i="46" s="1"/>
  <c r="AX47" i="46" s="1"/>
  <c r="AY43" i="46" s="1"/>
  <c r="AY45" i="46" s="1"/>
  <c r="AY46" i="46" s="1"/>
  <c r="AY47" i="46" s="1"/>
  <c r="B29" i="46" s="1"/>
  <c r="B30" i="46" s="1"/>
  <c r="B31" i="46" s="1"/>
  <c r="AQ52" i="55"/>
  <c r="AQ53" i="55" s="1"/>
  <c r="AP47" i="55"/>
  <c r="AQ43" i="55" s="1"/>
  <c r="R38" i="46"/>
  <c r="S34" i="46" s="1"/>
  <c r="AJ36" i="55" l="1"/>
  <c r="AJ37" i="55" s="1"/>
  <c r="AQ45" i="55"/>
  <c r="AQ46" i="55" s="1"/>
  <c r="AQ54" i="55"/>
  <c r="AR50" i="55" s="1"/>
  <c r="S36" i="46"/>
  <c r="S37" i="46" s="1"/>
  <c r="AJ38" i="55" l="1"/>
  <c r="AK34" i="55" s="1"/>
  <c r="AR52" i="55"/>
  <c r="AR53" i="55" s="1"/>
  <c r="AQ47" i="55"/>
  <c r="AR43" i="55" s="1"/>
  <c r="S38" i="46"/>
  <c r="T34" i="46" s="1"/>
  <c r="AR54" i="55" l="1"/>
  <c r="AS50" i="55" s="1"/>
  <c r="AK36" i="55"/>
  <c r="AK37" i="55" s="1"/>
  <c r="AR45" i="55"/>
  <c r="AR46" i="55" s="1"/>
  <c r="AS52" i="55"/>
  <c r="AS53" i="55" s="1"/>
  <c r="T36" i="46"/>
  <c r="T37" i="46" s="1"/>
  <c r="AK38" i="55" l="1"/>
  <c r="AL34" i="55" s="1"/>
  <c r="AL36" i="55" s="1"/>
  <c r="AL37" i="55" s="1"/>
  <c r="AL38" i="55" s="1"/>
  <c r="AM34" i="55" s="1"/>
  <c r="AS54" i="55"/>
  <c r="AT50" i="55" s="1"/>
  <c r="AR47" i="55"/>
  <c r="AS43" i="55" s="1"/>
  <c r="T38" i="46"/>
  <c r="U34" i="46" s="1"/>
  <c r="AM36" i="55" l="1"/>
  <c r="AM37" i="55" s="1"/>
  <c r="AM38" i="55" s="1"/>
  <c r="AN34" i="55" s="1"/>
  <c r="AS45" i="55"/>
  <c r="AS46" i="55" s="1"/>
  <c r="AS47" i="55"/>
  <c r="AT43" i="55" s="1"/>
  <c r="AT52" i="55"/>
  <c r="AT53" i="55" s="1"/>
  <c r="U36" i="46"/>
  <c r="U37" i="46" s="1"/>
  <c r="AN36" i="55" l="1"/>
  <c r="AN37" i="55" s="1"/>
  <c r="AN38" i="55" s="1"/>
  <c r="AO34" i="55" s="1"/>
  <c r="AT54" i="55"/>
  <c r="AU50" i="55" s="1"/>
  <c r="AU52" i="55" s="1"/>
  <c r="AU53" i="55" s="1"/>
  <c r="AU54" i="55" s="1"/>
  <c r="AV50" i="55" s="1"/>
  <c r="AT45" i="55"/>
  <c r="AT46" i="55" s="1"/>
  <c r="U38" i="46"/>
  <c r="V34" i="46" s="1"/>
  <c r="AV52" i="55" l="1"/>
  <c r="AV53" i="55" s="1"/>
  <c r="AV54" i="55" s="1"/>
  <c r="AW50" i="55" s="1"/>
  <c r="AO36" i="55"/>
  <c r="AO37" i="55" s="1"/>
  <c r="AO38" i="55" s="1"/>
  <c r="AP34" i="55" s="1"/>
  <c r="AT47" i="55"/>
  <c r="AU43" i="55" s="1"/>
  <c r="V36" i="46"/>
  <c r="V37" i="46" s="1"/>
  <c r="AW52" i="55" l="1"/>
  <c r="AW53" i="55" s="1"/>
  <c r="AU45" i="55"/>
  <c r="AU46" i="55" s="1"/>
  <c r="AU47" i="55"/>
  <c r="AV43" i="55" s="1"/>
  <c r="AP36" i="55"/>
  <c r="AP37" i="55" s="1"/>
  <c r="AP38" i="55" s="1"/>
  <c r="AQ34" i="55" s="1"/>
  <c r="V38" i="46"/>
  <c r="W34" i="46" s="1"/>
  <c r="W36" i="46" s="1"/>
  <c r="W37" i="46" s="1"/>
  <c r="AW54" i="55" l="1"/>
  <c r="AX50" i="55" s="1"/>
  <c r="AV45" i="55"/>
  <c r="AV46" i="55" s="1"/>
  <c r="AQ36" i="55"/>
  <c r="AQ37" i="55" s="1"/>
  <c r="AQ38" i="55" s="1"/>
  <c r="AR34" i="55" s="1"/>
  <c r="W38" i="46"/>
  <c r="X34" i="46" s="1"/>
  <c r="X36" i="46" s="1"/>
  <c r="X37" i="46" s="1"/>
  <c r="AX52" i="55" l="1"/>
  <c r="AX53" i="55" s="1"/>
  <c r="AV47" i="55"/>
  <c r="AW43" i="55" s="1"/>
  <c r="AR36" i="55"/>
  <c r="AR37" i="55" s="1"/>
  <c r="AR38" i="55" s="1"/>
  <c r="AS34" i="55" s="1"/>
  <c r="X38" i="46"/>
  <c r="Y34" i="46" s="1"/>
  <c r="AX54" i="55" l="1"/>
  <c r="AY50" i="55" s="1"/>
  <c r="AW45" i="55"/>
  <c r="AW46" i="55" s="1"/>
  <c r="AS36" i="55"/>
  <c r="AS37" i="55" s="1"/>
  <c r="AS38" i="55" s="1"/>
  <c r="AT34" i="55" s="1"/>
  <c r="Y36" i="46"/>
  <c r="Y37" i="46" s="1"/>
  <c r="AY52" i="55" l="1"/>
  <c r="AY53" i="55" s="1"/>
  <c r="AW47" i="55"/>
  <c r="AX43" i="55" s="1"/>
  <c r="AT36" i="55"/>
  <c r="AT37" i="55" s="1"/>
  <c r="AT38" i="55" s="1"/>
  <c r="Y38" i="46"/>
  <c r="Z34" i="46" s="1"/>
  <c r="Z36" i="46" s="1"/>
  <c r="Z37" i="46" s="1"/>
  <c r="AY54" i="55" l="1"/>
  <c r="B11" i="55" s="1"/>
  <c r="B12" i="55" s="1"/>
  <c r="B13" i="55" s="1"/>
  <c r="E30" i="56" s="1"/>
  <c r="AX45" i="55"/>
  <c r="AX46" i="55" s="1"/>
  <c r="AU34" i="55"/>
  <c r="Z38" i="46"/>
  <c r="AA34" i="46" s="1"/>
  <c r="V30" i="56" l="1"/>
  <c r="N30" i="56"/>
  <c r="F30" i="56"/>
  <c r="AC30" i="56"/>
  <c r="U30" i="56"/>
  <c r="M30" i="56"/>
  <c r="AB30" i="56"/>
  <c r="T30" i="56"/>
  <c r="L30" i="56"/>
  <c r="AA30" i="56"/>
  <c r="S30" i="56"/>
  <c r="K30" i="56"/>
  <c r="Z30" i="56"/>
  <c r="R30" i="56"/>
  <c r="J30" i="56"/>
  <c r="Y30" i="56"/>
  <c r="Q30" i="56"/>
  <c r="I30" i="56"/>
  <c r="X30" i="56"/>
  <c r="P30" i="56"/>
  <c r="H30" i="56"/>
  <c r="W30" i="56"/>
  <c r="O30" i="56"/>
  <c r="G30" i="56"/>
  <c r="AX47" i="55"/>
  <c r="AY43" i="55" s="1"/>
  <c r="AY45" i="55" s="1"/>
  <c r="AY46" i="55" s="1"/>
  <c r="AY47" i="55" s="1"/>
  <c r="AU36" i="55"/>
  <c r="AU37" i="55" s="1"/>
  <c r="AU38" i="55" s="1"/>
  <c r="AV34" i="55" s="1"/>
  <c r="AA36" i="46"/>
  <c r="AA37" i="46" s="1"/>
  <c r="B29" i="55" l="1"/>
  <c r="B30" i="55" s="1"/>
  <c r="B31" i="55" s="1"/>
  <c r="AV36" i="55"/>
  <c r="AV37" i="55" s="1"/>
  <c r="AV38" i="55" s="1"/>
  <c r="AW34" i="55" s="1"/>
  <c r="AA38" i="46"/>
  <c r="AB34" i="46" s="1"/>
  <c r="AW36" i="55" l="1"/>
  <c r="AW37" i="55" s="1"/>
  <c r="AB36" i="46"/>
  <c r="AB37" i="46" s="1"/>
  <c r="AW38" i="55" l="1"/>
  <c r="AX34" i="55" s="1"/>
  <c r="AX36" i="55" s="1"/>
  <c r="AX37" i="55" s="1"/>
  <c r="AB38" i="46"/>
  <c r="AC34" i="46" s="1"/>
  <c r="AX38" i="55" l="1"/>
  <c r="AY34" i="55" s="1"/>
  <c r="AY36" i="55"/>
  <c r="AY37" i="55" s="1"/>
  <c r="AC36" i="46"/>
  <c r="AC37" i="46" s="1"/>
  <c r="AY38" i="55" l="1"/>
  <c r="B16" i="55" s="1"/>
  <c r="B17" i="55" s="1"/>
  <c r="B18" i="55" s="1"/>
  <c r="E22" i="56" s="1"/>
  <c r="AC38" i="46"/>
  <c r="AD34" i="46" s="1"/>
  <c r="AD36" i="46" l="1"/>
  <c r="AD37" i="46" s="1"/>
  <c r="AB22" i="56" l="1"/>
  <c r="AB24" i="56" s="1"/>
  <c r="AA22" i="56"/>
  <c r="AA24" i="56" s="1"/>
  <c r="S22" i="56"/>
  <c r="S24" i="56" s="1"/>
  <c r="K22" i="56"/>
  <c r="K24" i="56" s="1"/>
  <c r="T22" i="56"/>
  <c r="T24" i="56" s="1"/>
  <c r="Z22" i="56"/>
  <c r="Z24" i="56" s="1"/>
  <c r="R22" i="56"/>
  <c r="R24" i="56" s="1"/>
  <c r="J22" i="56"/>
  <c r="J24" i="56" s="1"/>
  <c r="E24" i="56"/>
  <c r="Y22" i="56"/>
  <c r="Y24" i="56" s="1"/>
  <c r="Q22" i="56"/>
  <c r="Q24" i="56" s="1"/>
  <c r="I22" i="56"/>
  <c r="I24" i="56" s="1"/>
  <c r="X22" i="56"/>
  <c r="X24" i="56" s="1"/>
  <c r="P22" i="56"/>
  <c r="P24" i="56" s="1"/>
  <c r="H22" i="56"/>
  <c r="H24" i="56" s="1"/>
  <c r="W22" i="56"/>
  <c r="W24" i="56" s="1"/>
  <c r="O22" i="56"/>
  <c r="O24" i="56" s="1"/>
  <c r="G22" i="56"/>
  <c r="G24" i="56" s="1"/>
  <c r="U22" i="56"/>
  <c r="U24" i="56" s="1"/>
  <c r="M22" i="56"/>
  <c r="M24" i="56" s="1"/>
  <c r="V22" i="56"/>
  <c r="V24" i="56" s="1"/>
  <c r="N22" i="56"/>
  <c r="N24" i="56" s="1"/>
  <c r="F22" i="56"/>
  <c r="F24" i="56" s="1"/>
  <c r="AC22" i="56"/>
  <c r="AC24" i="56" s="1"/>
  <c r="L22" i="56"/>
  <c r="L24" i="56" s="1"/>
  <c r="AD38" i="46"/>
  <c r="AE34" i="46" s="1"/>
  <c r="AE36" i="46" s="1"/>
  <c r="AE37" i="46" s="1"/>
  <c r="E26" i="56" l="1"/>
  <c r="E25" i="56"/>
  <c r="R26" i="56"/>
  <c r="R25" i="56"/>
  <c r="R27" i="56"/>
  <c r="W27" i="56"/>
  <c r="W26" i="56"/>
  <c r="W25" i="56"/>
  <c r="F26" i="56"/>
  <c r="F25" i="56"/>
  <c r="F27" i="56"/>
  <c r="P27" i="56"/>
  <c r="P26" i="56"/>
  <c r="P25" i="56"/>
  <c r="V27" i="56"/>
  <c r="V26" i="56"/>
  <c r="V25" i="56"/>
  <c r="T26" i="56"/>
  <c r="T27" i="56"/>
  <c r="T25" i="56"/>
  <c r="M25" i="56"/>
  <c r="M27" i="56"/>
  <c r="M26" i="56"/>
  <c r="S27" i="56"/>
  <c r="S26" i="56"/>
  <c r="S25" i="56"/>
  <c r="J26" i="56"/>
  <c r="J27" i="56"/>
  <c r="J25" i="56"/>
  <c r="N27" i="56"/>
  <c r="N26" i="56"/>
  <c r="N25" i="56"/>
  <c r="X27" i="56"/>
  <c r="X26" i="56"/>
  <c r="X25" i="56"/>
  <c r="Y27" i="56"/>
  <c r="Y25" i="56"/>
  <c r="Y26" i="56"/>
  <c r="AC27" i="56"/>
  <c r="AC25" i="56"/>
  <c r="AC26" i="56"/>
  <c r="H27" i="56"/>
  <c r="H26" i="56"/>
  <c r="H25" i="56"/>
  <c r="Z27" i="56"/>
  <c r="Z26" i="56"/>
  <c r="Z25" i="56"/>
  <c r="Z28" i="56" s="1"/>
  <c r="Z29" i="56" s="1"/>
  <c r="Z31" i="56" s="1"/>
  <c r="Z33" i="56" s="1"/>
  <c r="Z34" i="56" s="1"/>
  <c r="Z35" i="56" s="1"/>
  <c r="I27" i="56"/>
  <c r="I25" i="56"/>
  <c r="I26" i="56"/>
  <c r="K26" i="56"/>
  <c r="K25" i="56"/>
  <c r="K27" i="56"/>
  <c r="U26" i="56"/>
  <c r="U25" i="56"/>
  <c r="U27" i="56"/>
  <c r="Q27" i="56"/>
  <c r="Q26" i="56"/>
  <c r="Q25" i="56"/>
  <c r="G26" i="56"/>
  <c r="G25" i="56"/>
  <c r="G27" i="56"/>
  <c r="AA25" i="56"/>
  <c r="AA26" i="56"/>
  <c r="AA27" i="56"/>
  <c r="L26" i="56"/>
  <c r="L25" i="56"/>
  <c r="L27" i="56"/>
  <c r="O27" i="56"/>
  <c r="O25" i="56"/>
  <c r="O26" i="56"/>
  <c r="E27" i="56"/>
  <c r="AB27" i="56"/>
  <c r="AB25" i="56"/>
  <c r="AB26" i="56"/>
  <c r="AE38" i="46"/>
  <c r="AF34" i="46" s="1"/>
  <c r="AF36" i="46" s="1"/>
  <c r="AF37" i="46" s="1"/>
  <c r="N28" i="56" l="1"/>
  <c r="N29" i="56" s="1"/>
  <c r="N31" i="56" s="1"/>
  <c r="N33" i="56" s="1"/>
  <c r="N34" i="56" s="1"/>
  <c r="N35" i="56" s="1"/>
  <c r="W28" i="56"/>
  <c r="W29" i="56" s="1"/>
  <c r="W31" i="56" s="1"/>
  <c r="W33" i="56" s="1"/>
  <c r="W34" i="56" s="1"/>
  <c r="W35" i="56" s="1"/>
  <c r="S28" i="56"/>
  <c r="S29" i="56" s="1"/>
  <c r="S31" i="56" s="1"/>
  <c r="S33" i="56" s="1"/>
  <c r="S34" i="56" s="1"/>
  <c r="S35" i="56" s="1"/>
  <c r="F28" i="56"/>
  <c r="F29" i="56" s="1"/>
  <c r="F31" i="56" s="1"/>
  <c r="F33" i="56" s="1"/>
  <c r="F34" i="56" s="1"/>
  <c r="F35" i="56" s="1"/>
  <c r="P28" i="56"/>
  <c r="P29" i="56" s="1"/>
  <c r="P31" i="56" s="1"/>
  <c r="P33" i="56" s="1"/>
  <c r="P34" i="56" s="1"/>
  <c r="P35" i="56" s="1"/>
  <c r="V28" i="56"/>
  <c r="V29" i="56" s="1"/>
  <c r="V31" i="56" s="1"/>
  <c r="V33" i="56" s="1"/>
  <c r="V34" i="56" s="1"/>
  <c r="V35" i="56" s="1"/>
  <c r="I28" i="56"/>
  <c r="I29" i="56" s="1"/>
  <c r="I31" i="56" s="1"/>
  <c r="I33" i="56" s="1"/>
  <c r="I34" i="56" s="1"/>
  <c r="I35" i="56" s="1"/>
  <c r="U28" i="56"/>
  <c r="U29" i="56" s="1"/>
  <c r="U31" i="56" s="1"/>
  <c r="U33" i="56" s="1"/>
  <c r="U34" i="56" s="1"/>
  <c r="U35" i="56" s="1"/>
  <c r="G28" i="56"/>
  <c r="G29" i="56" s="1"/>
  <c r="G31" i="56" s="1"/>
  <c r="G33" i="56" s="1"/>
  <c r="G34" i="56" s="1"/>
  <c r="G35" i="56" s="1"/>
  <c r="Y28" i="56"/>
  <c r="Y29" i="56" s="1"/>
  <c r="Y31" i="56" s="1"/>
  <c r="Y33" i="56" s="1"/>
  <c r="Y34" i="56" s="1"/>
  <c r="Y35" i="56" s="1"/>
  <c r="J28" i="56"/>
  <c r="J29" i="56" s="1"/>
  <c r="J31" i="56" s="1"/>
  <c r="J33" i="56" s="1"/>
  <c r="J34" i="56" s="1"/>
  <c r="J35" i="56" s="1"/>
  <c r="M28" i="56"/>
  <c r="M29" i="56" s="1"/>
  <c r="M31" i="56" s="1"/>
  <c r="M33" i="56" s="1"/>
  <c r="M34" i="56" s="1"/>
  <c r="M35" i="56" s="1"/>
  <c r="E28" i="56"/>
  <c r="E29" i="56" s="1"/>
  <c r="E31" i="56" s="1"/>
  <c r="E33" i="56" s="1"/>
  <c r="E34" i="56" s="1"/>
  <c r="E35" i="56" s="1"/>
  <c r="AC28" i="56"/>
  <c r="AC29" i="56" s="1"/>
  <c r="AC31" i="56" s="1"/>
  <c r="AC33" i="56" s="1"/>
  <c r="AC34" i="56" s="1"/>
  <c r="AC35" i="56" s="1"/>
  <c r="AA28" i="56"/>
  <c r="AA29" i="56" s="1"/>
  <c r="AA31" i="56" s="1"/>
  <c r="AA33" i="56" s="1"/>
  <c r="AA34" i="56" s="1"/>
  <c r="AA35" i="56" s="1"/>
  <c r="O28" i="56"/>
  <c r="O29" i="56" s="1"/>
  <c r="O31" i="56" s="1"/>
  <c r="O33" i="56" s="1"/>
  <c r="O34" i="56" s="1"/>
  <c r="O35" i="56" s="1"/>
  <c r="AB28" i="56"/>
  <c r="AB29" i="56" s="1"/>
  <c r="AB31" i="56" s="1"/>
  <c r="AB33" i="56" s="1"/>
  <c r="AB34" i="56" s="1"/>
  <c r="AB35" i="56" s="1"/>
  <c r="K28" i="56"/>
  <c r="K29" i="56" s="1"/>
  <c r="K31" i="56" s="1"/>
  <c r="K33" i="56" s="1"/>
  <c r="K34" i="56" s="1"/>
  <c r="K35" i="56" s="1"/>
  <c r="H28" i="56"/>
  <c r="H29" i="56" s="1"/>
  <c r="H31" i="56" s="1"/>
  <c r="H33" i="56" s="1"/>
  <c r="H34" i="56" s="1"/>
  <c r="H35" i="56" s="1"/>
  <c r="T28" i="56"/>
  <c r="T29" i="56" s="1"/>
  <c r="T31" i="56" s="1"/>
  <c r="T33" i="56" s="1"/>
  <c r="T34" i="56" s="1"/>
  <c r="T35" i="56" s="1"/>
  <c r="R28" i="56"/>
  <c r="R29" i="56" s="1"/>
  <c r="R31" i="56" s="1"/>
  <c r="R33" i="56" s="1"/>
  <c r="R34" i="56" s="1"/>
  <c r="R35" i="56" s="1"/>
  <c r="L28" i="56"/>
  <c r="L29" i="56" s="1"/>
  <c r="L31" i="56" s="1"/>
  <c r="L33" i="56" s="1"/>
  <c r="L34" i="56" s="1"/>
  <c r="L35" i="56" s="1"/>
  <c r="Q28" i="56"/>
  <c r="Q29" i="56" s="1"/>
  <c r="Q31" i="56" s="1"/>
  <c r="Q33" i="56" s="1"/>
  <c r="Q34" i="56" s="1"/>
  <c r="Q35" i="56" s="1"/>
  <c r="X28" i="56"/>
  <c r="X29" i="56" s="1"/>
  <c r="X31" i="56" s="1"/>
  <c r="X33" i="56" s="1"/>
  <c r="X34" i="56" s="1"/>
  <c r="X35" i="56" s="1"/>
  <c r="AF38" i="46"/>
  <c r="AG34" i="46" s="1"/>
  <c r="E37" i="56" l="1"/>
  <c r="AG36" i="46"/>
  <c r="AG37" i="46" s="1"/>
  <c r="AG38" i="46" l="1"/>
  <c r="AH34" i="46" s="1"/>
  <c r="AH36" i="46" l="1"/>
  <c r="AH37" i="46" s="1"/>
  <c r="AH38" i="46" l="1"/>
  <c r="AI34" i="46" s="1"/>
  <c r="AI36" i="46" l="1"/>
  <c r="AI37" i="46" s="1"/>
  <c r="AI38" i="46" l="1"/>
  <c r="AJ34" i="46" s="1"/>
  <c r="AJ36" i="46" s="1"/>
  <c r="AJ37" i="46" s="1"/>
  <c r="AJ38" i="46" l="1"/>
  <c r="AK34" i="46" s="1"/>
  <c r="AK36" i="46" s="1"/>
  <c r="AK37" i="46" s="1"/>
  <c r="AK38" i="46" l="1"/>
  <c r="AL34" i="46" s="1"/>
  <c r="AL36" i="46" s="1"/>
  <c r="AL37" i="46" s="1"/>
  <c r="AL38" i="46" l="1"/>
  <c r="AM34" i="46" s="1"/>
  <c r="AM36" i="46" l="1"/>
  <c r="AM37" i="46" s="1"/>
  <c r="AM38" i="46" l="1"/>
  <c r="AN34" i="46" s="1"/>
  <c r="AN36" i="46" l="1"/>
  <c r="AN37" i="46" s="1"/>
  <c r="AN38" i="46" l="1"/>
  <c r="AO34" i="46" s="1"/>
  <c r="AO36" i="46" l="1"/>
  <c r="AO37" i="46" s="1"/>
  <c r="AO38" i="46" l="1"/>
  <c r="AP34" i="46" s="1"/>
  <c r="AP36" i="46" l="1"/>
  <c r="AP37" i="46" s="1"/>
  <c r="AP38" i="46" l="1"/>
  <c r="AQ34" i="46" s="1"/>
  <c r="AQ36" i="46" l="1"/>
  <c r="AQ37" i="46" s="1"/>
  <c r="AQ38" i="46" l="1"/>
  <c r="AR34" i="46" s="1"/>
  <c r="AR36" i="46" s="1"/>
  <c r="AR37" i="46" s="1"/>
  <c r="AR38" i="46" l="1"/>
  <c r="AS34" i="46" s="1"/>
  <c r="AS36" i="46" l="1"/>
  <c r="AS37" i="46" s="1"/>
  <c r="AS38" i="46" l="1"/>
  <c r="AT34" i="46" s="1"/>
  <c r="AT36" i="46" l="1"/>
  <c r="AT37" i="46" s="1"/>
  <c r="AT38" i="46" l="1"/>
  <c r="AU34" i="46" l="1"/>
  <c r="B40" i="46"/>
  <c r="AU36" i="46" l="1"/>
  <c r="AU37" i="46" s="1"/>
  <c r="AU38" i="46" l="1"/>
  <c r="AV34" i="46" s="1"/>
  <c r="AV36" i="46" l="1"/>
  <c r="AV37" i="46" s="1"/>
  <c r="AV38" i="46" l="1"/>
  <c r="AW34" i="46" s="1"/>
  <c r="AW36" i="46" s="1"/>
  <c r="AW37" i="46" l="1"/>
  <c r="AW38" i="46" s="1"/>
  <c r="AX34" i="46" s="1"/>
  <c r="AX36" i="46" s="1"/>
  <c r="AX37" i="46" s="1"/>
  <c r="AX38" i="46" l="1"/>
  <c r="AY34" i="46" s="1"/>
  <c r="AY36" i="46" l="1"/>
  <c r="AY37" i="46" s="1"/>
  <c r="AY38" i="46" l="1"/>
  <c r="B16" i="46" s="1"/>
  <c r="B17" i="46" s="1"/>
  <c r="B18" i="46" s="1"/>
  <c r="E22" i="47" l="1"/>
  <c r="E24" i="47" s="1"/>
  <c r="M22" i="47"/>
  <c r="M24" i="47" s="1"/>
  <c r="M25" i="47" s="1"/>
  <c r="R22" i="47"/>
  <c r="R24" i="47" s="1"/>
  <c r="R26" i="47" s="1"/>
  <c r="U22" i="47"/>
  <c r="U24" i="47" s="1"/>
  <c r="U25" i="47" s="1"/>
  <c r="AB22" i="47"/>
  <c r="AB24" i="47" s="1"/>
  <c r="AB27" i="47" s="1"/>
  <c r="AC22" i="47"/>
  <c r="AC24" i="47" s="1"/>
  <c r="AC26" i="47" s="1"/>
  <c r="L22" i="47"/>
  <c r="L24" i="47" s="1"/>
  <c r="L26" i="47" s="1"/>
  <c r="P22" i="47"/>
  <c r="P24" i="47" s="1"/>
  <c r="P27" i="47" s="1"/>
  <c r="T22" i="47"/>
  <c r="T24" i="47" s="1"/>
  <c r="T27" i="47" s="1"/>
  <c r="O22" i="47"/>
  <c r="O24" i="47" s="1"/>
  <c r="O26" i="47" s="1"/>
  <c r="AA22" i="47"/>
  <c r="AA24" i="47" s="1"/>
  <c r="AA25" i="47" s="1"/>
  <c r="H22" i="47"/>
  <c r="H24" i="47" s="1"/>
  <c r="H26" i="47" s="1"/>
  <c r="F22" i="47"/>
  <c r="F24" i="47" s="1"/>
  <c r="F27" i="47" s="1"/>
  <c r="G22" i="47"/>
  <c r="G24" i="47" s="1"/>
  <c r="G25" i="47" s="1"/>
  <c r="N22" i="47"/>
  <c r="N24" i="47" s="1"/>
  <c r="N27" i="47" s="1"/>
  <c r="X22" i="47"/>
  <c r="X24" i="47" s="1"/>
  <c r="X25" i="47" s="1"/>
  <c r="Z22" i="47"/>
  <c r="Z24" i="47" s="1"/>
  <c r="Z27" i="47" s="1"/>
  <c r="Y22" i="47"/>
  <c r="Y24" i="47" s="1"/>
  <c r="Y25" i="47" s="1"/>
  <c r="S22" i="47"/>
  <c r="S24" i="47" s="1"/>
  <c r="S26" i="47" s="1"/>
  <c r="I22" i="47"/>
  <c r="I24" i="47" s="1"/>
  <c r="I26" i="47" s="1"/>
  <c r="Q22" i="47"/>
  <c r="Q24" i="47" s="1"/>
  <c r="Q25" i="47" s="1"/>
  <c r="V22" i="47"/>
  <c r="V24" i="47" s="1"/>
  <c r="V27" i="47" s="1"/>
  <c r="W22" i="47"/>
  <c r="W24" i="47" s="1"/>
  <c r="W25" i="47" s="1"/>
  <c r="J22" i="47"/>
  <c r="J24" i="47" s="1"/>
  <c r="J26" i="47" s="1"/>
  <c r="K22" i="47"/>
  <c r="K24" i="47" s="1"/>
  <c r="K27" i="47" s="1"/>
  <c r="M27" i="47"/>
  <c r="AA26" i="47"/>
  <c r="AA27" i="47"/>
  <c r="U27" i="47" l="1"/>
  <c r="U26" i="47"/>
  <c r="R27" i="47"/>
  <c r="J25" i="47"/>
  <c r="X26" i="47"/>
  <c r="X27" i="47"/>
  <c r="X28" i="47" s="1"/>
  <c r="X29" i="47" s="1"/>
  <c r="X31" i="47" s="1"/>
  <c r="X33" i="47" s="1"/>
  <c r="X34" i="47" s="1"/>
  <c r="X35" i="47" s="1"/>
  <c r="I25" i="47"/>
  <c r="E27" i="47"/>
  <c r="E25" i="47"/>
  <c r="E26" i="47"/>
  <c r="I27" i="47"/>
  <c r="W27" i="47"/>
  <c r="F25" i="47"/>
  <c r="G27" i="47"/>
  <c r="H27" i="47"/>
  <c r="W26" i="47"/>
  <c r="W28" i="47" s="1"/>
  <c r="W29" i="47" s="1"/>
  <c r="W31" i="47" s="1"/>
  <c r="W33" i="47" s="1"/>
  <c r="W34" i="47" s="1"/>
  <c r="W35" i="47" s="1"/>
  <c r="H25" i="47"/>
  <c r="L25" i="47"/>
  <c r="N25" i="47"/>
  <c r="N26" i="47"/>
  <c r="L27" i="47"/>
  <c r="AB25" i="47"/>
  <c r="F26" i="47"/>
  <c r="J27" i="47"/>
  <c r="J28" i="47" s="1"/>
  <c r="J29" i="47" s="1"/>
  <c r="J31" i="47" s="1"/>
  <c r="J33" i="47" s="1"/>
  <c r="J34" i="47" s="1"/>
  <c r="J35" i="47" s="1"/>
  <c r="AB26" i="47"/>
  <c r="P25" i="47"/>
  <c r="T26" i="47"/>
  <c r="Z26" i="47"/>
  <c r="Z25" i="47"/>
  <c r="AC25" i="47"/>
  <c r="K25" i="47"/>
  <c r="P26" i="47"/>
  <c r="G26" i="47"/>
  <c r="AC27" i="47"/>
  <c r="M26" i="47"/>
  <c r="M28" i="47" s="1"/>
  <c r="M29" i="47" s="1"/>
  <c r="M31" i="47" s="1"/>
  <c r="M33" i="47" s="1"/>
  <c r="M34" i="47" s="1"/>
  <c r="M35" i="47" s="1"/>
  <c r="Y26" i="47"/>
  <c r="Y27" i="47"/>
  <c r="V26" i="47"/>
  <c r="V25" i="47"/>
  <c r="K26" i="47"/>
  <c r="S25" i="47"/>
  <c r="O25" i="47"/>
  <c r="Q27" i="47"/>
  <c r="S27" i="47"/>
  <c r="O27" i="47"/>
  <c r="T25" i="47"/>
  <c r="Q26" i="47"/>
  <c r="R25" i="47"/>
  <c r="R28" i="47" s="1"/>
  <c r="R29" i="47" s="1"/>
  <c r="R31" i="47" s="1"/>
  <c r="R33" i="47" s="1"/>
  <c r="R34" i="47" s="1"/>
  <c r="R35" i="47" s="1"/>
  <c r="AA28" i="47"/>
  <c r="AA29" i="47" s="1"/>
  <c r="AA31" i="47" s="1"/>
  <c r="AA33" i="47" s="1"/>
  <c r="AA34" i="47" s="1"/>
  <c r="AA35" i="47" s="1"/>
  <c r="Z28" i="47" l="1"/>
  <c r="Z29" i="47" s="1"/>
  <c r="Z31" i="47" s="1"/>
  <c r="Z33" i="47" s="1"/>
  <c r="Z34" i="47" s="1"/>
  <c r="Z35" i="47" s="1"/>
  <c r="H28" i="47"/>
  <c r="H29" i="47" s="1"/>
  <c r="H31" i="47" s="1"/>
  <c r="H33" i="47" s="1"/>
  <c r="H34" i="47" s="1"/>
  <c r="H35" i="47" s="1"/>
  <c r="U28" i="47"/>
  <c r="U29" i="47" s="1"/>
  <c r="U31" i="47" s="1"/>
  <c r="U33" i="47" s="1"/>
  <c r="U34" i="47" s="1"/>
  <c r="U35" i="47" s="1"/>
  <c r="N28" i="47"/>
  <c r="N29" i="47" s="1"/>
  <c r="N31" i="47" s="1"/>
  <c r="N33" i="47" s="1"/>
  <c r="N34" i="47" s="1"/>
  <c r="N35" i="47" s="1"/>
  <c r="I28" i="47"/>
  <c r="I29" i="47" s="1"/>
  <c r="I31" i="47" s="1"/>
  <c r="I33" i="47" s="1"/>
  <c r="I34" i="47" s="1"/>
  <c r="I35" i="47" s="1"/>
  <c r="L28" i="47"/>
  <c r="L29" i="47" s="1"/>
  <c r="L31" i="47" s="1"/>
  <c r="L33" i="47" s="1"/>
  <c r="L34" i="47" s="1"/>
  <c r="L35" i="47" s="1"/>
  <c r="T28" i="47"/>
  <c r="T29" i="47" s="1"/>
  <c r="T31" i="47" s="1"/>
  <c r="T33" i="47" s="1"/>
  <c r="T34" i="47" s="1"/>
  <c r="T35" i="47" s="1"/>
  <c r="Y28" i="47"/>
  <c r="Y29" i="47" s="1"/>
  <c r="Y31" i="47" s="1"/>
  <c r="Y33" i="47" s="1"/>
  <c r="Y34" i="47" s="1"/>
  <c r="Y35" i="47" s="1"/>
  <c r="G28" i="47"/>
  <c r="G29" i="47" s="1"/>
  <c r="G31" i="47" s="1"/>
  <c r="G33" i="47" s="1"/>
  <c r="G34" i="47" s="1"/>
  <c r="G35" i="47" s="1"/>
  <c r="AB28" i="47"/>
  <c r="AB29" i="47" s="1"/>
  <c r="AB31" i="47" s="1"/>
  <c r="AB33" i="47" s="1"/>
  <c r="AB34" i="47" s="1"/>
  <c r="AB35" i="47" s="1"/>
  <c r="P28" i="47"/>
  <c r="P29" i="47" s="1"/>
  <c r="P31" i="47" s="1"/>
  <c r="P33" i="47" s="1"/>
  <c r="P34" i="47" s="1"/>
  <c r="P35" i="47" s="1"/>
  <c r="E28" i="47"/>
  <c r="E29" i="47" s="1"/>
  <c r="E31" i="47" s="1"/>
  <c r="Q28" i="47"/>
  <c r="Q29" i="47" s="1"/>
  <c r="Q31" i="47" s="1"/>
  <c r="Q33" i="47" s="1"/>
  <c r="Q34" i="47" s="1"/>
  <c r="Q35" i="47" s="1"/>
  <c r="V28" i="47"/>
  <c r="V29" i="47" s="1"/>
  <c r="V31" i="47" s="1"/>
  <c r="V33" i="47" s="1"/>
  <c r="V34" i="47" s="1"/>
  <c r="V35" i="47" s="1"/>
  <c r="K28" i="47"/>
  <c r="K29" i="47" s="1"/>
  <c r="K31" i="47" s="1"/>
  <c r="K33" i="47" s="1"/>
  <c r="K34" i="47" s="1"/>
  <c r="K35" i="47" s="1"/>
  <c r="F28" i="47"/>
  <c r="F29" i="47" s="1"/>
  <c r="F31" i="47" s="1"/>
  <c r="F33" i="47" s="1"/>
  <c r="F34" i="47" s="1"/>
  <c r="F35" i="47" s="1"/>
  <c r="AC28" i="47"/>
  <c r="AC29" i="47" s="1"/>
  <c r="AC31" i="47" s="1"/>
  <c r="AC33" i="47" s="1"/>
  <c r="AC34" i="47" s="1"/>
  <c r="AC35" i="47" s="1"/>
  <c r="O28" i="47"/>
  <c r="O29" i="47" s="1"/>
  <c r="O31" i="47" s="1"/>
  <c r="O33" i="47" s="1"/>
  <c r="O34" i="47" s="1"/>
  <c r="O35" i="47" s="1"/>
  <c r="S28" i="47"/>
  <c r="S29" i="47" s="1"/>
  <c r="S31" i="47" s="1"/>
  <c r="S33" i="47" s="1"/>
  <c r="S34" i="47" s="1"/>
  <c r="S35" i="47" s="1"/>
  <c r="E33" i="47" l="1"/>
  <c r="E34" i="47" s="1"/>
  <c r="E35" i="47" s="1"/>
  <c r="E37" i="4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Thorbjørn Larsen</author>
  </authors>
  <commentList>
    <comment ref="B8" authorId="0" shapeId="0" xr:uid="{55844A1A-CD9E-40D7-A8D9-D39CE79F7176}">
      <text>
        <r>
          <rPr>
            <sz val="9"/>
            <color indexed="81"/>
            <rFont val="Tahoma"/>
            <family val="2"/>
          </rPr>
          <t>If we download a report from a source, ex: Djøf, we will store it here and will not directly edit it</t>
        </r>
      </text>
    </comment>
    <comment ref="B9" authorId="0" shapeId="0" xr:uid="{C834B403-02CE-4023-A9EB-93187FD9FBBC}">
      <text>
        <r>
          <rPr>
            <sz val="9"/>
            <color indexed="81"/>
            <rFont val="Tahoma"/>
            <family val="2"/>
          </rPr>
          <t>Raw Report but a column has been added for lookups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<sst xmlns="http://schemas.openxmlformats.org/spreadsheetml/2006/main" count="1524" uniqueCount="278">
  <si>
    <t>N</t>
  </si>
  <si>
    <t>Year</t>
  </si>
  <si>
    <t>SalaryP1</t>
  </si>
  <si>
    <t>SalaryP2</t>
  </si>
  <si>
    <t>GrossMonthlySalaryP1</t>
  </si>
  <si>
    <t>GrossMonthlySalaryP2</t>
  </si>
  <si>
    <t>Status på arbejdsmarkedet/ Beskæftigelse og jobskifte/ Antal lønmodtagere efter bopæl</t>
  </si>
  <si>
    <t>Hele landet</t>
  </si>
  <si>
    <t>Herkomst i alt</t>
  </si>
  <si>
    <t>Køn i alt</t>
  </si>
  <si>
    <t>Finansiering og forsikring</t>
  </si>
  <si>
    <t>Antal fuldtidsbeskæftigede lønmodtagere efter bopæl</t>
  </si>
  <si>
    <t>2008</t>
  </si>
  <si>
    <t>25-29 år</t>
  </si>
  <si>
    <t>30-34 år</t>
  </si>
  <si>
    <t>35-39 år</t>
  </si>
  <si>
    <t>40-44 år</t>
  </si>
  <si>
    <t>45-49 år</t>
  </si>
  <si>
    <t>50-54 år</t>
  </si>
  <si>
    <t>55-59 år</t>
  </si>
  <si>
    <t>60-64 år</t>
  </si>
  <si>
    <t>65+ år</t>
  </si>
  <si>
    <t>2009</t>
  </si>
  <si>
    <t>2010</t>
  </si>
  <si>
    <t>2011</t>
  </si>
  <si>
    <t>2012</t>
  </si>
  <si>
    <t>2013</t>
  </si>
  <si>
    <t>2014</t>
  </si>
  <si>
    <t>2015</t>
  </si>
  <si>
    <t>2016</t>
  </si>
  <si>
    <t>2017</t>
  </si>
  <si>
    <t>2018</t>
  </si>
  <si>
    <t>2019</t>
  </si>
  <si>
    <t>2020</t>
  </si>
  <si>
    <t>2021</t>
  </si>
  <si>
    <t>2022</t>
  </si>
  <si>
    <t>2023</t>
  </si>
  <si>
    <t>2024</t>
  </si>
  <si>
    <t>Kilde: CPR-registeret, CVR-registeret og DetailCOR</t>
  </si>
  <si>
    <t>Anm.: Pga. efterregistreringer kan tallene for især den seneste periode stige ved næste opdatering.</t>
  </si>
  <si>
    <t>Status på arbejdsmarkedet/ Beskæftigelse og jobskifte/ Antal personer der har skiftet eller startet i nyt job (jobomsætning)</t>
  </si>
  <si>
    <t>Privat sektor</t>
  </si>
  <si>
    <t>Jobomsætning</t>
  </si>
  <si>
    <t>65-69 år</t>
  </si>
  <si>
    <t>Table Colors</t>
  </si>
  <si>
    <t>Uploaded to Python</t>
  </si>
  <si>
    <t>Raw Report</t>
  </si>
  <si>
    <t>Calculation</t>
  </si>
  <si>
    <t>Not Uploaded to Python</t>
  </si>
  <si>
    <t>Age</t>
  </si>
  <si>
    <t>Age Group</t>
  </si>
  <si>
    <t>Finance Workers</t>
  </si>
  <si>
    <t>Finance Hoppers</t>
  </si>
  <si>
    <t>FH/FW</t>
  </si>
  <si>
    <t>FH/FV</t>
  </si>
  <si>
    <t>Raw Report with Key</t>
  </si>
  <si>
    <t>SwitchP1</t>
  </si>
  <si>
    <t>SwitchP2</t>
  </si>
  <si>
    <t>Y</t>
  </si>
  <si>
    <t>SwitchP1Static</t>
  </si>
  <si>
    <t>SwitchP2Static</t>
  </si>
  <si>
    <t>Switch</t>
  </si>
  <si>
    <t>Inflation</t>
  </si>
  <si>
    <t>Salary Raise</t>
  </si>
  <si>
    <t>Job Hopping "Bonus"</t>
  </si>
  <si>
    <t>Real Salary Raise</t>
  </si>
  <si>
    <t>Value Ratio</t>
  </si>
  <si>
    <t>Funding Requirement</t>
  </si>
  <si>
    <t>Time Horizon</t>
  </si>
  <si>
    <t>GOAL A</t>
  </si>
  <si>
    <t>GOAL B</t>
  </si>
  <si>
    <t>GOAL C</t>
  </si>
  <si>
    <t>GOAL D</t>
  </si>
  <si>
    <t>Goal Info</t>
  </si>
  <si>
    <t>P2</t>
  </si>
  <si>
    <t>P1</t>
  </si>
  <si>
    <t>% of salary dedicated to investments</t>
  </si>
  <si>
    <t>InvestmentP1</t>
  </si>
  <si>
    <t>InvestmentP2</t>
  </si>
  <si>
    <t>Excel side:</t>
  </si>
  <si>
    <t>Goal calculation</t>
  </si>
  <si>
    <t>Investment income calculation</t>
  </si>
  <si>
    <t>Returns input with samsseewfwfuweerhugf for long term, and simulation for short term</t>
  </si>
  <si>
    <t>Python side:</t>
  </si>
  <si>
    <t>Question for Johan:</t>
  </si>
  <si>
    <t>Vasicek ready, what do we use bond simulation for? How does it correlate to bond ETF</t>
  </si>
  <si>
    <t>For retirement goal: Calculate what the amount needed is and also research from denmark statistik what is the median returns by retirement age.</t>
  </si>
  <si>
    <t>From last meeting Johan mentioned you can put the tax money back into the account???? What does this mean I am not sure: Saxo bank shows this below which might explain</t>
  </si>
  <si>
    <t>Update: I KNOW WHAT HE MEANT AHAHAHA IM A GENIOUS!!!! So basically it means that (from what I understand) the 17% tax deducts from your available input amount, allowing to deposit more into the account.</t>
  </si>
  <si>
    <t>Here</t>
  </si>
  <si>
    <t>ZC Bond</t>
  </si>
  <si>
    <t>SP</t>
  </si>
  <si>
    <t>Return</t>
  </si>
  <si>
    <t>Vol</t>
  </si>
  <si>
    <t>Use value simulated for each year or the average</t>
  </si>
  <si>
    <t>Split each goal into a per year goal, so achieve a % of the total goal in that year, and then the model would actually work as is</t>
  </si>
  <si>
    <t>Goal: House</t>
  </si>
  <si>
    <t>in 10 years</t>
  </si>
  <si>
    <t>Total</t>
  </si>
  <si>
    <t>Task for the master file</t>
  </si>
  <si>
    <t>Emerging Markets - Equities</t>
  </si>
  <si>
    <t>Developed Markets - Equities</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</si>
  <si>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</si>
  <si>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</si>
  <si>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</si>
  <si>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</si>
  <si>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</si>
  <si>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</si>
  <si>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</si>
  <si>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</si>
  <si>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</si>
  <si>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</si>
  <si>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</si>
  <si>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</si>
  <si>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</si>
  <si>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</si>
  <si>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</si>
  <si>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</si>
  <si>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</si>
  <si>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</si>
  <si>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</si>
  <si>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</si>
  <si>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</si>
  <si>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</si>
  <si>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</si>
  <si>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</si>
  <si>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</si>
  <si>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</si>
  <si>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</si>
  <si>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</si>
  <si>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</si>
  <si>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</si>
  <si>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</si>
  <si>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</si>
  <si>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</si>
  <si>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</si>
  <si>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</si>
  <si>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</si>
  <si>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</si>
  <si>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</si>
  <si>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</si>
  <si>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</si>
  <si>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</si>
  <si>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</si>
  <si>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</si>
  <si>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</si>
  <si>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</si>
  <si>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</si>
  <si>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</si>
  <si>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</si>
  <si>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</si>
  <si>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</si>
  <si>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Government ZC Bonds - Obligations</t>
  </si>
  <si>
    <t>Investment Grade Bonds - Obligations</t>
  </si>
  <si>
    <t>High Yield Bonds - Obligations</t>
  </si>
  <si>
    <t>Emerging Markets State - Obligations</t>
  </si>
  <si>
    <t>volatility</t>
  </si>
  <si>
    <t>2075</t>
  </si>
  <si>
    <t>Asset</t>
  </si>
  <si>
    <t>Cost (Basis Point)</t>
  </si>
  <si>
    <t>Link</t>
  </si>
  <si>
    <t>Equities</t>
  </si>
  <si>
    <t>Obligations</t>
  </si>
  <si>
    <t>https://skat.dk/borger/aktier-og-andre-vaerdipapirer/aktiesparekonto?</t>
  </si>
  <si>
    <t>median:</t>
  </si>
  <si>
    <t>Max cap</t>
  </si>
  <si>
    <t>Change (%)</t>
  </si>
  <si>
    <t>without 2020:</t>
  </si>
  <si>
    <t>AgeP1</t>
  </si>
  <si>
    <t>AgeP2</t>
  </si>
  <si>
    <t>LoopStatus</t>
  </si>
  <si>
    <t>NetMonthlySalaryP1</t>
  </si>
  <si>
    <t>NetMonthlySalaryP2</t>
  </si>
  <si>
    <t>GrossMonthlyInflationAdjustedP2</t>
  </si>
  <si>
    <t>GrossMonthlyInflationAdjustedP1</t>
  </si>
  <si>
    <t>Real Job Hopping "Bonus"</t>
  </si>
  <si>
    <t>Month Salary</t>
  </si>
  <si>
    <t>Personal Contribution</t>
  </si>
  <si>
    <t>Personal Contribution (%)</t>
  </si>
  <si>
    <t>Company Contribution</t>
  </si>
  <si>
    <t>Total Contribution (Monthly)</t>
  </si>
  <si>
    <t>Total Contribution (Yearly)</t>
  </si>
  <si>
    <t>per year</t>
  </si>
  <si>
    <t>Monthly</t>
  </si>
  <si>
    <t>Divided by 25 years</t>
  </si>
  <si>
    <t>per month (gross)</t>
  </si>
  <si>
    <t>Yearly Salary</t>
  </si>
  <si>
    <t>Post Pension</t>
  </si>
  <si>
    <t>AM (%)</t>
  </si>
  <si>
    <t>Municipal Tax</t>
  </si>
  <si>
    <t>Top State Tax</t>
  </si>
  <si>
    <t>Bottom State Tax</t>
  </si>
  <si>
    <t>Total Tax</t>
  </si>
  <si>
    <t>Post Tax Salary</t>
  </si>
  <si>
    <t xml:space="preserve">Aldersopsparing max </t>
  </si>
  <si>
    <t>Month Salary (Inflation Adjusted)</t>
  </si>
  <si>
    <t>Net Salary (Monthly)</t>
  </si>
  <si>
    <t>Public Pension Average Monthly</t>
  </si>
  <si>
    <t>Taxed in Retirement?</t>
  </si>
  <si>
    <t>Yes</t>
  </si>
  <si>
    <t>Income tax</t>
  </si>
  <si>
    <t>Public Pension Average Yearly</t>
  </si>
  <si>
    <t>Monthly Salary</t>
  </si>
  <si>
    <t>Yearly Salary Inflation Adjusted</t>
  </si>
  <si>
    <t>Diff</t>
  </si>
  <si>
    <t>To be financed</t>
  </si>
  <si>
    <t>helper for other column, do not remove --&gt;</t>
  </si>
  <si>
    <t>Company Contribution (%)</t>
  </si>
  <si>
    <t>Description</t>
  </si>
  <si>
    <t>Table of Contents</t>
  </si>
  <si>
    <t>Salary Model</t>
  </si>
  <si>
    <t>GBI Model</t>
  </si>
  <si>
    <t>Contribution to pension</t>
  </si>
  <si>
    <t>Personal</t>
  </si>
  <si>
    <t>Company</t>
  </si>
  <si>
    <t>Tax</t>
  </si>
  <si>
    <t>Aldersopsparing maximum contribution</t>
  </si>
  <si>
    <t>Salary Growth</t>
  </si>
  <si>
    <t>Capital Gains &lt; 67,500DKK</t>
  </si>
  <si>
    <t>Capital Gains &gt; 67,500DKK</t>
  </si>
  <si>
    <t>Capital Gains Threshold</t>
  </si>
  <si>
    <t>Initial Salary P1</t>
  </si>
  <si>
    <t>Initial Salary P2</t>
  </si>
  <si>
    <t>Net Salary Calculation for P1</t>
  </si>
  <si>
    <t>Net Salary Calculation for P2</t>
  </si>
  <si>
    <t>Calculating the pension contributions for P1</t>
  </si>
  <si>
    <t>Calculating the pension contributions for P2</t>
  </si>
  <si>
    <t>Modelling the salary path for both investors</t>
  </si>
  <si>
    <t>Model Parameters</t>
  </si>
  <si>
    <t>Personal Allowance</t>
  </si>
  <si>
    <t>Bottom-Bracket State Tax rate (%)</t>
  </si>
  <si>
    <t>Top-bracket State Tax rate (%)</t>
  </si>
  <si>
    <t>State Tax Bracket Threshold</t>
  </si>
  <si>
    <t>Municipal Tax (%)</t>
  </si>
  <si>
    <t>Post AM (Taxable Personal Income)</t>
  </si>
  <si>
    <t>TPI exceed PA</t>
  </si>
  <si>
    <t>Income!A1</t>
  </si>
  <si>
    <t>TOC Colour Coding</t>
  </si>
  <si>
    <t>Loop used when executing the python script</t>
  </si>
  <si>
    <t>Job hopping modelled</t>
  </si>
  <si>
    <t>Data on job hopping</t>
  </si>
  <si>
    <t>Data on employment based on age groups</t>
  </si>
  <si>
    <t>Inputs</t>
  </si>
  <si>
    <t>base</t>
  </si>
  <si>
    <t>Pension growth</t>
  </si>
  <si>
    <t>Work Pension growth (%)</t>
  </si>
  <si>
    <t>PAL tax</t>
  </si>
  <si>
    <t>Work pension growth</t>
  </si>
  <si>
    <t>Work Pension End of Year</t>
  </si>
  <si>
    <t>Work Pension Start of Year</t>
  </si>
  <si>
    <t>Total Work Pension</t>
  </si>
  <si>
    <t>ATP</t>
  </si>
  <si>
    <t>https://businessindenmark.virk.dk/guidance/atp-livslang-pension-bid/atp-employer/atp-contribution-rates2024/</t>
  </si>
  <si>
    <t>ATP start of year</t>
  </si>
  <si>
    <t>ATP monthly</t>
  </si>
  <si>
    <t>ATP yearly</t>
  </si>
  <si>
    <t>Post ATP</t>
  </si>
  <si>
    <t>Pension growth (%)</t>
  </si>
  <si>
    <t>Post Tax</t>
  </si>
  <si>
    <t>ATP Yearly</t>
  </si>
  <si>
    <t>ATP Monthly</t>
  </si>
  <si>
    <t>Total Contribution (Work Pension)</t>
  </si>
  <si>
    <t>supplement</t>
  </si>
  <si>
    <t>Inverse</t>
  </si>
  <si>
    <t>Monthly Target</t>
  </si>
  <si>
    <t>Yearly Target</t>
  </si>
  <si>
    <t>Alderopsparing</t>
  </si>
  <si>
    <t>Net Salary (Yearly)</t>
  </si>
  <si>
    <t>Aldersopsparing</t>
  </si>
  <si>
    <t>Start of year</t>
  </si>
  <si>
    <t>Aldersopsparing Total</t>
  </si>
  <si>
    <t>Divided by 25</t>
  </si>
  <si>
    <t>Taxed in retirement?</t>
  </si>
  <si>
    <t>No</t>
  </si>
  <si>
    <t>Last  Net Income from Work</t>
  </si>
  <si>
    <t>Post Investing</t>
  </si>
  <si>
    <t>Goal Details</t>
  </si>
  <si>
    <t>Work Pension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</si>
</sst>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0.000"/>
    <numFmt numFmtId="165" formatCode="0.00000"/>
    <numFmt numFmtId="166" formatCode="0.000000"/>
    <numFmt numFmtId="167" formatCode="_-* #,##0.0\ _k_r_._-;\-* #,##0.0\ _k_r_._-;_-* &quot;-&quot;?\ _k_r_._-;_-@_-"/>
  </numFmts>
  <fonts count="16" x14ac:knownFonts="1">
    <font>
      <sz val="11"/>
      <color theme="1"/>
      <name val="Aptos Narrow"/>
      <family val="2"/>
      <scheme val="minor"/>
    </font>
    <font>
      <sz val="11"/>
      <color theme="1"/>
      <name val="Aptos Narrow"/>
      <family val="2"/>
      <scheme val="minor"/>
    </font>
    <font>
      <b/>
      <sz val="11"/>
      <color theme="0"/>
      <name val="Aptos Narrow"/>
      <family val="2"/>
      <scheme val="minor"/>
    </font>
    <font>
      <b/>
      <sz val="18"/>
      <name val="Calibri"/>
      <family val="2"/>
    </font>
    <font>
      <b/>
      <u/>
      <sz val="18"/>
      <color theme="1"/>
      <name val="Aptos Narrow"/>
      <family val="2"/>
      <scheme val="minor"/>
    </font>
    <font>
      <sz val="11"/>
      <color rgb="FF3F3F76"/>
      <name val="Aptos Narrow"/>
      <family val="2"/>
      <scheme val="minor"/>
    </font>
    <font>
      <b/>
      <sz val="11"/>
      <color rgb="FF3F3F3F"/>
      <name val="Aptos Narrow"/>
      <family val="2"/>
      <scheme val="minor"/>
    </font>
    <font>
      <b/>
      <sz val="11"/>
      <color theme="1"/>
      <name val="Aptos Narrow"/>
      <family val="2"/>
      <scheme val="minor"/>
    </font>
    <font>
      <sz val="8"/>
      <name val="Aptos Narrow"/>
      <family val="2"/>
      <scheme val="minor"/>
    </font>
    <font>
      <u/>
      <sz val="11"/>
      <color theme="10"/>
      <name val="Aptos Narrow"/>
      <family val="2"/>
      <scheme val="minor"/>
    </font>
    <font>
      <sz val="11"/>
      <name val="Aptos Narrow"/>
      <family val="2"/>
      <scheme val="minor"/>
    </font>
    <font>
      <sz val="9"/>
      <color indexed="81"/>
      <name val="Tahoma"/>
      <family val="2"/>
    </font>
    <font>
      <b/>
      <sz val="12"/>
      <color theme="1"/>
      <name val="Aptos Narrow"/>
      <family val="2"/>
      <scheme val="minor"/>
    </font>
    <font>
      <b/>
      <sz val="12"/>
      <name val="Aptos Narrow"/>
      <family val="2"/>
      <scheme val="minor"/>
    </font>
    <font>
      <i/>
      <sz val="11"/>
      <name val="Aptos Narrow"/>
      <family val="2"/>
      <scheme val="minor"/>
    </font>
    <font>
      <i/>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theme="1"/>
        <bgColor theme="1"/>
      </patternFill>
    </fill>
    <fill>
      <patternFill patternType="solid">
        <fgColor theme="5"/>
        <bgColor theme="5"/>
      </patternFill>
    </fill>
    <fill>
      <patternFill patternType="solid">
        <fgColor rgb="FFE5EAF3"/>
      </patternFill>
    </fill>
    <fill>
      <patternFill patternType="solid">
        <fgColor theme="3"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CC99"/>
      </patternFill>
    </fill>
    <fill>
      <patternFill patternType="solid">
        <fgColor rgb="FFF2F2F2"/>
      </patternFill>
    </fill>
    <fill>
      <patternFill patternType="solid">
        <fgColor theme="8" tint="0.79998168889431442"/>
        <bgColor indexed="64"/>
      </patternFill>
    </fill>
    <fill>
      <patternFill patternType="solid">
        <fgColor theme="9" tint="0.39997558519241921"/>
        <bgColor indexed="64"/>
      </patternFill>
    </fill>
  </fills>
  <borders count="22">
    <border>
      <left/>
      <right/>
      <top/>
      <bottom/>
      <diagonal/>
    </border>
    <border>
      <left/>
      <right/>
      <top style="thin">
        <color theme="1"/>
      </top>
      <bottom/>
      <diagonal/>
    </border>
    <border>
      <left style="thin">
        <color theme="5"/>
      </left>
      <right/>
      <top style="thin">
        <color theme="5"/>
      </top>
      <bottom/>
      <diagonal/>
    </border>
    <border>
      <left/>
      <right/>
      <top/>
      <bottom style="thick">
        <color rgb="FF003087"/>
      </bottom>
      <diagonal/>
    </border>
    <border>
      <left style="hair">
        <color rgb="FF003087"/>
      </left>
      <right style="hair">
        <color rgb="FF003087"/>
      </right>
      <top style="hair">
        <color rgb="FF003087"/>
      </top>
      <bottom style="hair">
        <color rgb="FF003087"/>
      </bottom>
      <diagonal/>
    </border>
    <border>
      <left/>
      <right/>
      <top style="thick">
        <color rgb="FF003087"/>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indexed="64"/>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64"/>
      </left>
      <right style="thin">
        <color auto="1"/>
      </right>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auto="1"/>
      </left>
      <right style="thin">
        <color auto="1"/>
      </right>
      <top style="hair">
        <color indexed="64"/>
      </top>
      <bottom style="hair">
        <color indexed="64"/>
      </bottom>
      <diagonal/>
    </border>
    <border>
      <left style="thin">
        <color auto="1"/>
      </left>
      <right style="thin">
        <color auto="1"/>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thin">
        <color auto="1"/>
      </bottom>
      <diagonal/>
    </border>
  </borders>
  <cellStyleXfs count="10">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9" borderId="6" applyNumberFormat="0" applyAlignment="0" applyProtection="0"/>
    <xf numFmtId="0" fontId="6" fillId="10" borderId="7" applyNumberFormat="0" applyAlignment="0" applyProtection="0"/>
    <xf numFmtId="0" fontId="9" fillId="0" borderId="0" applyNumberFormat="0" applyFill="0" applyBorder="0" applyAlignment="0" applyProtection="0"/>
    <xf numFmtId="0" fontId="10" fillId="9" borderId="13" applyNumberFormat="0" applyBorder="0" applyAlignment="0" applyProtection="0">
      <alignment horizontal="left" indent="1"/>
    </xf>
    <xf numFmtId="0" fontId="10" fillId="6" borderId="19" applyNumberFormat="0" applyBorder="0" applyAlignment="0" applyProtection="0">
      <alignment horizontal="left" indent="1"/>
    </xf>
    <xf numFmtId="0" fontId="10" fillId="8" borderId="19" applyNumberFormat="0" applyBorder="0" applyAlignment="0" applyProtection="0">
      <alignment horizontal="left" indent="1"/>
    </xf>
    <xf numFmtId="0" fontId="10" fillId="7" borderId="9" applyNumberFormat="0" applyBorder="0" applyAlignment="0" applyProtection="0"/>
  </cellStyleXfs>
  <cellXfs count="87">
    <xf numFmtId="0" fontId="0" fillId="0" borderId="0" xfId="0"/>
    <xf numFmtId="0" fontId="0" fillId="0" borderId="9" xfId="0" applyBorder="1" applyAlignment="1">
      <alignment horizontal="center"/>
    </xf>
    <xf numFmtId="0" fontId="0" fillId="2" borderId="0" xfId="0" applyFill="1"/>
    <xf numFmtId="0" fontId="0" fillId="0" borderId="0" xfId="0" applyAlignment="1">
      <alignment horizontal="center"/>
    </xf>
    <xf numFmtId="0" fontId="0" fillId="0" borderId="0" xfId="0" applyAlignment="1">
      <alignment horizontal="center" vertical="center"/>
    </xf>
    <xf numFmtId="0" fontId="3" fillId="0" borderId="3" xfId="0" applyFont="1" applyBorder="1"/>
    <xf numFmtId="0" fontId="0" fillId="0" borderId="3" xfId="0" applyBorder="1"/>
    <xf numFmtId="0" fontId="0" fillId="5" borderId="4" xfId="0" applyFill="1" applyBorder="1" applyAlignment="1">
      <alignment horizontal="center" vertical="top"/>
    </xf>
    <xf numFmtId="3" fontId="0" fillId="0" borderId="4" xfId="0" applyNumberFormat="1" applyBorder="1" applyAlignment="1">
      <alignment horizontal="right" vertical="top"/>
    </xf>
    <xf numFmtId="0" fontId="0" fillId="0" borderId="5" xfId="0" applyBorder="1"/>
    <xf numFmtId="0" fontId="4" fillId="2" borderId="0" xfId="0" applyFont="1" applyFill="1"/>
    <xf numFmtId="0" fontId="2" fillId="3" borderId="1" xfId="0" applyFont="1" applyFill="1" applyBorder="1" applyAlignment="1">
      <alignment horizontal="center"/>
    </xf>
    <xf numFmtId="0" fontId="2" fillId="4" borderId="2" xfId="0" applyFont="1" applyFill="1" applyBorder="1" applyAlignment="1">
      <alignment horizontal="center" vertical="center"/>
    </xf>
    <xf numFmtId="9" fontId="0" fillId="0" borderId="0" xfId="2" applyFont="1" applyFill="1" applyAlignment="1">
      <alignment horizontal="center" vertical="center"/>
    </xf>
    <xf numFmtId="0" fontId="6" fillId="10" borderId="7" xfId="4"/>
    <xf numFmtId="9" fontId="5" fillId="9" borderId="6" xfId="3" applyNumberFormat="1" applyAlignment="1">
      <alignment horizontal="center" vertical="center"/>
    </xf>
    <xf numFmtId="0" fontId="0" fillId="2" borderId="0" xfId="0" applyFill="1" applyAlignment="1">
      <alignment horizontal="center"/>
    </xf>
    <xf numFmtId="9" fontId="0" fillId="2" borderId="0" xfId="0" applyNumberFormat="1" applyFill="1"/>
    <xf numFmtId="0" fontId="7" fillId="2" borderId="0" xfId="0" applyFont="1" applyFill="1"/>
    <xf numFmtId="0" fontId="0" fillId="0" borderId="0" xfId="0" quotePrefix="1"/>
    <xf numFmtId="2" fontId="0" fillId="0" borderId="0" xfId="0" applyNumberFormat="1"/>
    <xf numFmtId="164" fontId="0" fillId="0" borderId="0" xfId="0" applyNumberFormat="1"/>
    <xf numFmtId="165" fontId="0" fillId="0" borderId="0" xfId="0" applyNumberFormat="1"/>
    <xf numFmtId="10" fontId="0" fillId="2" borderId="0" xfId="2" applyNumberFormat="1" applyFont="1" applyFill="1"/>
    <xf numFmtId="10" fontId="7" fillId="2" borderId="0" xfId="0" applyNumberFormat="1" applyFont="1" applyFill="1"/>
    <xf numFmtId="10" fontId="0" fillId="2" borderId="0" xfId="0" applyNumberFormat="1" applyFill="1"/>
    <xf numFmtId="43" fontId="0" fillId="2" borderId="0" xfId="0" applyNumberFormat="1" applyFill="1"/>
    <xf numFmtId="43" fontId="7" fillId="2" borderId="0" xfId="0" applyNumberFormat="1" applyFont="1" applyFill="1"/>
    <xf numFmtId="4" fontId="0" fillId="2" borderId="0" xfId="0" applyNumberFormat="1" applyFill="1"/>
    <xf numFmtId="4" fontId="0" fillId="2" borderId="0" xfId="1" applyNumberFormat="1" applyFont="1" applyFill="1"/>
    <xf numFmtId="4" fontId="7" fillId="2" borderId="0" xfId="0" applyNumberFormat="1" applyFont="1" applyFill="1"/>
    <xf numFmtId="4" fontId="0" fillId="0" borderId="0" xfId="0" applyNumberFormat="1"/>
    <xf numFmtId="10" fontId="0" fillId="0" borderId="0" xfId="0" applyNumberFormat="1"/>
    <xf numFmtId="9" fontId="0" fillId="2" borderId="0" xfId="2" applyFont="1" applyFill="1"/>
    <xf numFmtId="4" fontId="0" fillId="0" borderId="0" xfId="1" applyNumberFormat="1" applyFont="1" applyFill="1"/>
    <xf numFmtId="4" fontId="0" fillId="0" borderId="0" xfId="1" applyNumberFormat="1" applyFont="1"/>
    <xf numFmtId="4" fontId="0" fillId="0" borderId="0" xfId="1" applyNumberFormat="1" applyFont="1" applyFill="1" applyAlignment="1">
      <alignment horizontal="right"/>
    </xf>
    <xf numFmtId="4" fontId="0" fillId="0" borderId="0" xfId="1" applyNumberFormat="1" applyFont="1" applyAlignment="1">
      <alignment horizontal="right"/>
    </xf>
    <xf numFmtId="4" fontId="0" fillId="0" borderId="0" xfId="0" applyNumberFormat="1" applyAlignment="1">
      <alignment horizontal="right"/>
    </xf>
    <xf numFmtId="0" fontId="7" fillId="0" borderId="10" xfId="0" applyFont="1" applyBorder="1"/>
    <xf numFmtId="0" fontId="7" fillId="0" borderId="11" xfId="0" applyFont="1" applyBorder="1"/>
    <xf numFmtId="0" fontId="0" fillId="0" borderId="12" xfId="0" applyBorder="1" applyAlignment="1">
      <alignment horizontal="left" indent="1"/>
    </xf>
    <xf numFmtId="10" fontId="0" fillId="0" borderId="9" xfId="2" applyNumberFormat="1" applyFont="1" applyBorder="1"/>
    <xf numFmtId="10" fontId="0" fillId="0" borderId="13" xfId="0" applyNumberFormat="1" applyBorder="1"/>
    <xf numFmtId="4" fontId="0" fillId="0" borderId="14" xfId="0" applyNumberFormat="1" applyBorder="1"/>
    <xf numFmtId="0" fontId="0" fillId="0" borderId="16" xfId="0" applyBorder="1" applyAlignment="1">
      <alignment horizontal="left" indent="1"/>
    </xf>
    <xf numFmtId="10" fontId="0" fillId="0" borderId="15" xfId="2" applyNumberFormat="1" applyFont="1" applyBorder="1"/>
    <xf numFmtId="0" fontId="0" fillId="0" borderId="17" xfId="0" applyBorder="1" applyAlignment="1">
      <alignment horizontal="left" indent="1"/>
    </xf>
    <xf numFmtId="10" fontId="0" fillId="0" borderId="18" xfId="2" applyNumberFormat="1" applyFont="1" applyBorder="1"/>
    <xf numFmtId="4" fontId="0" fillId="0" borderId="18" xfId="1" applyNumberFormat="1" applyFont="1" applyBorder="1"/>
    <xf numFmtId="4" fontId="0" fillId="0" borderId="18" xfId="0" applyNumberFormat="1" applyBorder="1"/>
    <xf numFmtId="10" fontId="0" fillId="0" borderId="18" xfId="0" applyNumberFormat="1" applyBorder="1"/>
    <xf numFmtId="4" fontId="0" fillId="0" borderId="15" xfId="2" applyNumberFormat="1" applyFont="1" applyBorder="1"/>
    <xf numFmtId="4" fontId="0" fillId="2" borderId="0" xfId="2" applyNumberFormat="1" applyFont="1" applyFill="1"/>
    <xf numFmtId="0" fontId="9" fillId="2" borderId="0" xfId="5" applyFill="1"/>
    <xf numFmtId="0" fontId="4" fillId="2" borderId="0" xfId="0" applyFont="1" applyFill="1" applyAlignment="1">
      <alignment vertical="center"/>
    </xf>
    <xf numFmtId="2" fontId="0" fillId="2" borderId="0" xfId="0" applyNumberFormat="1" applyFill="1"/>
    <xf numFmtId="43" fontId="0" fillId="2" borderId="0" xfId="1" applyFont="1" applyFill="1"/>
    <xf numFmtId="2" fontId="0" fillId="2" borderId="0" xfId="2" applyNumberFormat="1" applyFont="1" applyFill="1"/>
    <xf numFmtId="4" fontId="0" fillId="0" borderId="0" xfId="0" applyNumberFormat="1" applyAlignment="1">
      <alignment horizontal="center" vertical="center"/>
    </xf>
    <xf numFmtId="43" fontId="0" fillId="0" borderId="0" xfId="1" applyFont="1" applyFill="1" applyAlignment="1">
      <alignment horizontal="center"/>
    </xf>
    <xf numFmtId="1" fontId="0" fillId="0" borderId="0" xfId="1" applyNumberFormat="1" applyFont="1" applyFill="1" applyAlignment="1">
      <alignment horizontal="center"/>
    </xf>
    <xf numFmtId="1" fontId="0" fillId="2" borderId="0" xfId="0" applyNumberFormat="1" applyFill="1"/>
    <xf numFmtId="167" fontId="0" fillId="2" borderId="0" xfId="0" applyNumberFormat="1" applyFill="1"/>
    <xf numFmtId="0" fontId="10" fillId="9" borderId="9" xfId="6" applyBorder="1" applyAlignment="1"/>
    <xf numFmtId="0" fontId="10" fillId="6" borderId="9" xfId="7" applyBorder="1" applyAlignment="1"/>
    <xf numFmtId="0" fontId="10" fillId="8" borderId="9" xfId="8" applyBorder="1" applyAlignment="1"/>
    <xf numFmtId="0" fontId="0" fillId="0" borderId="9" xfId="0" applyBorder="1"/>
    <xf numFmtId="0" fontId="0" fillId="0" borderId="9" xfId="0" quotePrefix="1" applyBorder="1"/>
    <xf numFmtId="4" fontId="0" fillId="0" borderId="9" xfId="0" applyNumberFormat="1" applyBorder="1"/>
    <xf numFmtId="49" fontId="0" fillId="0" borderId="9" xfId="0" applyNumberFormat="1" applyBorder="1"/>
    <xf numFmtId="43" fontId="0" fillId="0" borderId="9" xfId="1" applyFont="1" applyBorder="1"/>
    <xf numFmtId="166" fontId="0" fillId="0" borderId="9" xfId="0" applyNumberFormat="1" applyBorder="1"/>
    <xf numFmtId="166" fontId="7" fillId="0" borderId="9" xfId="0" applyNumberFormat="1" applyFont="1" applyBorder="1"/>
    <xf numFmtId="0" fontId="10" fillId="7" borderId="9" xfId="9" applyBorder="1"/>
    <xf numFmtId="0" fontId="12" fillId="11" borderId="9" xfId="0" applyFont="1" applyFill="1" applyBorder="1"/>
    <xf numFmtId="0" fontId="13" fillId="12" borderId="9" xfId="0" applyFont="1" applyFill="1" applyBorder="1"/>
    <xf numFmtId="0" fontId="14" fillId="9" borderId="20" xfId="6" applyFont="1" applyBorder="1" applyAlignment="1">
      <alignment horizontal="left" indent="1"/>
    </xf>
    <xf numFmtId="0" fontId="14" fillId="6" borderId="18" xfId="7" applyFont="1" applyBorder="1" applyAlignment="1">
      <alignment horizontal="left" indent="1"/>
    </xf>
    <xf numFmtId="0" fontId="14" fillId="8" borderId="18" xfId="8" applyFont="1" applyBorder="1" applyAlignment="1">
      <alignment horizontal="left" indent="1"/>
    </xf>
    <xf numFmtId="0" fontId="14" fillId="8" borderId="21" xfId="8" applyFont="1" applyBorder="1" applyAlignment="1">
      <alignment horizontal="left" indent="1"/>
    </xf>
    <xf numFmtId="0" fontId="14" fillId="2" borderId="18" xfId="0" applyFont="1" applyFill="1" applyBorder="1"/>
    <xf numFmtId="0" fontId="15" fillId="2" borderId="18" xfId="0" applyFont="1" applyFill="1" applyBorder="1"/>
    <xf numFmtId="0" fontId="15" fillId="2" borderId="21" xfId="0" applyFont="1" applyFill="1" applyBorder="1"/>
    <xf numFmtId="0" fontId="7" fillId="2" borderId="0" xfId="0" applyFont="1" applyFill="1" applyAlignment="1">
      <alignment horizontal="center" vertical="center"/>
    </xf>
    <xf numFmtId="0" fontId="0" fillId="2" borderId="8" xfId="0" applyFill="1" applyBorder="1" applyAlignment="1">
      <alignment horizontal="center" vertical="center" wrapText="1"/>
    </xf>
    <xf numFmtId="0" fontId="0" fillId="2" borderId="8" xfId="0" applyFill="1" applyBorder="1" applyAlignment="1">
      <alignment horizontal="center" wrapText="1"/>
    </xf>
  </cellXfs>
  <cellStyles count="10">
    <cellStyle name="Caculation TOC" xfId="7" xr:uid="{B58F482B-54F8-4190-9F28-6741D3685A8E}"/>
    <cellStyle name="Comma" xfId="1" builtinId="3"/>
    <cellStyle name="Hyperlink" xfId="5" builtinId="8"/>
    <cellStyle name="Input" xfId="3" builtinId="20"/>
    <cellStyle name="Inputs TOC" xfId="6" xr:uid="{B2216650-9B72-4BD8-A14C-054CAF20CBC1}"/>
    <cellStyle name="Normal" xfId="0" builtinId="0"/>
    <cellStyle name="Output" xfId="4" builtinId="21"/>
    <cellStyle name="Percent" xfId="2" builtinId="5"/>
    <cellStyle name="Raw Report (Key) TOC" xfId="8" xr:uid="{A31553E3-DC1E-40AF-8CC3-66BE6ECFFF90}"/>
    <cellStyle name="Raw Report TOC" xfId="9" xr:uid="{E82399ED-3A64-435F-AD42-B07DCD5C5857}"/>
  </cellStyles>
  <dxfs count="69">
    <dxf>
      <fill>
        <patternFill patternType="none">
          <fgColor indexed="64"/>
          <bgColor indexed="65"/>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13" formatCode="0%"/>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style="hair">
          <color rgb="FF003087"/>
        </left>
        <right style="hair">
          <color rgb="FF003087"/>
        </right>
        <top style="hair">
          <color rgb="FF003087"/>
        </top>
        <bottom style="hair">
          <color rgb="FF003087"/>
        </bottom>
      </border>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indexed="65"/>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minor"/>
      </font>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numFmt numFmtId="0" formatCode="General"/>
      <fill>
        <patternFill patternType="none">
          <fgColor indexed="64"/>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ont>
        <b val="0"/>
        <i val="0"/>
        <strike val="0"/>
        <condense val="0"/>
        <extend val="0"/>
        <outline val="0"/>
        <shadow val="0"/>
        <u val="none"/>
        <vertAlign val="baseline"/>
        <sz val="11"/>
        <color theme="1"/>
        <name val="Aptos Narrow"/>
        <family val="2"/>
        <scheme val="minor"/>
      </font>
      <numFmt numFmtId="4" formatCode="#,##0.00"/>
    </dxf>
    <dxf>
      <numFmt numFmtId="4" formatCode="#,##0.00"/>
      <fill>
        <patternFill patternType="none">
          <fgColor indexed="64"/>
          <bgColor auto="1"/>
        </patternFill>
      </fill>
    </dxf>
    <dxf>
      <numFmt numFmtId="4" formatCode="#,##0.00"/>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rgb="FF000000"/>
          <bgColor auto="1"/>
        </patternFill>
      </fill>
      <alignment horizontal="right" vertical="bottom" textRotation="0" wrapText="0" indent="0" justifyLastLine="0" shrinkToFit="0" readingOrder="0"/>
    </dxf>
    <dxf>
      <numFmt numFmtId="4" formatCode="#,##0.00"/>
      <fill>
        <patternFill patternType="none">
          <fgColor indexed="64"/>
          <bgColor indexed="65"/>
        </patternFill>
      </fill>
      <alignment horizontal="right"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numFmt numFmtId="1" formatCode="0"/>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indexed="64"/>
          <bgColor auto="1"/>
        </patternFill>
      </fill>
      <alignment horizontal="center" vertical="bottom" textRotation="0" wrapText="0" indent="0" justifyLastLine="0" shrinkToFit="0" readingOrder="0"/>
    </dxf>
    <dxf>
      <fill>
        <patternFill patternType="none">
          <fgColor rgb="FF000000"/>
          <bgColor auto="1"/>
        </patternFill>
      </fill>
    </dxf>
    <dxf>
      <numFmt numFmtId="0" formatCode="General"/>
      <fill>
        <patternFill patternType="none">
          <fgColor rgb="FF000000"/>
          <bgColor auto="1"/>
        </patternFill>
      </fill>
    </dxf>
    <dxf>
      <numFmt numFmtId="0" formatCode="General"/>
      <fill>
        <patternFill patternType="none">
          <fgColor indexed="64"/>
          <bgColor auto="1"/>
        </patternFill>
      </fill>
    </dxf>
    <dxf>
      <numFmt numFmtId="4" formatCode="#,##0.00"/>
      <fill>
        <patternFill patternType="none">
          <fgColor indexed="64"/>
          <bgColor auto="1"/>
        </patternFill>
      </fill>
    </dxf>
    <dxf>
      <font>
        <b val="0"/>
        <i val="0"/>
        <strike val="0"/>
        <condense val="0"/>
        <extend val="0"/>
        <outline val="0"/>
        <shadow val="0"/>
        <u val="none"/>
        <vertAlign val="baseline"/>
        <sz val="11"/>
        <color theme="1"/>
        <name val="Aptos Narrow"/>
        <family val="2"/>
        <scheme val="minor"/>
      </font>
      <numFmt numFmtId="4" formatCode="#,##0.00"/>
    </dxf>
    <dxf>
      <fill>
        <patternFill patternType="none">
          <fgColor rgb="FF000000"/>
          <bgColor auto="1"/>
        </patternFill>
      </fill>
    </dxf>
    <dxf>
      <fill>
        <patternFill patternType="none">
          <fgColor indexed="64"/>
          <bgColor auto="1"/>
        </patternFill>
      </fill>
      <alignment horizontal="center" vertical="center" textRotation="0" wrapText="0" indent="0" justifyLastLine="0" shrinkToFit="0" readingOrder="0"/>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styles" Target="styles.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sharedStrings" Target="sharedString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theme" Target="theme/theme1.xml"/><Relationship Id="rId70"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702090</xdr:colOff>
      <xdr:row>19</xdr:row>
      <xdr:rowOff>82826</xdr:rowOff>
    </xdr:from>
    <xdr:to>
      <xdr:col>3</xdr:col>
      <xdr:colOff>231914</xdr:colOff>
      <xdr:row>39</xdr:row>
      <xdr:rowOff>74543</xdr:rowOff>
    </xdr:to>
    <xdr:sp macro="" textlink="">
      <xdr:nvSpPr>
        <xdr:cNvPr id="2" name="TextBox 1">
          <a:extLst>
            <a:ext uri="{FF2B5EF4-FFF2-40B4-BE49-F238E27FC236}">
              <a16:creationId xmlns:a16="http://schemas.microsoft.com/office/drawing/2014/main" id="{993FDEA6-83E7-4C99-880F-AB1F1AB496F1}"/>
            </a:ext>
          </a:extLst>
        </xdr:cNvPr>
        <xdr:cNvSpPr txBox="1"/>
      </xdr:nvSpPr>
      <xdr:spPr>
        <a:xfrm>
          <a:off x="6607590" y="3702326"/>
          <a:ext cx="3577949"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0</xdr:col>
      <xdr:colOff>691599</xdr:colOff>
      <xdr:row>13</xdr:row>
      <xdr:rowOff>67366</xdr:rowOff>
    </xdr:from>
    <xdr:to>
      <xdr:col>3</xdr:col>
      <xdr:colOff>221423</xdr:colOff>
      <xdr:row>18</xdr:row>
      <xdr:rowOff>188291</xdr:rowOff>
    </xdr:to>
    <xdr:sp macro="" textlink="">
      <xdr:nvSpPr>
        <xdr:cNvPr id="5" name="TextBox 4">
          <a:extLst>
            <a:ext uri="{FF2B5EF4-FFF2-40B4-BE49-F238E27FC236}">
              <a16:creationId xmlns:a16="http://schemas.microsoft.com/office/drawing/2014/main" id="{2DE447E8-E687-4EB0-A28E-84929FA1374C}"/>
            </a:ext>
          </a:extLst>
        </xdr:cNvPr>
        <xdr:cNvSpPr txBox="1"/>
      </xdr:nvSpPr>
      <xdr:spPr>
        <a:xfrm>
          <a:off x="6606624" y="2543866"/>
          <a:ext cx="35684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702090</xdr:colOff>
      <xdr:row>19</xdr:row>
      <xdr:rowOff>82826</xdr:rowOff>
    </xdr:from>
    <xdr:to>
      <xdr:col>9</xdr:col>
      <xdr:colOff>231914</xdr:colOff>
      <xdr:row>39</xdr:row>
      <xdr:rowOff>74543</xdr:rowOff>
    </xdr:to>
    <xdr:sp macro="" textlink="">
      <xdr:nvSpPr>
        <xdr:cNvPr id="2" name="TextBox 1">
          <a:extLst>
            <a:ext uri="{FF2B5EF4-FFF2-40B4-BE49-F238E27FC236}">
              <a16:creationId xmlns:a16="http://schemas.microsoft.com/office/drawing/2014/main" id="{2DC845ED-9F3F-F3F5-C69E-2F8DD9A75F57}"/>
            </a:ext>
          </a:extLst>
        </xdr:cNvPr>
        <xdr:cNvSpPr txBox="1"/>
      </xdr:nvSpPr>
      <xdr:spPr>
        <a:xfrm>
          <a:off x="4114525" y="4273826"/>
          <a:ext cx="3397802" cy="38017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Starting salary is from</a:t>
          </a:r>
          <a:r>
            <a:rPr lang="en-US" sz="1100" baseline="0"/>
            <a:t> Djøf.</a:t>
          </a:r>
        </a:p>
        <a:p>
          <a:endParaRPr lang="en-US" sz="1100" baseline="0"/>
        </a:p>
        <a:p>
          <a:r>
            <a:rPr lang="en-US" sz="1100" baseline="0"/>
            <a:t>Salary is affected by </a:t>
          </a:r>
          <a:r>
            <a:rPr lang="en-US" sz="1100" b="1" baseline="0"/>
            <a:t>Inflation</a:t>
          </a:r>
          <a:r>
            <a:rPr lang="en-US" sz="1100" b="0" baseline="0"/>
            <a:t> and </a:t>
          </a:r>
          <a:r>
            <a:rPr lang="en-US" sz="1100" b="1" baseline="0"/>
            <a:t>Career Progression</a:t>
          </a:r>
        </a:p>
        <a:p>
          <a:endParaRPr lang="en-US" sz="1100" b="1" baseline="0"/>
        </a:p>
        <a:p>
          <a:r>
            <a:rPr lang="en-US" sz="1100" b="1" baseline="0"/>
            <a:t>Inflation:</a:t>
          </a:r>
        </a:p>
        <a:p>
          <a:r>
            <a:rPr lang="en-US" sz="1100" b="0" i="0"/>
            <a:t>Insert</a:t>
          </a:r>
          <a:r>
            <a:rPr lang="en-US" sz="1100" b="0" i="0" baseline="0"/>
            <a:t> explanation for how we use inflation, </a:t>
          </a:r>
          <a:r>
            <a:rPr lang="en-US" sz="1100" b="1" i="0" baseline="0"/>
            <a:t>for now just using a dummy 3%</a:t>
          </a:r>
        </a:p>
        <a:p>
          <a:endParaRPr lang="en-US" sz="1100" b="1" i="0" baseline="0"/>
        </a:p>
        <a:p>
          <a:r>
            <a:rPr lang="en-US" sz="1100" b="1" i="0" baseline="0"/>
            <a:t>Career Progression:</a:t>
          </a:r>
        </a:p>
        <a:p>
          <a:r>
            <a:rPr lang="en-US" sz="1100" b="0" i="0" baseline="0"/>
            <a:t>Career Progression refers to switching jobs every couple years, which we assume will yield a higher raise compared to staying in the same company. We have created a worksheet called "Job Hopping", which simulates the ages at which both profiles will job hop.</a:t>
          </a:r>
        </a:p>
        <a:p>
          <a:endParaRPr lang="en-US" sz="1100" b="0" i="0" baseline="0"/>
        </a:p>
        <a:p>
          <a:r>
            <a:rPr lang="en-US" sz="1100" b="0" i="0" baseline="0"/>
            <a:t>Note that both profile share the </a:t>
          </a:r>
          <a:r>
            <a:rPr lang="en-US" sz="1100" b="1" i="0" baseline="0"/>
            <a:t>age</a:t>
          </a:r>
          <a:r>
            <a:rPr lang="en-US" sz="1100" b="0" i="0" baseline="0"/>
            <a:t> in which they job hop, but not necessarily the year.</a:t>
          </a:r>
          <a:endParaRPr lang="en-UM" sz="1100" b="0" i="0"/>
        </a:p>
      </xdr:txBody>
    </xdr:sp>
    <xdr:clientData/>
  </xdr:twoCellAnchor>
  <xdr:twoCellAnchor>
    <xdr:from>
      <xdr:col>20</xdr:col>
      <xdr:colOff>222405</xdr:colOff>
      <xdr:row>3</xdr:row>
      <xdr:rowOff>160385</xdr:rowOff>
    </xdr:from>
    <xdr:to>
      <xdr:col>25</xdr:col>
      <xdr:colOff>542141</xdr:colOff>
      <xdr:row>20</xdr:row>
      <xdr:rowOff>141335</xdr:rowOff>
    </xdr:to>
    <xdr:sp macro="" textlink="">
      <xdr:nvSpPr>
        <xdr:cNvPr id="7" name="TextBox 2">
          <a:extLst>
            <a:ext uri="{FF2B5EF4-FFF2-40B4-BE49-F238E27FC236}">
              <a16:creationId xmlns:a16="http://schemas.microsoft.com/office/drawing/2014/main" id="{88172C51-5511-4734-80A4-7930D9CDE8A2}"/>
            </a:ext>
          </a:extLst>
        </xdr:cNvPr>
        <xdr:cNvSpPr txBox="1"/>
      </xdr:nvSpPr>
      <xdr:spPr>
        <a:xfrm>
          <a:off x="16630253" y="731885"/>
          <a:ext cx="3218649" cy="3219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Median Senior</a:t>
          </a:r>
          <a:r>
            <a:rPr lang="en-US" sz="1100" baseline="0"/>
            <a:t> Consultant salary, Djf Privats lnstatistik 2024 - Tendenspapir, Table 1</a:t>
          </a:r>
        </a:p>
        <a:p>
          <a:endParaRPr lang="en-US" sz="1100" b="0" i="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Median</a:t>
          </a:r>
          <a:r>
            <a:rPr lang="en-US" sz="1100" baseline="0">
              <a:solidFill>
                <a:schemeClr val="dk1"/>
              </a:solidFill>
              <a:effectLst/>
              <a:latin typeface="+mn-lt"/>
              <a:ea typeface="+mn-ea"/>
              <a:cs typeface="+mn-cs"/>
            </a:rPr>
            <a:t> Graduate salary, Djf Privats lnstatistik 2024 - Tendenspapir, Table 1</a:t>
          </a:r>
          <a:endParaRPr lang="en-UM">
            <a:effectLst/>
          </a:endParaRPr>
        </a:p>
        <a:p>
          <a:endParaRPr lang="en-UM" sz="1100" b="0" i="0"/>
        </a:p>
      </xdr:txBody>
    </xdr:sp>
    <xdr:clientData/>
  </xdr:twoCellAnchor>
  <xdr:twoCellAnchor>
    <xdr:from>
      <xdr:col>17</xdr:col>
      <xdr:colOff>1439931</xdr:colOff>
      <xdr:row>1</xdr:row>
      <xdr:rowOff>116267</xdr:rowOff>
    </xdr:from>
    <xdr:to>
      <xdr:col>20</xdr:col>
      <xdr:colOff>268310</xdr:colOff>
      <xdr:row>4</xdr:row>
      <xdr:rowOff>169929</xdr:rowOff>
    </xdr:to>
    <xdr:cxnSp macro="">
      <xdr:nvCxnSpPr>
        <xdr:cNvPr id="6" name="Straight Arrow Connector 5">
          <a:extLst>
            <a:ext uri="{FF2B5EF4-FFF2-40B4-BE49-F238E27FC236}">
              <a16:creationId xmlns:a16="http://schemas.microsoft.com/office/drawing/2014/main" id="{AF50D647-44A3-4B08-BEAE-31FE3E1A340A}"/>
            </a:ext>
          </a:extLst>
        </xdr:cNvPr>
        <xdr:cNvCxnSpPr/>
      </xdr:nvCxnSpPr>
      <xdr:spPr>
        <a:xfrm flipH="1" flipV="1">
          <a:off x="10043734" y="304084"/>
          <a:ext cx="2298520" cy="617113"/>
        </a:xfrm>
        <a:prstGeom prst="straightConnector1">
          <a:avLst/>
        </a:prstGeom>
        <a:ln>
          <a:tailEnd type="triangle"/>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691599</xdr:colOff>
      <xdr:row>13</xdr:row>
      <xdr:rowOff>67366</xdr:rowOff>
    </xdr:from>
    <xdr:to>
      <xdr:col>9</xdr:col>
      <xdr:colOff>221423</xdr:colOff>
      <xdr:row>18</xdr:row>
      <xdr:rowOff>188291</xdr:rowOff>
    </xdr:to>
    <xdr:sp macro="" textlink="">
      <xdr:nvSpPr>
        <xdr:cNvPr id="4" name="TextBox 3">
          <a:extLst>
            <a:ext uri="{FF2B5EF4-FFF2-40B4-BE49-F238E27FC236}">
              <a16:creationId xmlns:a16="http://schemas.microsoft.com/office/drawing/2014/main" id="{6F20B318-D898-442E-BFCA-8418B7FA1F4F}"/>
            </a:ext>
          </a:extLst>
        </xdr:cNvPr>
        <xdr:cNvSpPr txBox="1"/>
      </xdr:nvSpPr>
      <xdr:spPr>
        <a:xfrm>
          <a:off x="6546299" y="2543866"/>
          <a:ext cx="3403324" cy="107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TO DO LATER: ASSUME SOME COSTS FOR RENT AND LIFE EXPENSES ETC, AND FIGURE OUT A REALISTIC % USED FOR INVESTMENTS</a:t>
          </a:r>
        </a:p>
        <a:p>
          <a:r>
            <a:rPr lang="en-US" sz="1100" b="0" i="0"/>
            <a:t>CALCULATE</a:t>
          </a:r>
          <a:r>
            <a:rPr lang="en-US" sz="1100" b="0" i="0" baseline="0"/>
            <a:t> NET SALARY AS WELL, CALCULATION RN IS WITH GROSS WHICH IS NOT TRUE</a:t>
          </a:r>
          <a:endParaRPr lang="en-UM" sz="1100" b="0" i="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18</xdr:col>
      <xdr:colOff>127000</xdr:colOff>
      <xdr:row>0</xdr:row>
      <xdr:rowOff>177800</xdr:rowOff>
    </xdr:from>
    <xdr:to>
      <xdr:col>30</xdr:col>
      <xdr:colOff>50800</xdr:colOff>
      <xdr:row>14</xdr:row>
      <xdr:rowOff>3175</xdr:rowOff>
    </xdr:to>
    <xdr:sp macro="" textlink="">
      <xdr:nvSpPr>
        <xdr:cNvPr id="2" name="TextBox 1">
          <a:extLst>
            <a:ext uri="{FF2B5EF4-FFF2-40B4-BE49-F238E27FC236}">
              <a16:creationId xmlns:a16="http://schemas.microsoft.com/office/drawing/2014/main" id="{C2E9A848-DC40-7111-B8A2-837FD02ED4C5}"/>
            </a:ext>
          </a:extLst>
        </xdr:cNvPr>
        <xdr:cNvSpPr txBox="1"/>
      </xdr:nvSpPr>
      <xdr:spPr>
        <a:xfrm>
          <a:off x="12680950" y="177800"/>
          <a:ext cx="7239000" cy="2403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Add:</a:t>
          </a:r>
          <a:r>
            <a:rPr lang="en-US" sz="1100" baseline="0"/>
            <a:t> Check back on Franklins book to see if he tackles the concept of present value. From what I remember he does not mention it so much but I can also check in the python model if this is being done.</a:t>
          </a:r>
        </a:p>
        <a:p>
          <a:endParaRPr lang="en-US" sz="1100" baseline="0"/>
        </a:p>
        <a:p>
          <a:r>
            <a:rPr lang="en-US" sz="1100" baseline="0"/>
            <a:t>In tab Income, are we effectively using future value since we take into account inflation and salary raise? Is this good enough? Are the goals then in future value and thus when calculating the actual goals we should take into account the inflation for the goals themselves? AKA: If a house today costs 2 mill DKK, but we want to buy in 10 years, we should put in the goal the future price and not the 2 mill DKK.</a:t>
          </a:r>
        </a:p>
        <a:p>
          <a:endParaRPr lang="en-US" sz="1100" baseline="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447675</xdr:colOff>
      <xdr:row>18</xdr:row>
      <xdr:rowOff>133350</xdr:rowOff>
    </xdr:from>
    <xdr:to>
      <xdr:col>1</xdr:col>
      <xdr:colOff>8125818</xdr:colOff>
      <xdr:row>34</xdr:row>
      <xdr:rowOff>57565</xdr:rowOff>
    </xdr:to>
    <xdr:pic>
      <xdr:nvPicPr>
        <xdr:cNvPr id="2" name="Picture 1">
          <a:extLst>
            <a:ext uri="{FF2B5EF4-FFF2-40B4-BE49-F238E27FC236}">
              <a16:creationId xmlns:a16="http://schemas.microsoft.com/office/drawing/2014/main" id="{20A5AFCD-4AEE-951F-735F-A3BF56C0B7C7}"/>
            </a:ext>
          </a:extLst>
        </xdr:cNvPr>
        <xdr:cNvPicPr>
          <a:picLocks noChangeAspect="1"/>
        </xdr:cNvPicPr>
      </xdr:nvPicPr>
      <xdr:blipFill>
        <a:blip xmlns:r="http://schemas.openxmlformats.org/officeDocument/2006/relationships" r:embed="rId1"/>
        <a:stretch>
          <a:fillRect/>
        </a:stretch>
      </xdr:blipFill>
      <xdr:spPr>
        <a:xfrm>
          <a:off x="447675" y="3562350"/>
          <a:ext cx="7116168" cy="2972215"/>
        </a:xfrm>
        <a:prstGeom prst="rect">
          <a:avLst/>
        </a:prstGeom>
      </xdr:spPr>
    </xdr:pic>
    <xdr:clientData/>
  </xdr:twoCellAnchor>
  <xdr:twoCellAnchor>
    <xdr:from>
      <xdr:col>18</xdr:col>
      <xdr:colOff>123825</xdr:colOff>
      <xdr:row>3</xdr:row>
      <xdr:rowOff>28575</xdr:rowOff>
    </xdr:from>
    <xdr:to>
      <xdr:col>26</xdr:col>
      <xdr:colOff>428625</xdr:colOff>
      <xdr:row>28</xdr:row>
      <xdr:rowOff>142875</xdr:rowOff>
    </xdr:to>
    <xdr:sp macro="" textlink="">
      <xdr:nvSpPr>
        <xdr:cNvPr id="3" name="TextBox 2">
          <a:extLst>
            <a:ext uri="{FF2B5EF4-FFF2-40B4-BE49-F238E27FC236}">
              <a16:creationId xmlns:a16="http://schemas.microsoft.com/office/drawing/2014/main" id="{A1CD5669-DAD2-90DD-A090-F63EE15696D5}"/>
            </a:ext>
          </a:extLst>
        </xdr:cNvPr>
        <xdr:cNvSpPr txBox="1"/>
      </xdr:nvSpPr>
      <xdr:spPr>
        <a:xfrm>
          <a:off x="11096625" y="600075"/>
          <a:ext cx="5181600" cy="487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a:p>
        <a:p>
          <a:r>
            <a:rPr lang="en-GB"/>
            <a:t>bond</a:t>
          </a:r>
          <a:r>
            <a:rPr lang="en-GB" baseline="0"/>
            <a:t> transcript from meeting</a:t>
          </a:r>
          <a:endParaRPr lang="en-GB"/>
        </a:p>
        <a:p>
          <a:r>
            <a:rPr lang="en-GB"/>
            <a:t>Maybe if you just assume that OK, we invest in risk free Parliament bonds, that is like what you can do. </a:t>
          </a:r>
        </a:p>
        <a:p>
          <a:r>
            <a:rPr lang="en-GB"/>
            <a:t>Of course, you then have like a task here to to set the parameters correctly in the budget model, and you may also like estimate the paramics and the budgeting models. From some bond prices. </a:t>
          </a:r>
        </a:p>
        <a:p>
          <a:r>
            <a:rPr lang="en-GB"/>
            <a:t>So that is a task for you to set what the parameter should be. In this model, I just assumed something. But the bond itself, you know, it is like a collection of bonds and it has some, some kind of duration. So it may be a A20 year like 7 to 10 year duration portfolio. And then you say. </a:t>
          </a:r>
        </a:p>
        <a:p>
          <a:r>
            <a:rPr lang="en-GB"/>
            <a:t>Eight years duration in that portfolio and then you may say, OK, I'm modeling as a. Ads coupon bond. And then you can put in return on the ETF as like investing in. ATC Groupon bot and for the 20 year you have a 20 year 2 common bot because a 20 years 0 coupon bond has a duration of 20. You can just calculate the return on that.</a:t>
          </a:r>
          <a:endParaRPr lang="en-UM"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lackrock-my.sharepoint.com/personal/filip_nikolic_blackrock_com/Documents/ECB%20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February%202021%20Update/BII%20GO%20deck%20March%20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studentcbs.sharepoint.com/ECON/Regional/Monetary/Credit/Regional%20Domestic%20Credit%20to%20Private%20Secto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tudentcbs.sharepoint.com/IRESHK01D/projects/ECON/Database/REER/TradeW%20Ree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ABC%20R2K\Disk%201\WPP2000_Excel_Files\DB02_Stock_Indicators\WPP2000_DB2_F1_TOTAL_POPULATION_BOTH_SEXES.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N:\data\BII\Portfolio%20Research\1)%20Portfolio%20construction%20research\Model%20portfolios\20240930%20Model%20Portfolios\ISAA_Inputs_2024Q3.xlsx" TargetMode="External"/><Relationship Id="rId1" Type="http://schemas.openxmlformats.org/officeDocument/2006/relationships/externalLinkPath" Target="file:///N:\data\BII\Portfolio%20Research\1)%20Portfolio%20construction%20research\Model%20portfolios\20240930%20Model%20Portfolios\ISAA_Inputs_2024Q3.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studentcbs.sharepoint.com/Users/catyler/AppData/Local/Microsoft/Windows/INetCache/Content.Outlook/15K1W2KR/CapexIntensity.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regions-checked0206.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studentcbs.sharepoint.com/blackrock/dfs/506.HK/Documents%20and%20Settings/Administrator/&#26700;&#38754;/Yifan%20Deng/600519&#36149;&#24030;&#33541;&#2148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Equities/Solver/Final/Q121-Equity%20solver-1y-workhorse.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studentcbs.sharepoint.com/ECON/FORECAST/INDONESI/gdp_cpi_for%20data%20comment.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lobal%20insights%20publications/Net%20Zero%20shorty%20-%20May%202022/Charts_.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blackrock-my.sharepoint.com/personal/michel_dilmanian_blackrock_com/Documents/Microsoft%20Teams%20Chat%20Files/bear_market_investing_MD_2022.05.3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Portfolio%20Research/CMA%20-%20Q3%202021%20update/CMA%20Q3%202021%20deck%20-%20datashee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blackrock-my.sharepoint.com/personal/tara_sharma_blackrock_com/Documents/Microsoft%20Teams%20Chat%20Files/Chart%20GO_Compilation_HardCopy.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July%202022/bii-global-outlook-in-charts-july-202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dox/org/859/BII/Publications/BII%20Global%20Outlook%20-%20Q4%202021%20update/bii-global-outlook-in-charts-datasheet.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studentcbs.sharepoint.com/Users/vsubheda/Downloads/Additional%20Charts%20-%20Japan%20&amp;%20Earnings%20for%20Risk%20Taking.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studentcbs.sharepoint.com/na.blkint.com/dfs/data/BII/Individual%20Folders/Virginia/20211122%205y5y%20inflation%20vs%2010y%20yield.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dox/My%20Documents/margin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outlook/2022_Outlook_Chart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GO%20Decks/2022%20Outlook%20deck/bii-2022-global-outlook-in-charts-feb22-update.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go-sept2021-datasheet.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studentcbs.sharepoint.com/Users/nagill/Downloads/Equities%20(1).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studentcbs.sharepoint.com/Users/nfawcett/Downloads/Chin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Investment%20Outlooks/2022%20midyear%20outlook/BII-2022-midyear-outlook-charts.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dox/My%20Documents/Temp_GPS/2021.10.25%20GPS%20In%20Focus%20-%20Chin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200chartpack.blackrock.com/ChartPack200DataFiles/Bonds.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Weekly%20Commentary/0314%20Weekly/weekly%20commentary%20data%20files_20220314.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blackrock-my.sharepoint.com/personal/scott_barber_blackrock_com/Documents/Microsoft%20Teams%20Chat%20Files/jb-forum-charts.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blackrock-my.sharepoint.com/data/BII/Investment%20Strategy/Tracking%20TAA%20views/TAA%20P&amp;L/P&amp;L%20Report/2021/20210628_BII%20TAA%20Performance.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studentcbs.sharepoint.com/na.blkint.com/dfs/data/BII/Investment%20Strategy/Tracking%20TAA%20views/20200810_Tracking%20TAA%20P&amp;L.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930%20forecasts/Equities/Generating%20input%20files/Topdowndata_input.xlsm"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https://blackrock-my.sharepoint.com/data/BII/Portfolio%20Research/3)%20Models%20and%20Tools/MT%20CMA%20Models/20210331%20forecasts/ASR/Alternative_US_ASR_Curve.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https://blackrock-my.sharepoint.com/personal/vikram_subhedar_blackrock_com/Documents/Microsoft%20Teams%20Chat%20Files/BII%20-%20GO%20July%202021%20-%20charts%20datasheet%2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dox/org/859/BII/Internal%20BII%20Resources/Content%20Sharing/Publishing/Financing%20EM%20green%20transition/Mismatched%20resourc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rchases flow (2)"/>
      <sheetName val="Rates"/>
      <sheetName val="Purchases stock"/>
      <sheetName val="Purchases flow"/>
    </sheetNames>
    <sheetDataSet>
      <sheetData sheetId="0">
        <row r="9">
          <cell r="G9" t="str">
            <v>CBPP</v>
          </cell>
        </row>
      </sheetData>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sheetName val="Activity impact"/>
      <sheetName val="Pent up demand"/>
      <sheetName val="Shock vs response"/>
      <sheetName val="US debt"/>
      <sheetName val="New nominal"/>
      <sheetName val="ERP (March 2021 update)"/>
      <sheetName val="HY and credit"/>
      <sheetName val="Treasuries"/>
      <sheetName val="Breakeven"/>
      <sheetName val="Peripheral"/>
      <sheetName val="Trade"/>
      <sheetName val="Supply chain"/>
      <sheetName val="China"/>
      <sheetName val="UK"/>
      <sheetName val="Business formations"/>
      <sheetName val="Car Air"/>
      <sheetName val="ROE"/>
      <sheetName val="ERP plot"/>
    </sheetNames>
    <sheetDataSet>
      <sheetData sheetId="0"/>
      <sheetData sheetId="1">
        <row r="8">
          <cell r="C8" t="str">
            <v>Global financial crisis</v>
          </cell>
        </row>
      </sheetData>
      <sheetData sheetId="2"/>
      <sheetData sheetId="3">
        <row r="6">
          <cell r="C6">
            <v>3.5930000000000004E-2</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5 (8)"/>
      <sheetName val="Chart5 (7)"/>
      <sheetName val="Bank Loans Data"/>
      <sheetName val="Sheet1"/>
      <sheetName val="Chart5 (6)"/>
      <sheetName val="Chart1"/>
      <sheetName val="Chart5 (2)"/>
      <sheetName val="CNKR"/>
      <sheetName val="Exh Cumulative change_CN UK US"/>
      <sheetName val="Exh Cumulative change_US&amp;EU (2)"/>
      <sheetName val="Exh Cumulative change_US&amp;EU"/>
      <sheetName val="Exh Cumulative change"/>
      <sheetName val="Exh Cumulative change_US&amp;EU (3)"/>
      <sheetName val="CrossCountry_Accumulative"/>
      <sheetName val="Credit GDP stock"/>
      <sheetName val="Excess Credit Growth Bonds"/>
      <sheetName val="Exh Cumulative change_Bonds"/>
      <sheetName val="Exh Cumulative change_Bonds His"/>
      <sheetName val="Excess_history_MY_Bonds"/>
      <sheetName val="Exh Cumulative change_Bonds_MY"/>
      <sheetName val="Exh Cumulative change_CN08"/>
      <sheetName val="Exh_Cumulative excess"/>
      <sheetName val="Exh Cumulative change_CN"/>
      <sheetName val="Chart5"/>
      <sheetName val="Chart5 total credit"/>
      <sheetName val="Chart5 (3)"/>
      <sheetName val="Chart5 (5)"/>
      <sheetName val="Chart5 (4)"/>
      <sheetName val="Chart7"/>
      <sheetName val="Chart2"/>
      <sheetName val="Chart3"/>
      <sheetName val="Bank Loans&amp;Corp Bonds_Original"/>
      <sheetName val="Bank Loans&amp;Corp Bonds_IN_Change"/>
      <sheetName val="Bank Loans&amp;Bonds Data"/>
      <sheetName val="US&amp;Europe"/>
      <sheetName val="Bonds Data B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refreshError="1"/>
      <sheetData sheetId="3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nk to Forecast"/>
      <sheetName val="NEER ANALYSIS"/>
      <sheetName val="ERWINLink"/>
      <sheetName val="REER ANALYSIS"/>
      <sheetName val="Exh_12mFctBil"/>
      <sheetName val="II_Exh2_NEER"/>
      <sheetName val="Exh_NJATWI"/>
      <sheetName val="Exh_NEERchange"/>
      <sheetName val="NEER Summary"/>
      <sheetName val="REER Summary"/>
      <sheetName val="Xrate"/>
      <sheetName val="CPI"/>
      <sheetName val="Weights"/>
      <sheetName val="TradeW"/>
      <sheetName val="Compute"/>
      <sheetName val="Module1"/>
      <sheetName val="Sheet2"/>
      <sheetName val="Sheet1"/>
      <sheetName val="KRW"/>
      <sheetName val="RMB"/>
      <sheetName val="HKD"/>
      <sheetName val="IDR"/>
      <sheetName val="KRW2"/>
      <sheetName val="MYR"/>
      <sheetName val="PHP"/>
      <sheetName val="SGD"/>
      <sheetName val="TWD"/>
      <sheetName val="THB"/>
      <sheetName val="ASIA"/>
      <sheetName val="Modified Goal Seek"/>
      <sheetName val="Goal Seek Module"/>
      <sheetName val="All _eer Summary Update"/>
      <sheetName val="All _eer Update"/>
      <sheetName val="Module2"/>
      <sheetName val="NEER Summary (2)"/>
      <sheetName val="Scenario"/>
      <sheetName val="Exh_12mFct"/>
      <sheetName val="Chart1"/>
      <sheetName val="DDETABLE"/>
      <sheetName val="Market Shares"/>
      <sheetName val="PA vs CL"/>
      <sheetName val="Data_CPI"/>
      <sheetName val="F-DCF"/>
      <sheetName val="Profile"/>
      <sheetName val="JSW Financials"/>
      <sheetName val="TradeW Reer"/>
      <sheetName val="CATTLE"/>
      <sheetName val="FormerEB monthly prod"/>
      <sheetName val="Capex"/>
      <sheetName val="NPV Summary"/>
      <sheetName val="Operating Segments"/>
      <sheetName val="Monthly bulker supply"/>
    </sheetNames>
    <sheetDataSet>
      <sheetData sheetId="0"/>
      <sheetData sheetId="1"/>
      <sheetData sheetId="2"/>
      <sheetData sheetId="3"/>
      <sheetData sheetId="4" refreshError="1"/>
      <sheetData sheetId="5" refreshError="1"/>
      <sheetData sheetId="6" refreshError="1"/>
      <sheetData sheetId="7" refreshError="1"/>
      <sheetData sheetId="8"/>
      <sheetData sheetId="9" refreshError="1"/>
      <sheetData sheetId="10"/>
      <sheetData sheetId="11"/>
      <sheetData sheetId="12" refreshError="1">
        <row r="5">
          <cell r="J5">
            <v>0.17560387366627594</v>
          </cell>
        </row>
        <row r="6">
          <cell r="J6">
            <v>6.8242266652505518E-2</v>
          </cell>
          <cell r="K6">
            <v>0.13674861185796486</v>
          </cell>
        </row>
        <row r="7">
          <cell r="J7">
            <v>5.2245866762161725E-2</v>
          </cell>
        </row>
        <row r="8">
          <cell r="J8">
            <v>5.9987925955747541E-2</v>
          </cell>
          <cell r="L8">
            <v>0.21964280790904137</v>
          </cell>
          <cell r="M8">
            <v>0.16393461566217618</v>
          </cell>
        </row>
        <row r="9">
          <cell r="J9">
            <v>0.18367957240015098</v>
          </cell>
          <cell r="K9">
            <v>0.36806993355433915</v>
          </cell>
        </row>
        <row r="10">
          <cell r="J10">
            <v>8.76950679178891E-2</v>
          </cell>
          <cell r="L10">
            <v>0.32109113042961884</v>
          </cell>
          <cell r="M10">
            <v>0.23965251382741251</v>
          </cell>
        </row>
        <row r="11">
          <cell r="J11">
            <v>3.3864992574666679E-2</v>
          </cell>
          <cell r="L11">
            <v>0.12399498633117785</v>
          </cell>
          <cell r="M11">
            <v>9.2546032450360458E-2</v>
          </cell>
        </row>
        <row r="12">
          <cell r="J12">
            <v>9.281010381935717E-2</v>
          </cell>
          <cell r="K12">
            <v>0.18597935687449385</v>
          </cell>
          <cell r="M12">
            <v>0.25363085082182668</v>
          </cell>
        </row>
        <row r="13">
          <cell r="J13">
            <v>0.1543024950306244</v>
          </cell>
          <cell r="K13">
            <v>0.30920209771320217</v>
          </cell>
        </row>
        <row r="14">
          <cell r="J14">
            <v>9.1567835220621008E-2</v>
          </cell>
          <cell r="L14">
            <v>0.33527107533016198</v>
          </cell>
          <cell r="M14">
            <v>0.25023598723822427</v>
          </cell>
        </row>
      </sheetData>
      <sheetData sheetId="13"/>
      <sheetData sheetId="14"/>
      <sheetData sheetId="15" refreshError="1"/>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S"/>
      <sheetName val="LOW"/>
      <sheetName val="MEDIUM"/>
      <sheetName val="HIGH"/>
      <sheetName val="CONSTANT"/>
      <sheetName val="NOT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ummary"/>
      <sheetName val="Family_Office_Input"/>
      <sheetName val="US_PP_Input"/>
      <sheetName val="Reserve_Manager_Input"/>
      <sheetName val="UK_Multi_Asset_Input"/>
      <sheetName val="UK_Charity_Input"/>
      <sheetName val="EUR_Wealth_Input"/>
      <sheetName val="US_CP_Input"/>
      <sheetName val="Unconstrained_Input"/>
      <sheetName val="Unconstrained_PerfTracking"/>
      <sheetName val="BPAS_portfolios_Input"/>
      <sheetName val="UK_DB_Inp"/>
      <sheetName val="USWA_Inp"/>
      <sheetName val="Currency bucketing mapping"/>
      <sheetName val="Active risk calculation"/>
      <sheetName val="mkt cap python"/>
      <sheetName val="Fees and Alpha"/>
      <sheetName val="Mapping"/>
      <sheetName val="Old_Cusi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35">
          <cell r="B35" t="str">
            <v>Cus</v>
          </cell>
          <cell r="C35" t="str">
            <v>Sec</v>
          </cell>
          <cell r="D35" t="str">
            <v>Sec</v>
          </cell>
          <cell r="E35" t="str">
            <v>Pct</v>
          </cell>
          <cell r="F35" t="str">
            <v>Unn</v>
          </cell>
          <cell r="G35" t="str">
            <v>Unn</v>
          </cell>
          <cell r="H35" t="str">
            <v>Unn</v>
          </cell>
          <cell r="I35" t="str">
            <v>Unn</v>
          </cell>
          <cell r="J35" t="str">
            <v>Unn</v>
          </cell>
          <cell r="K35" t="str">
            <v>Unn</v>
          </cell>
          <cell r="L35" t="str">
            <v>AED</v>
          </cell>
          <cell r="M35" t="str">
            <v>AUD</v>
          </cell>
          <cell r="N35" t="str">
            <v>BRL</v>
          </cell>
          <cell r="O35" t="str">
            <v>CAD</v>
          </cell>
          <cell r="P35" t="str">
            <v>CHF</v>
          </cell>
          <cell r="Q35" t="str">
            <v>CLP</v>
          </cell>
          <cell r="R35" t="str">
            <v>CNY</v>
          </cell>
          <cell r="S35" t="str">
            <v>COP</v>
          </cell>
          <cell r="T35" t="str">
            <v>CZK</v>
          </cell>
          <cell r="U35" t="str">
            <v>DEM</v>
          </cell>
          <cell r="V35" t="str">
            <v>DKK</v>
          </cell>
          <cell r="W35" t="str">
            <v>DOP</v>
          </cell>
          <cell r="X35" t="str">
            <v>EGP</v>
          </cell>
          <cell r="Y35" t="str">
            <v>EUR</v>
          </cell>
          <cell r="Z35" t="str">
            <v>GBP</v>
          </cell>
          <cell r="AA35" t="str">
            <v>HKD</v>
          </cell>
          <cell r="AB35" t="str">
            <v>HUF</v>
          </cell>
          <cell r="AC35" t="str">
            <v>IDR</v>
          </cell>
          <cell r="AD35" t="str">
            <v>ILS</v>
          </cell>
          <cell r="AE35" t="str">
            <v>INR</v>
          </cell>
          <cell r="AF35" t="str">
            <v>ITL</v>
          </cell>
          <cell r="AG35" t="str">
            <v>JPY</v>
          </cell>
          <cell r="AH35" t="str">
            <v>KRW</v>
          </cell>
          <cell r="AI35" t="str">
            <v>KWD</v>
          </cell>
          <cell r="AJ35" t="str">
            <v>MXN</v>
          </cell>
          <cell r="AK35" t="str">
            <v>MYR</v>
          </cell>
          <cell r="AL35" t="str">
            <v>NOK</v>
          </cell>
          <cell r="AM35" t="str">
            <v>NZD</v>
          </cell>
          <cell r="AN35" t="str">
            <v>PEN</v>
          </cell>
          <cell r="AO35" t="str">
            <v>PHP</v>
          </cell>
          <cell r="AP35" t="str">
            <v>PLN</v>
          </cell>
          <cell r="AQ35" t="str">
            <v>QAR</v>
          </cell>
          <cell r="AR35" t="str">
            <v>RON</v>
          </cell>
          <cell r="AS35" t="str">
            <v>RSD</v>
          </cell>
          <cell r="AT35" t="str">
            <v>RUB</v>
          </cell>
          <cell r="AU35" t="str">
            <v>SAR</v>
          </cell>
          <cell r="AV35" t="str">
            <v>SEK</v>
          </cell>
          <cell r="AW35" t="str">
            <v>SGD</v>
          </cell>
          <cell r="AX35" t="str">
            <v>THB</v>
          </cell>
          <cell r="AY35" t="str">
            <v>TRY</v>
          </cell>
          <cell r="AZ35" t="str">
            <v>TWD</v>
          </cell>
          <cell r="BA35" t="str">
            <v>UYU</v>
          </cell>
          <cell r="BB35" t="str">
            <v>ZAR</v>
          </cell>
          <cell r="BC35" t="str">
            <v>USD</v>
          </cell>
          <cell r="BD35" t="str">
            <v>Unn</v>
          </cell>
          <cell r="BE35" t="str">
            <v>Unn</v>
          </cell>
          <cell r="BF35" t="str">
            <v>Unn</v>
          </cell>
        </row>
        <row r="36">
          <cell r="B36" t="str">
            <v>Cusip</v>
          </cell>
          <cell r="C36" t="str">
            <v>Security Name</v>
          </cell>
          <cell r="D36" t="str">
            <v>Security Ticker</v>
          </cell>
          <cell r="E36" t="str">
            <v>Pct Weight</v>
          </cell>
          <cell r="F36" t="str">
            <v>Unnamed Column</v>
          </cell>
          <cell r="G36" t="str">
            <v>Unnamed Column 2</v>
          </cell>
          <cell r="H36" t="str">
            <v>Unnamed Column 3</v>
          </cell>
          <cell r="I36" t="str">
            <v>Unnamed Column 4</v>
          </cell>
          <cell r="J36" t="str">
            <v>Unnamed Column 5</v>
          </cell>
          <cell r="K36" t="str">
            <v>Unnamed Column 6</v>
          </cell>
          <cell r="L36" t="str">
            <v>AED/PLN Exposure</v>
          </cell>
          <cell r="M36" t="str">
            <v>AUD/PLN Exposure</v>
          </cell>
          <cell r="N36" t="str">
            <v>BRL/PLN Exposure</v>
          </cell>
          <cell r="O36" t="str">
            <v>CAD/PLN Exposure</v>
          </cell>
          <cell r="P36" t="str">
            <v>CHF/PLN Exposure</v>
          </cell>
          <cell r="Q36" t="str">
            <v>CLP/PLN Exposure</v>
          </cell>
          <cell r="R36" t="str">
            <v>CNY/PLN Exposure</v>
          </cell>
          <cell r="S36" t="str">
            <v>COP/PLN Exposure</v>
          </cell>
          <cell r="T36" t="str">
            <v>CZK/PLN Exposure</v>
          </cell>
          <cell r="U36" t="str">
            <v>DEM/PLN Exposure</v>
          </cell>
          <cell r="V36" t="str">
            <v>DKK/PLN Exposure</v>
          </cell>
          <cell r="W36" t="str">
            <v>DOP/PLN Exposure</v>
          </cell>
          <cell r="X36" t="str">
            <v>EGP/PLN Exposure</v>
          </cell>
          <cell r="Y36" t="str">
            <v>EUR/PLN Exposure</v>
          </cell>
          <cell r="Z36" t="str">
            <v>GBP/PLN Exposure</v>
          </cell>
          <cell r="AA36" t="str">
            <v>HKD/PLN Exposure</v>
          </cell>
          <cell r="AB36" t="str">
            <v>HUF/PLN Exposure</v>
          </cell>
          <cell r="AC36" t="str">
            <v>IDR/PLN Exposure</v>
          </cell>
          <cell r="AD36" t="str">
            <v>ILS/PLN Exposure</v>
          </cell>
          <cell r="AE36" t="str">
            <v>INR/PLN Exposure</v>
          </cell>
          <cell r="AF36" t="str">
            <v>ITL/PLN Exposure</v>
          </cell>
          <cell r="AG36" t="str">
            <v>JPY/PLN Exposure</v>
          </cell>
          <cell r="AH36" t="str">
            <v>KRW/PLN Exposure</v>
          </cell>
          <cell r="AI36" t="str">
            <v>KWD/PLN Exposure</v>
          </cell>
          <cell r="AJ36" t="str">
            <v>MXN/PLN Exposure</v>
          </cell>
          <cell r="AK36" t="str">
            <v>MYR/PLN Exposure</v>
          </cell>
          <cell r="AL36" t="str">
            <v>NOK/PLN Exposure</v>
          </cell>
          <cell r="AM36" t="str">
            <v>NZD/PLN Exposure</v>
          </cell>
          <cell r="AN36" t="str">
            <v>PEN/PLN Exposure</v>
          </cell>
          <cell r="AO36" t="str">
            <v>PHP/PLN Exposure</v>
          </cell>
          <cell r="AP36" t="str">
            <v>PLN/PLN Exposure</v>
          </cell>
          <cell r="AQ36" t="str">
            <v>QAR/PLN Exposure</v>
          </cell>
          <cell r="AR36" t="str">
            <v>RON/PLN Exposure</v>
          </cell>
          <cell r="AS36" t="str">
            <v>RSD/PLN Exposure</v>
          </cell>
          <cell r="AT36" t="str">
            <v>RUB/PLN Exposure</v>
          </cell>
          <cell r="AU36" t="str">
            <v>SAR/PLN Exposure</v>
          </cell>
          <cell r="AV36" t="str">
            <v>SEK/PLN Exposure</v>
          </cell>
          <cell r="AW36" t="str">
            <v>SGD/PLN Exposure</v>
          </cell>
          <cell r="AX36" t="str">
            <v>THB/PLN Exposure</v>
          </cell>
          <cell r="AY36" t="str">
            <v>TRY/PLN Exposure</v>
          </cell>
          <cell r="AZ36" t="str">
            <v>TWD/PLN Exposure</v>
          </cell>
          <cell r="BA36" t="str">
            <v>UYU/PLN Exposure</v>
          </cell>
          <cell r="BB36" t="str">
            <v>ZAR/PLN Exposure</v>
          </cell>
          <cell r="BC36" t="str">
            <v>USD/PLN Exposure</v>
          </cell>
          <cell r="BD36" t="str">
            <v>Unnamed Column 7</v>
          </cell>
          <cell r="BE36" t="str">
            <v>Unnamed Column 8</v>
          </cell>
          <cell r="BF36" t="str">
            <v>Unnamed Column 9</v>
          </cell>
        </row>
        <row r="37">
          <cell r="B37" t="str">
            <v>TOTAL</v>
          </cell>
          <cell r="E37">
            <v>105.00000000000004</v>
          </cell>
          <cell r="L37">
            <v>4.6398388039028453E-2</v>
          </cell>
          <cell r="M37">
            <v>1.7939653535259705</v>
          </cell>
          <cell r="N37">
            <v>0.29900714062552364</v>
          </cell>
          <cell r="O37">
            <v>2.1686753785802368</v>
          </cell>
          <cell r="P37">
            <v>1.3404615418728523</v>
          </cell>
          <cell r="Q37">
            <v>3.8342040844500012E-2</v>
          </cell>
          <cell r="R37">
            <v>3.1255298869057491</v>
          </cell>
          <cell r="S37">
            <v>4.4285535611645423E-2</v>
          </cell>
          <cell r="T37">
            <v>5.9042173181467712E-2</v>
          </cell>
          <cell r="U37">
            <v>-1.7296074113373476E-4</v>
          </cell>
          <cell r="V37">
            <v>0.13225713422224841</v>
          </cell>
          <cell r="W37">
            <v>2.3860346633626322E-3</v>
          </cell>
          <cell r="X37">
            <v>3.1431635700494859E-3</v>
          </cell>
          <cell r="Y37">
            <v>28.104006669174403</v>
          </cell>
          <cell r="Z37">
            <v>13.9289290629661</v>
          </cell>
          <cell r="AA37">
            <v>1.1933478154798198</v>
          </cell>
          <cell r="AB37">
            <v>3.7361975756028017E-2</v>
          </cell>
          <cell r="AC37">
            <v>0.16320375669267118</v>
          </cell>
          <cell r="AD37">
            <v>1.236952276884732E-2</v>
          </cell>
          <cell r="AE37">
            <v>1.4391113488195619</v>
          </cell>
          <cell r="AF37">
            <v>-3.1132166817913589E-3</v>
          </cell>
          <cell r="AG37">
            <v>4.1145424728849536</v>
          </cell>
          <cell r="AH37">
            <v>0.44967534495446815</v>
          </cell>
          <cell r="AI37">
            <v>2.86132057624758E-2</v>
          </cell>
          <cell r="AJ37">
            <v>0.17878933526931376</v>
          </cell>
          <cell r="AK37">
            <v>0.15696237033145291</v>
          </cell>
          <cell r="AL37">
            <v>4.141019561658045E-2</v>
          </cell>
          <cell r="AM37">
            <v>3.0629648736613852E-2</v>
          </cell>
          <cell r="AN37">
            <v>3.0988150308036099E-2</v>
          </cell>
          <cell r="AO37">
            <v>2.2834463136629238E-2</v>
          </cell>
          <cell r="AP37">
            <v>-98.912041692481722</v>
          </cell>
          <cell r="AQ37">
            <v>3.1024126701633681E-2</v>
          </cell>
          <cell r="AR37">
            <v>3.9748682614886455E-2</v>
          </cell>
          <cell r="AS37">
            <v>3.4080715512909373E-3</v>
          </cell>
          <cell r="AT37">
            <v>1.2045904761904756E-2</v>
          </cell>
          <cell r="AU37">
            <v>0.15965280771461066</v>
          </cell>
          <cell r="AV37">
            <v>0.20940594793865475</v>
          </cell>
          <cell r="AW37">
            <v>0.18298427260585456</v>
          </cell>
          <cell r="AX37">
            <v>0.14748181302003158</v>
          </cell>
          <cell r="AY37">
            <v>6.2215717836401133E-2</v>
          </cell>
          <cell r="AZ37">
            <v>0.71425497114479508</v>
          </cell>
          <cell r="BA37">
            <v>1.7943095520610104E-3</v>
          </cell>
          <cell r="BB37">
            <v>0.20464069383815453</v>
          </cell>
          <cell r="BC37">
            <v>38.160401440323746</v>
          </cell>
        </row>
        <row r="38">
          <cell r="B38" t="str">
            <v>BRS26QQW4</v>
          </cell>
          <cell r="C38" t="str">
            <v>FTSE Actuaries UK Index-Linked Gilts ove</v>
          </cell>
          <cell r="D38" t="str">
            <v>FTILGLT5P</v>
          </cell>
          <cell r="E38">
            <v>2</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99.999999999999972</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-99.999999999999972</v>
          </cell>
          <cell r="AQ38">
            <v>0</v>
          </cell>
          <cell r="AR38">
            <v>0</v>
          </cell>
          <cell r="AS38">
            <v>0</v>
          </cell>
          <cell r="AT38">
            <v>0</v>
          </cell>
          <cell r="AU38">
            <v>0</v>
          </cell>
          <cell r="AV38">
            <v>0</v>
          </cell>
          <cell r="AW38">
            <v>0</v>
          </cell>
          <cell r="AX38">
            <v>0</v>
          </cell>
          <cell r="AY38">
            <v>0</v>
          </cell>
          <cell r="AZ38">
            <v>0</v>
          </cell>
          <cell r="BA38">
            <v>0</v>
          </cell>
          <cell r="BB38">
            <v>0</v>
          </cell>
          <cell r="BC38">
            <v>0</v>
          </cell>
        </row>
        <row r="39">
          <cell r="B39" t="str">
            <v>BRT9TAL37</v>
          </cell>
          <cell r="C39" t="str">
            <v>CMA - Core Real Estate UK hedged</v>
          </cell>
          <cell r="D39" t="str">
            <v>CMA_UKREHD</v>
          </cell>
          <cell r="E39">
            <v>1</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-100</v>
          </cell>
          <cell r="AQ39">
            <v>0</v>
          </cell>
          <cell r="AR39">
            <v>0</v>
          </cell>
          <cell r="AS39">
            <v>0</v>
          </cell>
          <cell r="AT39">
            <v>0</v>
          </cell>
          <cell r="AU39">
            <v>0</v>
          </cell>
          <cell r="AV39">
            <v>0</v>
          </cell>
          <cell r="AW39">
            <v>0</v>
          </cell>
          <cell r="AX39">
            <v>0</v>
          </cell>
          <cell r="AY39">
            <v>0</v>
          </cell>
          <cell r="AZ39">
            <v>0</v>
          </cell>
          <cell r="BA39">
            <v>0</v>
          </cell>
          <cell r="BB39">
            <v>0</v>
          </cell>
          <cell r="BC39">
            <v>100</v>
          </cell>
        </row>
        <row r="40">
          <cell r="B40" t="str">
            <v>BRTE916L5</v>
          </cell>
          <cell r="C40" t="str">
            <v>MSCI China A Inclusion NET Index</v>
          </cell>
          <cell r="D40" t="str">
            <v>MSCNAINCLN</v>
          </cell>
          <cell r="E40">
            <v>1</v>
          </cell>
          <cell r="L40">
            <v>0</v>
          </cell>
          <cell r="M40">
            <v>0</v>
          </cell>
          <cell r="N40">
            <v>0</v>
          </cell>
          <cell r="O40">
            <v>0</v>
          </cell>
          <cell r="P40">
            <v>0</v>
          </cell>
          <cell r="Q40">
            <v>0</v>
          </cell>
          <cell r="R40">
            <v>99.295500264355596</v>
          </cell>
          <cell r="S40">
            <v>0</v>
          </cell>
          <cell r="T40">
            <v>0</v>
          </cell>
          <cell r="U40">
            <v>0</v>
          </cell>
          <cell r="V40">
            <v>0</v>
          </cell>
          <cell r="W40">
            <v>0</v>
          </cell>
          <cell r="X40">
            <v>0</v>
          </cell>
          <cell r="Y40">
            <v>0</v>
          </cell>
          <cell r="Z40">
            <v>0</v>
          </cell>
          <cell r="AA40">
            <v>0.70449973564454815</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-100.00000000000016</v>
          </cell>
          <cell r="AQ40">
            <v>0</v>
          </cell>
          <cell r="AR40">
            <v>0</v>
          </cell>
          <cell r="AS40">
            <v>0</v>
          </cell>
          <cell r="AT40">
            <v>0</v>
          </cell>
          <cell r="AU40">
            <v>0</v>
          </cell>
          <cell r="AV40">
            <v>0</v>
          </cell>
          <cell r="AW40">
            <v>0</v>
          </cell>
          <cell r="AX40">
            <v>0</v>
          </cell>
          <cell r="AY40">
            <v>0</v>
          </cell>
          <cell r="AZ40">
            <v>0</v>
          </cell>
          <cell r="BA40">
            <v>0</v>
          </cell>
          <cell r="BB40">
            <v>0</v>
          </cell>
          <cell r="BC40">
            <v>0</v>
          </cell>
        </row>
        <row r="41">
          <cell r="B41" t="str">
            <v>BRSJNB3E6</v>
          </cell>
          <cell r="C41" t="str">
            <v>MSCI USA Information Technology Index</v>
          </cell>
          <cell r="D41" t="str">
            <v>MSUSATEC</v>
          </cell>
          <cell r="E41">
            <v>1</v>
          </cell>
          <cell r="L41">
            <v>0</v>
          </cell>
          <cell r="M41">
            <v>0</v>
          </cell>
          <cell r="N41">
            <v>0</v>
          </cell>
          <cell r="O41">
            <v>0</v>
          </cell>
          <cell r="P41">
            <v>0</v>
          </cell>
          <cell r="Q41">
            <v>0</v>
          </cell>
          <cell r="R41">
            <v>0</v>
          </cell>
          <cell r="S41">
            <v>0</v>
          </cell>
          <cell r="T41">
            <v>0</v>
          </cell>
          <cell r="U41">
            <v>0</v>
          </cell>
          <cell r="V41">
            <v>0</v>
          </cell>
          <cell r="W41">
            <v>0</v>
          </cell>
          <cell r="X41">
            <v>0</v>
          </cell>
          <cell r="Y41">
            <v>0.43084455216596806</v>
          </cell>
          <cell r="Z41">
            <v>0</v>
          </cell>
          <cell r="AA41">
            <v>0</v>
          </cell>
          <cell r="AB41">
            <v>0</v>
          </cell>
          <cell r="AC41">
            <v>0</v>
          </cell>
          <cell r="AD41">
            <v>0</v>
          </cell>
          <cell r="AE41">
            <v>0.25416129060443943</v>
          </cell>
          <cell r="AF41">
            <v>0</v>
          </cell>
          <cell r="AG41">
            <v>0</v>
          </cell>
          <cell r="AH41">
            <v>0</v>
          </cell>
          <cell r="AI41">
            <v>0</v>
          </cell>
          <cell r="AJ41">
            <v>0</v>
          </cell>
          <cell r="AK41">
            <v>0</v>
          </cell>
          <cell r="AL41">
            <v>0</v>
          </cell>
          <cell r="AM41">
            <v>0</v>
          </cell>
          <cell r="AN41">
            <v>0</v>
          </cell>
          <cell r="AO41">
            <v>0</v>
          </cell>
          <cell r="AP41">
            <v>-100</v>
          </cell>
          <cell r="AQ41">
            <v>0</v>
          </cell>
          <cell r="AR41">
            <v>0</v>
          </cell>
          <cell r="AS41">
            <v>0</v>
          </cell>
          <cell r="AT41">
            <v>0</v>
          </cell>
          <cell r="AU41">
            <v>0</v>
          </cell>
          <cell r="AV41">
            <v>0</v>
          </cell>
          <cell r="AW41">
            <v>0</v>
          </cell>
          <cell r="AX41">
            <v>0</v>
          </cell>
          <cell r="AY41">
            <v>0</v>
          </cell>
          <cell r="AZ41">
            <v>0</v>
          </cell>
          <cell r="BA41">
            <v>0</v>
          </cell>
          <cell r="BB41">
            <v>0</v>
          </cell>
          <cell r="BC41">
            <v>99.314994157229592</v>
          </cell>
        </row>
        <row r="42">
          <cell r="B42" t="str">
            <v>BRSJNAPD6</v>
          </cell>
          <cell r="C42" t="str">
            <v>MSCI USA Consumer Discretionary Index</v>
          </cell>
          <cell r="D42" t="str">
            <v>MSUSACDS</v>
          </cell>
          <cell r="E42">
            <v>1.0000000000000002</v>
          </cell>
          <cell r="L42">
            <v>0</v>
          </cell>
          <cell r="M42">
            <v>0</v>
          </cell>
          <cell r="N42">
            <v>1.9460381601536236</v>
          </cell>
          <cell r="O42">
            <v>0</v>
          </cell>
          <cell r="P42">
            <v>0</v>
          </cell>
          <cell r="Q42">
            <v>0</v>
          </cell>
          <cell r="R42">
            <v>0</v>
          </cell>
          <cell r="S42">
            <v>0</v>
          </cell>
          <cell r="T42">
            <v>0</v>
          </cell>
          <cell r="U42">
            <v>0</v>
          </cell>
          <cell r="V42">
            <v>0</v>
          </cell>
          <cell r="W42">
            <v>0</v>
          </cell>
          <cell r="X42">
            <v>0</v>
          </cell>
          <cell r="Y42">
            <v>0.78077143133591376</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-99.999999999999957</v>
          </cell>
          <cell r="AQ42">
            <v>0</v>
          </cell>
          <cell r="AR42">
            <v>0</v>
          </cell>
          <cell r="AS42">
            <v>0</v>
          </cell>
          <cell r="AT42">
            <v>0</v>
          </cell>
          <cell r="AU42">
            <v>0</v>
          </cell>
          <cell r="AV42">
            <v>0</v>
          </cell>
          <cell r="AW42">
            <v>0</v>
          </cell>
          <cell r="AX42">
            <v>0</v>
          </cell>
          <cell r="AY42">
            <v>0</v>
          </cell>
          <cell r="AZ42">
            <v>0</v>
          </cell>
          <cell r="BA42">
            <v>0</v>
          </cell>
          <cell r="BB42">
            <v>0</v>
          </cell>
          <cell r="BC42">
            <v>97.27319040851043</v>
          </cell>
        </row>
        <row r="43">
          <cell r="B43" t="str">
            <v>BRSLC4YJ4</v>
          </cell>
          <cell r="C43" t="str">
            <v>PE - Buyout Global Fund</v>
          </cell>
          <cell r="E43">
            <v>1</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-100</v>
          </cell>
          <cell r="AQ43">
            <v>0</v>
          </cell>
          <cell r="AR43">
            <v>0</v>
          </cell>
          <cell r="AS43">
            <v>0</v>
          </cell>
          <cell r="AT43">
            <v>0</v>
          </cell>
          <cell r="AU43">
            <v>0</v>
          </cell>
          <cell r="AV43">
            <v>0</v>
          </cell>
          <cell r="AW43">
            <v>0</v>
          </cell>
          <cell r="AX43">
            <v>0</v>
          </cell>
          <cell r="AY43">
            <v>0</v>
          </cell>
          <cell r="AZ43">
            <v>0</v>
          </cell>
          <cell r="BA43">
            <v>0</v>
          </cell>
          <cell r="BB43">
            <v>0</v>
          </cell>
          <cell r="BC43">
            <v>100</v>
          </cell>
        </row>
        <row r="44">
          <cell r="B44" t="str">
            <v>BRTDWC9U4</v>
          </cell>
          <cell r="C44" t="str">
            <v>MSCI USA/REAL ESTATE Index</v>
          </cell>
          <cell r="D44" t="str">
            <v>MSCIUSDRS</v>
          </cell>
          <cell r="E44">
            <v>1.0000000000000002</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-100</v>
          </cell>
          <cell r="AQ44">
            <v>0</v>
          </cell>
          <cell r="AR44">
            <v>0</v>
          </cell>
          <cell r="AS44">
            <v>0</v>
          </cell>
          <cell r="AT44">
            <v>0</v>
          </cell>
          <cell r="AU44">
            <v>0</v>
          </cell>
          <cell r="AV44">
            <v>0</v>
          </cell>
          <cell r="AW44">
            <v>0</v>
          </cell>
          <cell r="AX44">
            <v>0</v>
          </cell>
          <cell r="AY44">
            <v>0</v>
          </cell>
          <cell r="AZ44">
            <v>0</v>
          </cell>
          <cell r="BA44">
            <v>0</v>
          </cell>
          <cell r="BB44">
            <v>0</v>
          </cell>
          <cell r="BC44">
            <v>100</v>
          </cell>
        </row>
        <row r="45">
          <cell r="B45" t="str">
            <v>BRS1PQBB7</v>
          </cell>
          <cell r="C45" t="str">
            <v>BBG Euro Aggregate Corporate Index</v>
          </cell>
          <cell r="D45" t="str">
            <v>LEURAGCORP</v>
          </cell>
          <cell r="E45">
            <v>2</v>
          </cell>
          <cell r="L45">
            <v>0</v>
          </cell>
          <cell r="M45">
            <v>0</v>
          </cell>
          <cell r="N45">
            <v>0</v>
          </cell>
          <cell r="O45">
            <v>0</v>
          </cell>
          <cell r="P45">
            <v>0</v>
          </cell>
          <cell r="Q45">
            <v>0</v>
          </cell>
          <cell r="R45">
            <v>0</v>
          </cell>
          <cell r="S45">
            <v>0</v>
          </cell>
          <cell r="T45">
            <v>0</v>
          </cell>
          <cell r="U45">
            <v>0</v>
          </cell>
          <cell r="V45">
            <v>0</v>
          </cell>
          <cell r="W45">
            <v>0</v>
          </cell>
          <cell r="X45">
            <v>0</v>
          </cell>
          <cell r="Y45">
            <v>100.10632951667607</v>
          </cell>
          <cell r="Z45">
            <v>0</v>
          </cell>
          <cell r="AA45">
            <v>0</v>
          </cell>
          <cell r="AB45">
            <v>0</v>
          </cell>
          <cell r="AC45">
            <v>0</v>
          </cell>
          <cell r="AD45">
            <v>0</v>
          </cell>
          <cell r="AE45">
            <v>0</v>
          </cell>
          <cell r="AF45">
            <v>-0.10632951667613165</v>
          </cell>
          <cell r="AG45">
            <v>0</v>
          </cell>
          <cell r="AH45">
            <v>0</v>
          </cell>
          <cell r="AI45">
            <v>0</v>
          </cell>
          <cell r="AJ45">
            <v>0</v>
          </cell>
          <cell r="AK45">
            <v>0</v>
          </cell>
          <cell r="AL45">
            <v>0</v>
          </cell>
          <cell r="AM45">
            <v>0</v>
          </cell>
          <cell r="AN45">
            <v>0</v>
          </cell>
          <cell r="AO45">
            <v>0</v>
          </cell>
          <cell r="AP45">
            <v>-99.999999999999929</v>
          </cell>
          <cell r="AQ45">
            <v>0</v>
          </cell>
          <cell r="AR45">
            <v>0</v>
          </cell>
          <cell r="AS45">
            <v>0</v>
          </cell>
          <cell r="AT45">
            <v>0</v>
          </cell>
          <cell r="AU45">
            <v>0</v>
          </cell>
          <cell r="AV45">
            <v>0</v>
          </cell>
          <cell r="AW45">
            <v>0</v>
          </cell>
          <cell r="AX45">
            <v>0</v>
          </cell>
          <cell r="AY45">
            <v>0</v>
          </cell>
          <cell r="AZ45">
            <v>0</v>
          </cell>
          <cell r="BA45">
            <v>0</v>
          </cell>
          <cell r="BB45">
            <v>0</v>
          </cell>
          <cell r="BC45">
            <v>0</v>
          </cell>
        </row>
        <row r="46">
          <cell r="B46" t="str">
            <v>BRT8ZZBD6</v>
          </cell>
          <cell r="C46" t="str">
            <v>BBG U.S. Tips Index 10Yr Plus - USD GROS</v>
          </cell>
          <cell r="D46" t="str">
            <v>BBUSTIPS10</v>
          </cell>
          <cell r="E46">
            <v>1</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-100</v>
          </cell>
          <cell r="AQ46">
            <v>0</v>
          </cell>
          <cell r="AR46">
            <v>0</v>
          </cell>
          <cell r="AS46">
            <v>0</v>
          </cell>
          <cell r="AT46">
            <v>0</v>
          </cell>
          <cell r="AU46">
            <v>0</v>
          </cell>
          <cell r="AV46">
            <v>0</v>
          </cell>
          <cell r="AW46">
            <v>0</v>
          </cell>
          <cell r="AX46">
            <v>0</v>
          </cell>
          <cell r="AY46">
            <v>0</v>
          </cell>
          <cell r="AZ46">
            <v>0</v>
          </cell>
          <cell r="BA46">
            <v>0</v>
          </cell>
          <cell r="BB46">
            <v>0</v>
          </cell>
          <cell r="BC46">
            <v>100</v>
          </cell>
        </row>
        <row r="47">
          <cell r="B47" t="str">
            <v>BRSJNB3N6</v>
          </cell>
          <cell r="C47" t="str">
            <v>MSCI USA Telecommunication Services Inde</v>
          </cell>
          <cell r="D47" t="str">
            <v>MSUSATEL</v>
          </cell>
          <cell r="E47">
            <v>1</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-99.999999999999986</v>
          </cell>
          <cell r="AQ47">
            <v>0</v>
          </cell>
          <cell r="AR47">
            <v>0</v>
          </cell>
          <cell r="AS47">
            <v>0</v>
          </cell>
          <cell r="AT47">
            <v>0</v>
          </cell>
          <cell r="AU47">
            <v>0</v>
          </cell>
          <cell r="AV47">
            <v>0</v>
          </cell>
          <cell r="AW47">
            <v>0</v>
          </cell>
          <cell r="AX47">
            <v>0</v>
          </cell>
          <cell r="AY47">
            <v>0</v>
          </cell>
          <cell r="AZ47">
            <v>0</v>
          </cell>
          <cell r="BA47">
            <v>0</v>
          </cell>
          <cell r="BB47">
            <v>0</v>
          </cell>
          <cell r="BC47">
            <v>99.999999999999986</v>
          </cell>
        </row>
        <row r="48">
          <cell r="B48" t="str">
            <v>BRS26QUC3</v>
          </cell>
          <cell r="C48" t="str">
            <v>MSCI Developed - US Gross TR Index</v>
          </cell>
          <cell r="D48" t="str">
            <v>MS_US</v>
          </cell>
          <cell r="E48">
            <v>1</v>
          </cell>
          <cell r="L48">
            <v>0</v>
          </cell>
          <cell r="M48">
            <v>3.3572076984601941E-2</v>
          </cell>
          <cell r="N48">
            <v>0.19099711183084575</v>
          </cell>
          <cell r="O48">
            <v>0.12092186133200822</v>
          </cell>
          <cell r="P48">
            <v>0</v>
          </cell>
          <cell r="Q48">
            <v>0</v>
          </cell>
          <cell r="R48">
            <v>0</v>
          </cell>
          <cell r="S48">
            <v>0</v>
          </cell>
          <cell r="T48">
            <v>0</v>
          </cell>
          <cell r="U48">
            <v>0</v>
          </cell>
          <cell r="V48">
            <v>0</v>
          </cell>
          <cell r="W48">
            <v>0</v>
          </cell>
          <cell r="X48">
            <v>0</v>
          </cell>
          <cell r="Y48">
            <v>0.35482724602756144</v>
          </cell>
          <cell r="Z48">
            <v>8.4345037887521901E-2</v>
          </cell>
          <cell r="AA48">
            <v>0</v>
          </cell>
          <cell r="AB48">
            <v>0</v>
          </cell>
          <cell r="AC48">
            <v>0</v>
          </cell>
          <cell r="AD48">
            <v>0</v>
          </cell>
          <cell r="AE48">
            <v>7.8509722597016357E-2</v>
          </cell>
          <cell r="AF48">
            <v>0</v>
          </cell>
          <cell r="AG48">
            <v>0</v>
          </cell>
          <cell r="AH48">
            <v>0</v>
          </cell>
          <cell r="AI48">
            <v>0</v>
          </cell>
          <cell r="AJ48">
            <v>0</v>
          </cell>
          <cell r="AK48">
            <v>0</v>
          </cell>
          <cell r="AL48">
            <v>0</v>
          </cell>
          <cell r="AM48">
            <v>0</v>
          </cell>
          <cell r="AN48">
            <v>0</v>
          </cell>
          <cell r="AO48">
            <v>0</v>
          </cell>
          <cell r="AP48">
            <v>-100.00000000000009</v>
          </cell>
          <cell r="AQ48">
            <v>0</v>
          </cell>
          <cell r="AR48">
            <v>0</v>
          </cell>
          <cell r="AS48">
            <v>0</v>
          </cell>
          <cell r="AT48">
            <v>0</v>
          </cell>
          <cell r="AU48">
            <v>0</v>
          </cell>
          <cell r="AV48">
            <v>0</v>
          </cell>
          <cell r="AW48">
            <v>0</v>
          </cell>
          <cell r="AX48">
            <v>0</v>
          </cell>
          <cell r="AY48">
            <v>0</v>
          </cell>
          <cell r="AZ48">
            <v>0</v>
          </cell>
          <cell r="BA48">
            <v>0</v>
          </cell>
          <cell r="BB48">
            <v>0</v>
          </cell>
          <cell r="BC48">
            <v>99.136826943340537</v>
          </cell>
        </row>
        <row r="49">
          <cell r="B49" t="str">
            <v>B00229466</v>
          </cell>
          <cell r="C49" t="str">
            <v>BBG US Long Credit Index</v>
          </cell>
          <cell r="D49" t="str">
            <v>LCREDLONG</v>
          </cell>
          <cell r="E49">
            <v>1</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-100.00000000000041</v>
          </cell>
          <cell r="AQ49">
            <v>0</v>
          </cell>
          <cell r="AR49">
            <v>0</v>
          </cell>
          <cell r="AS49">
            <v>0</v>
          </cell>
          <cell r="AT49">
            <v>0</v>
          </cell>
          <cell r="AU49">
            <v>0</v>
          </cell>
          <cell r="AV49">
            <v>0</v>
          </cell>
          <cell r="AW49">
            <v>0</v>
          </cell>
          <cell r="AX49">
            <v>0</v>
          </cell>
          <cell r="AY49">
            <v>0</v>
          </cell>
          <cell r="AZ49">
            <v>0</v>
          </cell>
          <cell r="BA49">
            <v>0</v>
          </cell>
          <cell r="BB49">
            <v>0</v>
          </cell>
          <cell r="BC49">
            <v>100.00000000000041</v>
          </cell>
        </row>
        <row r="50">
          <cell r="B50" t="str">
            <v>BRSN0NSF6</v>
          </cell>
          <cell r="C50" t="str">
            <v>FTSE EPRA Nareit Global REITs Index Gros</v>
          </cell>
          <cell r="D50" t="str">
            <v>FTENGRT</v>
          </cell>
          <cell r="E50">
            <v>1</v>
          </cell>
          <cell r="L50">
            <v>0</v>
          </cell>
          <cell r="M50">
            <v>6.2601348063936992</v>
          </cell>
          <cell r="N50">
            <v>0</v>
          </cell>
          <cell r="O50">
            <v>2.2930918018085276</v>
          </cell>
          <cell r="P50">
            <v>0</v>
          </cell>
          <cell r="Q50">
            <v>0</v>
          </cell>
          <cell r="R50">
            <v>0</v>
          </cell>
          <cell r="S50">
            <v>0</v>
          </cell>
          <cell r="T50">
            <v>0</v>
          </cell>
          <cell r="U50">
            <v>0</v>
          </cell>
          <cell r="V50">
            <v>0</v>
          </cell>
          <cell r="W50">
            <v>0</v>
          </cell>
          <cell r="X50">
            <v>0</v>
          </cell>
          <cell r="Y50">
            <v>3.3577822380401856</v>
          </cell>
          <cell r="Z50">
            <v>4.3879649211175691</v>
          </cell>
          <cell r="AA50">
            <v>0.86117122421559933</v>
          </cell>
          <cell r="AB50">
            <v>0</v>
          </cell>
          <cell r="AC50">
            <v>0</v>
          </cell>
          <cell r="AD50">
            <v>0</v>
          </cell>
          <cell r="AE50">
            <v>0.3658270133111528</v>
          </cell>
          <cell r="AF50">
            <v>0</v>
          </cell>
          <cell r="AG50">
            <v>5.73160419241988</v>
          </cell>
          <cell r="AH50">
            <v>0.13380936369076585</v>
          </cell>
          <cell r="AI50">
            <v>0</v>
          </cell>
          <cell r="AJ50">
            <v>0.4935067173689503</v>
          </cell>
          <cell r="AK50">
            <v>7.081801978248671E-2</v>
          </cell>
          <cell r="AL50">
            <v>0</v>
          </cell>
          <cell r="AM50">
            <v>0.25199227967770954</v>
          </cell>
          <cell r="AN50">
            <v>0</v>
          </cell>
          <cell r="AO50">
            <v>3.3589765679158758E-2</v>
          </cell>
          <cell r="AP50">
            <v>-100.00000000000003</v>
          </cell>
          <cell r="AQ50">
            <v>0</v>
          </cell>
          <cell r="AR50">
            <v>0</v>
          </cell>
          <cell r="AS50">
            <v>0</v>
          </cell>
          <cell r="AT50">
            <v>0</v>
          </cell>
          <cell r="AU50">
            <v>0.16007445598490591</v>
          </cell>
          <cell r="AV50">
            <v>0</v>
          </cell>
          <cell r="AW50">
            <v>2.8400180365900254</v>
          </cell>
          <cell r="AX50">
            <v>4.9351121008760337E-2</v>
          </cell>
          <cell r="AY50">
            <v>7.3427256165472896E-2</v>
          </cell>
          <cell r="AZ50">
            <v>0</v>
          </cell>
          <cell r="BA50">
            <v>0</v>
          </cell>
          <cell r="BB50">
            <v>0.41522112856488069</v>
          </cell>
          <cell r="BC50">
            <v>72.220615658180293</v>
          </cell>
        </row>
        <row r="51">
          <cell r="B51" t="str">
            <v>BRT065P53</v>
          </cell>
          <cell r="C51" t="str">
            <v>MSCI USA Industrials Index</v>
          </cell>
          <cell r="D51" t="str">
            <v>MSCIUSAIND</v>
          </cell>
          <cell r="E51">
            <v>1</v>
          </cell>
          <cell r="L51">
            <v>0</v>
          </cell>
          <cell r="M51">
            <v>0</v>
          </cell>
          <cell r="N51">
            <v>0</v>
          </cell>
          <cell r="O51">
            <v>1.1115784178547257</v>
          </cell>
          <cell r="P51">
            <v>0</v>
          </cell>
          <cell r="Q51">
            <v>0</v>
          </cell>
          <cell r="R51">
            <v>0</v>
          </cell>
          <cell r="S51">
            <v>0</v>
          </cell>
          <cell r="T51">
            <v>0</v>
          </cell>
          <cell r="U51">
            <v>0</v>
          </cell>
          <cell r="V51">
            <v>0</v>
          </cell>
          <cell r="W51">
            <v>0</v>
          </cell>
          <cell r="X51">
            <v>0</v>
          </cell>
          <cell r="Y51">
            <v>0.21024524679143092</v>
          </cell>
          <cell r="Z51">
            <v>0.95958672192052419</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-100.00000000000003</v>
          </cell>
          <cell r="AQ51">
            <v>0</v>
          </cell>
          <cell r="AR51">
            <v>0</v>
          </cell>
          <cell r="AS51">
            <v>0</v>
          </cell>
          <cell r="AT51">
            <v>0</v>
          </cell>
          <cell r="AU51">
            <v>0</v>
          </cell>
          <cell r="AV51">
            <v>0</v>
          </cell>
          <cell r="AW51">
            <v>0</v>
          </cell>
          <cell r="AX51">
            <v>0</v>
          </cell>
          <cell r="AY51">
            <v>0</v>
          </cell>
          <cell r="AZ51">
            <v>0</v>
          </cell>
          <cell r="BA51">
            <v>0</v>
          </cell>
          <cell r="BB51">
            <v>0</v>
          </cell>
          <cell r="BC51">
            <v>97.718589613433338</v>
          </cell>
        </row>
        <row r="52">
          <cell r="B52" t="str">
            <v>BRS2NHUY6</v>
          </cell>
          <cell r="C52" t="str">
            <v>MSCI World Small Cap</v>
          </cell>
          <cell r="D52" t="str">
            <v>MSW_SMALL</v>
          </cell>
          <cell r="E52">
            <v>1.0000000000000002</v>
          </cell>
          <cell r="L52">
            <v>0</v>
          </cell>
          <cell r="M52">
            <v>3.2080825798300823</v>
          </cell>
          <cell r="N52">
            <v>0</v>
          </cell>
          <cell r="O52">
            <v>3.712418538626324</v>
          </cell>
          <cell r="P52">
            <v>1.5102122160609861</v>
          </cell>
          <cell r="Q52">
            <v>0</v>
          </cell>
          <cell r="R52">
            <v>0</v>
          </cell>
          <cell r="S52">
            <v>3.2838974688585557E-2</v>
          </cell>
          <cell r="T52">
            <v>0</v>
          </cell>
          <cell r="U52">
            <v>0</v>
          </cell>
          <cell r="V52">
            <v>0.74928074687547241</v>
          </cell>
          <cell r="W52">
            <v>0</v>
          </cell>
          <cell r="X52">
            <v>2.3526281963582578E-2</v>
          </cell>
          <cell r="Y52">
            <v>6.5356056436226408</v>
          </cell>
          <cell r="Z52">
            <v>5.6778506524732233</v>
          </cell>
          <cell r="AA52">
            <v>0.58967708040054423</v>
          </cell>
          <cell r="AB52">
            <v>0</v>
          </cell>
          <cell r="AC52">
            <v>7.795668710676427E-3</v>
          </cell>
          <cell r="AD52">
            <v>0.90879989072896894</v>
          </cell>
          <cell r="AE52">
            <v>2.5417522978863152E-2</v>
          </cell>
          <cell r="AF52">
            <v>0</v>
          </cell>
          <cell r="AG52">
            <v>12.512374009821984</v>
          </cell>
          <cell r="AH52">
            <v>0</v>
          </cell>
          <cell r="AI52">
            <v>0</v>
          </cell>
          <cell r="AJ52">
            <v>6.0862335764157061E-2</v>
          </cell>
          <cell r="AK52">
            <v>0</v>
          </cell>
          <cell r="AL52">
            <v>0.75786931564686288</v>
          </cell>
          <cell r="AM52">
            <v>0.28295548778157625</v>
          </cell>
          <cell r="AN52">
            <v>3.9763570920813007E-2</v>
          </cell>
          <cell r="AO52">
            <v>0</v>
          </cell>
          <cell r="AP52">
            <v>-100.00000000000003</v>
          </cell>
          <cell r="AQ52">
            <v>0</v>
          </cell>
          <cell r="AR52">
            <v>0</v>
          </cell>
          <cell r="AS52">
            <v>0</v>
          </cell>
          <cell r="AT52">
            <v>0</v>
          </cell>
          <cell r="AU52">
            <v>0</v>
          </cell>
          <cell r="AV52">
            <v>1.9630865423626467</v>
          </cell>
          <cell r="AW52">
            <v>0.8794518753387971</v>
          </cell>
          <cell r="AX52">
            <v>0</v>
          </cell>
          <cell r="AY52">
            <v>1.5925492828529415E-2</v>
          </cell>
          <cell r="AZ52">
            <v>0</v>
          </cell>
          <cell r="BA52">
            <v>0</v>
          </cell>
          <cell r="BB52">
            <v>1.77312310166803E-2</v>
          </cell>
          <cell r="BC52">
            <v>60.488474341558025</v>
          </cell>
        </row>
        <row r="53">
          <cell r="B53" t="str">
            <v>BRSJNB2T4</v>
          </cell>
          <cell r="C53" t="str">
            <v>MSCI USA Health Care Index</v>
          </cell>
          <cell r="D53" t="str">
            <v>MSUSAHLT</v>
          </cell>
          <cell r="E53">
            <v>1</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-100</v>
          </cell>
          <cell r="AQ53">
            <v>0</v>
          </cell>
          <cell r="AR53">
            <v>0</v>
          </cell>
          <cell r="AS53">
            <v>0</v>
          </cell>
          <cell r="AT53">
            <v>0</v>
          </cell>
          <cell r="AU53">
            <v>0</v>
          </cell>
          <cell r="AV53">
            <v>0</v>
          </cell>
          <cell r="AW53">
            <v>0</v>
          </cell>
          <cell r="AX53">
            <v>0</v>
          </cell>
          <cell r="AY53">
            <v>0</v>
          </cell>
          <cell r="AZ53">
            <v>0</v>
          </cell>
          <cell r="BA53">
            <v>0</v>
          </cell>
          <cell r="BB53">
            <v>0</v>
          </cell>
          <cell r="BC53">
            <v>100</v>
          </cell>
        </row>
        <row r="54">
          <cell r="B54" t="str">
            <v>B00229474</v>
          </cell>
          <cell r="C54" t="str">
            <v>BBG US Long Treasury Index</v>
          </cell>
          <cell r="D54" t="str">
            <v>LEH_10P</v>
          </cell>
          <cell r="E54">
            <v>1</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-100.00000000000003</v>
          </cell>
          <cell r="AQ54">
            <v>0</v>
          </cell>
          <cell r="AR54">
            <v>0</v>
          </cell>
          <cell r="AS54">
            <v>0</v>
          </cell>
          <cell r="AT54">
            <v>0</v>
          </cell>
          <cell r="AU54">
            <v>0</v>
          </cell>
          <cell r="AV54">
            <v>0</v>
          </cell>
          <cell r="AW54">
            <v>0</v>
          </cell>
          <cell r="AX54">
            <v>0</v>
          </cell>
          <cell r="AY54">
            <v>0</v>
          </cell>
          <cell r="AZ54">
            <v>0</v>
          </cell>
          <cell r="BA54">
            <v>0</v>
          </cell>
          <cell r="BB54">
            <v>0</v>
          </cell>
          <cell r="BC54">
            <v>100.00000000000003</v>
          </cell>
        </row>
        <row r="55">
          <cell r="B55" t="str">
            <v>BRTD2AEC5</v>
          </cell>
          <cell r="C55" t="str">
            <v>MSCI Emerging - China  in CNY</v>
          </cell>
          <cell r="D55" t="str">
            <v>MS_CN_CNY</v>
          </cell>
          <cell r="E55">
            <v>0.99999999999999989</v>
          </cell>
          <cell r="L55">
            <v>0</v>
          </cell>
          <cell r="M55">
            <v>0</v>
          </cell>
          <cell r="N55">
            <v>0</v>
          </cell>
          <cell r="O55">
            <v>0</v>
          </cell>
          <cell r="P55">
            <v>0</v>
          </cell>
          <cell r="Q55">
            <v>0</v>
          </cell>
          <cell r="R55">
            <v>15.239149864171512</v>
          </cell>
          <cell r="S55">
            <v>0</v>
          </cell>
          <cell r="T55">
            <v>0</v>
          </cell>
          <cell r="U55">
            <v>0</v>
          </cell>
          <cell r="V55">
            <v>0</v>
          </cell>
          <cell r="W55">
            <v>0</v>
          </cell>
          <cell r="X55">
            <v>0</v>
          </cell>
          <cell r="Y55">
            <v>0</v>
          </cell>
          <cell r="Z55">
            <v>0</v>
          </cell>
          <cell r="AA55">
            <v>84.760850135828576</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-100.0000000000001</v>
          </cell>
          <cell r="AQ55">
            <v>0</v>
          </cell>
          <cell r="AR55">
            <v>0</v>
          </cell>
          <cell r="AS55">
            <v>0</v>
          </cell>
          <cell r="AT55">
            <v>0</v>
          </cell>
          <cell r="AU55">
            <v>0</v>
          </cell>
          <cell r="AV55">
            <v>0</v>
          </cell>
          <cell r="AW55">
            <v>0</v>
          </cell>
          <cell r="AX55">
            <v>0</v>
          </cell>
          <cell r="AY55">
            <v>0</v>
          </cell>
          <cell r="AZ55">
            <v>0</v>
          </cell>
          <cell r="BA55">
            <v>0</v>
          </cell>
          <cell r="BB55">
            <v>0</v>
          </cell>
          <cell r="BC55">
            <v>0</v>
          </cell>
        </row>
        <row r="56">
          <cell r="B56" t="str">
            <v>BRTN07HB1</v>
          </cell>
          <cell r="C56" t="str">
            <v>CMA - Direct lending proxy</v>
          </cell>
          <cell r="D56" t="str">
            <v>CMA_DIRLEN</v>
          </cell>
          <cell r="E56">
            <v>1</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-99.999899999999997</v>
          </cell>
          <cell r="AQ56">
            <v>0</v>
          </cell>
          <cell r="AR56">
            <v>0</v>
          </cell>
          <cell r="AS56">
            <v>0</v>
          </cell>
          <cell r="AT56">
            <v>0</v>
          </cell>
          <cell r="AU56">
            <v>0</v>
          </cell>
          <cell r="AV56">
            <v>0</v>
          </cell>
          <cell r="AW56">
            <v>0</v>
          </cell>
          <cell r="AX56">
            <v>0</v>
          </cell>
          <cell r="AY56">
            <v>0</v>
          </cell>
          <cell r="AZ56">
            <v>0</v>
          </cell>
          <cell r="BA56">
            <v>0</v>
          </cell>
          <cell r="BB56">
            <v>0</v>
          </cell>
          <cell r="BC56">
            <v>99.999899999999997</v>
          </cell>
        </row>
        <row r="57">
          <cell r="B57" t="str">
            <v>BRSJNAKR0</v>
          </cell>
          <cell r="C57" t="str">
            <v>MSCI USA Energy Index</v>
          </cell>
          <cell r="D57" t="str">
            <v>MSUSAENG</v>
          </cell>
          <cell r="E57">
            <v>1</v>
          </cell>
          <cell r="L57">
            <v>0</v>
          </cell>
          <cell r="M57">
            <v>0</v>
          </cell>
          <cell r="N57">
            <v>0</v>
          </cell>
          <cell r="O57">
            <v>0.64497078299259558</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-100</v>
          </cell>
          <cell r="AQ57">
            <v>0</v>
          </cell>
          <cell r="AR57">
            <v>0</v>
          </cell>
          <cell r="AS57">
            <v>0</v>
          </cell>
          <cell r="AT57">
            <v>0</v>
          </cell>
          <cell r="AU57">
            <v>0</v>
          </cell>
          <cell r="AV57">
            <v>0</v>
          </cell>
          <cell r="AW57">
            <v>0</v>
          </cell>
          <cell r="AX57">
            <v>0</v>
          </cell>
          <cell r="AY57">
            <v>0</v>
          </cell>
          <cell r="AZ57">
            <v>0</v>
          </cell>
          <cell r="BA57">
            <v>0</v>
          </cell>
          <cell r="BB57">
            <v>0</v>
          </cell>
          <cell r="BC57">
            <v>99.355029217007413</v>
          </cell>
        </row>
        <row r="58">
          <cell r="B58" t="str">
            <v>BRSJNB3M8</v>
          </cell>
          <cell r="C58" t="str">
            <v>MSCI USA Materials Index -USD TR</v>
          </cell>
          <cell r="D58" t="str">
            <v>MSUSAMAT</v>
          </cell>
          <cell r="E58">
            <v>1</v>
          </cell>
          <cell r="L58">
            <v>0</v>
          </cell>
          <cell r="M58">
            <v>1.4114313484507652</v>
          </cell>
          <cell r="N58">
            <v>0</v>
          </cell>
          <cell r="O58">
            <v>0</v>
          </cell>
          <cell r="P58">
            <v>0</v>
          </cell>
          <cell r="Q58">
            <v>0</v>
          </cell>
          <cell r="R58">
            <v>0</v>
          </cell>
          <cell r="S58">
            <v>0</v>
          </cell>
          <cell r="T58">
            <v>0</v>
          </cell>
          <cell r="U58">
            <v>0</v>
          </cell>
          <cell r="V58">
            <v>0</v>
          </cell>
          <cell r="W58">
            <v>0</v>
          </cell>
          <cell r="X58">
            <v>0</v>
          </cell>
          <cell r="Y58">
            <v>5.3237761755947632</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-100</v>
          </cell>
          <cell r="AQ58">
            <v>0</v>
          </cell>
          <cell r="AR58">
            <v>0</v>
          </cell>
          <cell r="AS58">
            <v>0</v>
          </cell>
          <cell r="AT58">
            <v>0</v>
          </cell>
          <cell r="AU58">
            <v>0</v>
          </cell>
          <cell r="AV58">
            <v>0</v>
          </cell>
          <cell r="AW58">
            <v>0</v>
          </cell>
          <cell r="AX58">
            <v>0</v>
          </cell>
          <cell r="AY58">
            <v>0</v>
          </cell>
          <cell r="AZ58">
            <v>0</v>
          </cell>
          <cell r="BA58">
            <v>0</v>
          </cell>
          <cell r="BB58">
            <v>0</v>
          </cell>
          <cell r="BC58">
            <v>93.264792475954479</v>
          </cell>
        </row>
        <row r="59">
          <cell r="B59" t="str">
            <v>BRSJNB2E7</v>
          </cell>
          <cell r="C59" t="str">
            <v>MSCI USA Financials Index</v>
          </cell>
          <cell r="D59" t="str">
            <v>MSUSAFIS</v>
          </cell>
          <cell r="E59">
            <v>1.0000000000000002</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-99.999999999999957</v>
          </cell>
          <cell r="AQ59">
            <v>0</v>
          </cell>
          <cell r="AR59">
            <v>0</v>
          </cell>
          <cell r="AS59">
            <v>0</v>
          </cell>
          <cell r="AT59">
            <v>0</v>
          </cell>
          <cell r="AU59">
            <v>0</v>
          </cell>
          <cell r="AV59">
            <v>0</v>
          </cell>
          <cell r="AW59">
            <v>0</v>
          </cell>
          <cell r="AX59">
            <v>0</v>
          </cell>
          <cell r="AY59">
            <v>0</v>
          </cell>
          <cell r="AZ59">
            <v>0</v>
          </cell>
          <cell r="BA59">
            <v>0</v>
          </cell>
          <cell r="BB59">
            <v>0</v>
          </cell>
          <cell r="BC59">
            <v>99.999999999999957</v>
          </cell>
        </row>
        <row r="60">
          <cell r="B60" t="str">
            <v>BRSJNB462</v>
          </cell>
          <cell r="C60" t="str">
            <v>MSCI USA Utilities Index</v>
          </cell>
          <cell r="D60" t="str">
            <v>MSUSAUTI</v>
          </cell>
          <cell r="E60">
            <v>1</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-100</v>
          </cell>
          <cell r="AQ60">
            <v>0</v>
          </cell>
          <cell r="AR60">
            <v>0</v>
          </cell>
          <cell r="AS60">
            <v>0</v>
          </cell>
          <cell r="AT60">
            <v>0</v>
          </cell>
          <cell r="AU60">
            <v>0</v>
          </cell>
          <cell r="AV60">
            <v>0</v>
          </cell>
          <cell r="AW60">
            <v>0</v>
          </cell>
          <cell r="AX60">
            <v>0</v>
          </cell>
          <cell r="AY60">
            <v>0</v>
          </cell>
          <cell r="AZ60">
            <v>0</v>
          </cell>
          <cell r="BA60">
            <v>0</v>
          </cell>
          <cell r="BB60">
            <v>0</v>
          </cell>
          <cell r="BC60">
            <v>100</v>
          </cell>
        </row>
        <row r="61">
          <cell r="B61" t="str">
            <v>BRSJNB280</v>
          </cell>
          <cell r="C61" t="str">
            <v>MSCI USA Consumer Staples Index</v>
          </cell>
          <cell r="D61" t="str">
            <v>MSUSACST</v>
          </cell>
          <cell r="E61">
            <v>1</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-100.00000000000003</v>
          </cell>
          <cell r="AQ61">
            <v>0</v>
          </cell>
          <cell r="AR61">
            <v>0</v>
          </cell>
          <cell r="AS61">
            <v>0</v>
          </cell>
          <cell r="AT61">
            <v>0</v>
          </cell>
          <cell r="AU61">
            <v>0</v>
          </cell>
          <cell r="AV61">
            <v>0</v>
          </cell>
          <cell r="AW61">
            <v>0</v>
          </cell>
          <cell r="AX61">
            <v>0</v>
          </cell>
          <cell r="AY61">
            <v>0</v>
          </cell>
          <cell r="AZ61">
            <v>0</v>
          </cell>
          <cell r="BA61">
            <v>0</v>
          </cell>
          <cell r="BB61">
            <v>0</v>
          </cell>
          <cell r="BC61">
            <v>100.00000000000003</v>
          </cell>
        </row>
        <row r="62">
          <cell r="B62" t="str">
            <v>BRSKXU3M2</v>
          </cell>
          <cell r="C62" t="str">
            <v>FTSE Developed Core Infrastructure Net I</v>
          </cell>
          <cell r="D62" t="str">
            <v>FTDEVCRINF</v>
          </cell>
          <cell r="E62">
            <v>1</v>
          </cell>
          <cell r="L62">
            <v>0</v>
          </cell>
          <cell r="M62">
            <v>1.7141957906748544</v>
          </cell>
          <cell r="N62">
            <v>0</v>
          </cell>
          <cell r="O62">
            <v>13.601259478306988</v>
          </cell>
          <cell r="P62">
            <v>0.17456679126346872</v>
          </cell>
          <cell r="Q62">
            <v>0</v>
          </cell>
          <cell r="R62">
            <v>0</v>
          </cell>
          <cell r="S62">
            <v>0</v>
          </cell>
          <cell r="T62">
            <v>0</v>
          </cell>
          <cell r="U62">
            <v>0</v>
          </cell>
          <cell r="V62">
            <v>0</v>
          </cell>
          <cell r="W62">
            <v>0</v>
          </cell>
          <cell r="X62">
            <v>0</v>
          </cell>
          <cell r="Y62">
            <v>4.3380140032177996</v>
          </cell>
          <cell r="Z62">
            <v>3.7485104562072222</v>
          </cell>
          <cell r="AA62">
            <v>1.6781940591633424</v>
          </cell>
          <cell r="AB62">
            <v>0</v>
          </cell>
          <cell r="AC62">
            <v>0</v>
          </cell>
          <cell r="AD62">
            <v>0</v>
          </cell>
          <cell r="AE62">
            <v>0</v>
          </cell>
          <cell r="AF62">
            <v>0</v>
          </cell>
          <cell r="AG62">
            <v>4.2133122065497597</v>
          </cell>
          <cell r="AH62">
            <v>0.2071852504397734</v>
          </cell>
          <cell r="AI62">
            <v>0</v>
          </cell>
          <cell r="AJ62">
            <v>0</v>
          </cell>
          <cell r="AK62">
            <v>0</v>
          </cell>
          <cell r="AL62">
            <v>0</v>
          </cell>
          <cell r="AM62">
            <v>0.27013872252915538</v>
          </cell>
          <cell r="AN62">
            <v>0</v>
          </cell>
          <cell r="AO62">
            <v>0</v>
          </cell>
          <cell r="AP62">
            <v>-100.00000000000003</v>
          </cell>
          <cell r="AQ62">
            <v>0</v>
          </cell>
          <cell r="AR62">
            <v>0</v>
          </cell>
          <cell r="AS62">
            <v>0</v>
          </cell>
          <cell r="AT62">
            <v>0</v>
          </cell>
          <cell r="AU62">
            <v>0</v>
          </cell>
          <cell r="AV62">
            <v>0</v>
          </cell>
          <cell r="AW62">
            <v>0.10307687821889483</v>
          </cell>
          <cell r="AX62">
            <v>0</v>
          </cell>
          <cell r="AY62">
            <v>0</v>
          </cell>
          <cell r="AZ62">
            <v>0</v>
          </cell>
          <cell r="BA62">
            <v>0</v>
          </cell>
          <cell r="BB62">
            <v>0</v>
          </cell>
          <cell r="BC62">
            <v>69.951546363428776</v>
          </cell>
        </row>
        <row r="63">
          <cell r="B63" t="str">
            <v>B00211043</v>
          </cell>
          <cell r="C63" t="str">
            <v>Bloomberg U.S. Credit Index</v>
          </cell>
          <cell r="D63" t="str">
            <v>LEH_CREDIT</v>
          </cell>
          <cell r="E63">
            <v>1.0000000000000002</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-100</v>
          </cell>
          <cell r="AQ63">
            <v>0</v>
          </cell>
          <cell r="AR63">
            <v>0</v>
          </cell>
          <cell r="AS63">
            <v>0</v>
          </cell>
          <cell r="AT63">
            <v>0</v>
          </cell>
          <cell r="AU63">
            <v>0</v>
          </cell>
          <cell r="AV63">
            <v>0</v>
          </cell>
          <cell r="AW63">
            <v>0</v>
          </cell>
          <cell r="AX63">
            <v>0</v>
          </cell>
          <cell r="AY63">
            <v>0</v>
          </cell>
          <cell r="AZ63">
            <v>0</v>
          </cell>
          <cell r="BA63">
            <v>0</v>
          </cell>
          <cell r="BB63">
            <v>0</v>
          </cell>
          <cell r="BC63">
            <v>100</v>
          </cell>
        </row>
        <row r="64">
          <cell r="B64" t="str">
            <v>BRS2NHV82</v>
          </cell>
          <cell r="C64" t="str">
            <v xml:space="preserve">MSCI Developed - Japan Gross TR Index - </v>
          </cell>
          <cell r="D64" t="str">
            <v>MS_JP</v>
          </cell>
          <cell r="E64">
            <v>1.0000000000000002</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99.999999999999957</v>
          </cell>
          <cell r="AH64">
            <v>0</v>
          </cell>
          <cell r="AI64">
            <v>0</v>
          </cell>
          <cell r="AJ64">
            <v>0</v>
          </cell>
          <cell r="AK64">
            <v>0</v>
          </cell>
          <cell r="AL64">
            <v>0</v>
          </cell>
          <cell r="AM64">
            <v>0</v>
          </cell>
          <cell r="AN64">
            <v>0</v>
          </cell>
          <cell r="AO64">
            <v>0</v>
          </cell>
          <cell r="AP64">
            <v>-99.999999999999957</v>
          </cell>
          <cell r="AQ64">
            <v>0</v>
          </cell>
          <cell r="AR64">
            <v>0</v>
          </cell>
          <cell r="AS64">
            <v>0</v>
          </cell>
          <cell r="AT64">
            <v>0</v>
          </cell>
          <cell r="AU64">
            <v>0</v>
          </cell>
          <cell r="AV64">
            <v>0</v>
          </cell>
          <cell r="AW64">
            <v>0</v>
          </cell>
          <cell r="AX64">
            <v>0</v>
          </cell>
          <cell r="AY64">
            <v>0</v>
          </cell>
          <cell r="AZ64">
            <v>0</v>
          </cell>
          <cell r="BA64">
            <v>0</v>
          </cell>
          <cell r="BB64">
            <v>0</v>
          </cell>
          <cell r="BC64">
            <v>0</v>
          </cell>
        </row>
        <row r="65">
          <cell r="B65" t="str">
            <v>BRS8R3LP9</v>
          </cell>
          <cell r="C65" t="str">
            <v>S&amp;P India LargeCap Index</v>
          </cell>
          <cell r="D65" t="str">
            <v>SPBMIINL</v>
          </cell>
          <cell r="E65">
            <v>0.99999999999999989</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100</v>
          </cell>
          <cell r="AF65">
            <v>0</v>
          </cell>
          <cell r="AG65">
            <v>0</v>
          </cell>
          <cell r="AH65">
            <v>0</v>
          </cell>
          <cell r="AI65">
            <v>0</v>
          </cell>
          <cell r="AJ65">
            <v>0</v>
          </cell>
          <cell r="AK65">
            <v>0</v>
          </cell>
          <cell r="AL65">
            <v>0</v>
          </cell>
          <cell r="AM65">
            <v>0</v>
          </cell>
          <cell r="AN65">
            <v>0</v>
          </cell>
          <cell r="AO65">
            <v>0</v>
          </cell>
          <cell r="AP65">
            <v>-100</v>
          </cell>
          <cell r="AQ65">
            <v>0</v>
          </cell>
          <cell r="AR65">
            <v>0</v>
          </cell>
          <cell r="AS65">
            <v>0</v>
          </cell>
          <cell r="AT65">
            <v>0</v>
          </cell>
          <cell r="AU65">
            <v>0</v>
          </cell>
          <cell r="AV65">
            <v>0</v>
          </cell>
          <cell r="AW65">
            <v>0</v>
          </cell>
          <cell r="AX65">
            <v>0</v>
          </cell>
          <cell r="AY65">
            <v>0</v>
          </cell>
          <cell r="AZ65">
            <v>0</v>
          </cell>
          <cell r="BA65">
            <v>0</v>
          </cell>
          <cell r="BB65">
            <v>0</v>
          </cell>
          <cell r="BC65">
            <v>0</v>
          </cell>
        </row>
        <row r="66">
          <cell r="B66" t="str">
            <v>BRS029DE4</v>
          </cell>
          <cell r="C66" t="str">
            <v>BBG TIPS 5-10 Year Index</v>
          </cell>
          <cell r="D66" t="str">
            <v>LTIPS5-10</v>
          </cell>
          <cell r="E66">
            <v>1</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-100</v>
          </cell>
          <cell r="AQ66">
            <v>0</v>
          </cell>
          <cell r="AR66">
            <v>0</v>
          </cell>
          <cell r="AS66">
            <v>0</v>
          </cell>
          <cell r="AT66">
            <v>0</v>
          </cell>
          <cell r="AU66">
            <v>0</v>
          </cell>
          <cell r="AV66">
            <v>0</v>
          </cell>
          <cell r="AW66">
            <v>0</v>
          </cell>
          <cell r="AX66">
            <v>0</v>
          </cell>
          <cell r="AY66">
            <v>0</v>
          </cell>
          <cell r="AZ66">
            <v>0</v>
          </cell>
          <cell r="BA66">
            <v>0</v>
          </cell>
          <cell r="BB66">
            <v>0</v>
          </cell>
          <cell r="BC66">
            <v>100</v>
          </cell>
        </row>
        <row r="67">
          <cell r="B67" t="str">
            <v>BRS18RDA4</v>
          </cell>
          <cell r="C67" t="str">
            <v>Bloomberg U.S. Corporate High Yield 2% I</v>
          </cell>
          <cell r="D67" t="str">
            <v>LHY2ICAP</v>
          </cell>
          <cell r="E67">
            <v>1.0000000000000002</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-100.0000000000003</v>
          </cell>
          <cell r="AQ67">
            <v>0</v>
          </cell>
          <cell r="AR67">
            <v>0</v>
          </cell>
          <cell r="AS67">
            <v>0</v>
          </cell>
          <cell r="AT67">
            <v>0</v>
          </cell>
          <cell r="AU67">
            <v>0</v>
          </cell>
          <cell r="AV67">
            <v>0</v>
          </cell>
          <cell r="AW67">
            <v>0</v>
          </cell>
          <cell r="AX67">
            <v>0</v>
          </cell>
          <cell r="AY67">
            <v>0</v>
          </cell>
          <cell r="AZ67">
            <v>0</v>
          </cell>
          <cell r="BA67">
            <v>0</v>
          </cell>
          <cell r="BB67">
            <v>0</v>
          </cell>
          <cell r="BC67">
            <v>100.0000000000003</v>
          </cell>
        </row>
        <row r="68">
          <cell r="B68" t="str">
            <v>BRS1RYD42</v>
          </cell>
          <cell r="C68" t="str">
            <v xml:space="preserve">BBG US Government Inflation-Linked Bond </v>
          </cell>
          <cell r="D68" t="str">
            <v>BCLYUSDIL</v>
          </cell>
          <cell r="E68">
            <v>1</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-100</v>
          </cell>
          <cell r="AQ68">
            <v>0</v>
          </cell>
          <cell r="AR68">
            <v>0</v>
          </cell>
          <cell r="AS68">
            <v>0</v>
          </cell>
          <cell r="AT68">
            <v>0</v>
          </cell>
          <cell r="AU68">
            <v>0</v>
          </cell>
          <cell r="AV68">
            <v>0</v>
          </cell>
          <cell r="AW68">
            <v>0</v>
          </cell>
          <cell r="AX68">
            <v>0</v>
          </cell>
          <cell r="AY68">
            <v>0</v>
          </cell>
          <cell r="AZ68">
            <v>0</v>
          </cell>
          <cell r="BA68">
            <v>0</v>
          </cell>
          <cell r="BB68">
            <v>0</v>
          </cell>
          <cell r="BC68">
            <v>100</v>
          </cell>
        </row>
        <row r="69">
          <cell r="B69" t="str">
            <v>B06040008</v>
          </cell>
          <cell r="C69" t="str">
            <v>JP Morgan EMBI Global Diversified Index</v>
          </cell>
          <cell r="D69" t="str">
            <v>EMBIGLDIV</v>
          </cell>
          <cell r="E69">
            <v>1</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-99.999999999999844</v>
          </cell>
          <cell r="AQ69">
            <v>0</v>
          </cell>
          <cell r="AR69">
            <v>0</v>
          </cell>
          <cell r="AS69">
            <v>0</v>
          </cell>
          <cell r="AT69">
            <v>0</v>
          </cell>
          <cell r="AU69">
            <v>0</v>
          </cell>
          <cell r="AV69">
            <v>0</v>
          </cell>
          <cell r="AW69">
            <v>0</v>
          </cell>
          <cell r="AX69">
            <v>0</v>
          </cell>
          <cell r="AY69">
            <v>0</v>
          </cell>
          <cell r="AZ69">
            <v>0</v>
          </cell>
          <cell r="BA69">
            <v>0</v>
          </cell>
          <cell r="BB69">
            <v>0</v>
          </cell>
          <cell r="BC69">
            <v>99.999999999999844</v>
          </cell>
        </row>
        <row r="70">
          <cell r="B70" t="str">
            <v>BRS2NHTA0</v>
          </cell>
          <cell r="C70" t="str">
            <v>MSCI Emerging Markets Index</v>
          </cell>
          <cell r="D70" t="str">
            <v>MS_EM</v>
          </cell>
          <cell r="E70">
            <v>1.0000000000000002</v>
          </cell>
          <cell r="L70">
            <v>1.1852283026919415</v>
          </cell>
          <cell r="M70">
            <v>0</v>
          </cell>
          <cell r="N70">
            <v>5.1338091174771874</v>
          </cell>
          <cell r="O70">
            <v>0</v>
          </cell>
          <cell r="P70">
            <v>0</v>
          </cell>
          <cell r="Q70">
            <v>0.4271993581303456</v>
          </cell>
          <cell r="R70">
            <v>3.6511569566592623</v>
          </cell>
          <cell r="S70">
            <v>0.10335209322553947</v>
          </cell>
          <cell r="T70">
            <v>0.128425805920973</v>
          </cell>
          <cell r="U70">
            <v>0</v>
          </cell>
          <cell r="V70">
            <v>0</v>
          </cell>
          <cell r="W70">
            <v>0</v>
          </cell>
          <cell r="X70">
            <v>7.4567339934192581E-2</v>
          </cell>
          <cell r="Y70">
            <v>0.52424804978237627</v>
          </cell>
          <cell r="Z70">
            <v>4.4781615276786813E-2</v>
          </cell>
          <cell r="AA70">
            <v>20.307902368844481</v>
          </cell>
          <cell r="AB70">
            <v>0.24327689046022336</v>
          </cell>
          <cell r="AC70">
            <v>1.7353494674780157</v>
          </cell>
          <cell r="AD70">
            <v>0</v>
          </cell>
          <cell r="AE70">
            <v>20.342320168482861</v>
          </cell>
          <cell r="AF70">
            <v>0</v>
          </cell>
          <cell r="AG70">
            <v>0</v>
          </cell>
          <cell r="AH70">
            <v>11.403819378406402</v>
          </cell>
          <cell r="AI70">
            <v>0.73091292033482014</v>
          </cell>
          <cell r="AJ70">
            <v>1.9810431770223988</v>
          </cell>
          <cell r="AK70">
            <v>1.560584301839951</v>
          </cell>
          <cell r="AL70">
            <v>0</v>
          </cell>
          <cell r="AM70">
            <v>0</v>
          </cell>
          <cell r="AN70">
            <v>0.29438575452860238</v>
          </cell>
          <cell r="AO70">
            <v>0.57512546407592036</v>
          </cell>
          <cell r="AP70">
            <v>-99.059918977166504</v>
          </cell>
          <cell r="AQ70">
            <v>0.79249893341438971</v>
          </cell>
          <cell r="AR70">
            <v>5.870215162008019E-2</v>
          </cell>
          <cell r="AS70">
            <v>0</v>
          </cell>
          <cell r="AT70">
            <v>0</v>
          </cell>
          <cell r="AU70">
            <v>4.0393240283164316</v>
          </cell>
          <cell r="AV70">
            <v>0</v>
          </cell>
          <cell r="AW70">
            <v>0</v>
          </cell>
          <cell r="AX70">
            <v>1.4380078168945987</v>
          </cell>
          <cell r="AY70">
            <v>0.69391750216467629</v>
          </cell>
          <cell r="AZ70">
            <v>18.245358145354935</v>
          </cell>
          <cell r="BA70">
            <v>0</v>
          </cell>
          <cell r="BB70">
            <v>2.9781882437634621</v>
          </cell>
          <cell r="BC70">
            <v>0.36643362506565941</v>
          </cell>
        </row>
        <row r="71">
          <cell r="B71" t="str">
            <v>B00101939</v>
          </cell>
          <cell r="C71" t="str">
            <v>BBG MBS Index</v>
          </cell>
          <cell r="D71" t="str">
            <v>LEH_MBS</v>
          </cell>
          <cell r="E71">
            <v>1</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-100.00000000000006</v>
          </cell>
          <cell r="AQ71">
            <v>0</v>
          </cell>
          <cell r="AR71">
            <v>0</v>
          </cell>
          <cell r="AS71">
            <v>0</v>
          </cell>
          <cell r="AT71">
            <v>0</v>
          </cell>
          <cell r="AU71">
            <v>0</v>
          </cell>
          <cell r="AV71">
            <v>0</v>
          </cell>
          <cell r="AW71">
            <v>0</v>
          </cell>
          <cell r="AX71">
            <v>0</v>
          </cell>
          <cell r="AY71">
            <v>0</v>
          </cell>
          <cell r="AZ71">
            <v>0</v>
          </cell>
          <cell r="BA71">
            <v>0</v>
          </cell>
          <cell r="BB71">
            <v>0</v>
          </cell>
          <cell r="BC71">
            <v>100.00000000000006</v>
          </cell>
        </row>
        <row r="72">
          <cell r="B72" t="str">
            <v>BRSBCB0K4</v>
          </cell>
          <cell r="C72" t="str">
            <v xml:space="preserve">BBG US Government Inflation-Linked Bond </v>
          </cell>
          <cell r="D72" t="str">
            <v>BCLYUS10YR</v>
          </cell>
          <cell r="E72">
            <v>1</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-100</v>
          </cell>
          <cell r="AQ72">
            <v>0</v>
          </cell>
          <cell r="AR72">
            <v>0</v>
          </cell>
          <cell r="AS72">
            <v>0</v>
          </cell>
          <cell r="AT72">
            <v>0</v>
          </cell>
          <cell r="AU72">
            <v>0</v>
          </cell>
          <cell r="AV72">
            <v>0</v>
          </cell>
          <cell r="AW72">
            <v>0</v>
          </cell>
          <cell r="AX72">
            <v>0</v>
          </cell>
          <cell r="AY72">
            <v>0</v>
          </cell>
          <cell r="AZ72">
            <v>0</v>
          </cell>
          <cell r="BA72">
            <v>0</v>
          </cell>
          <cell r="BB72">
            <v>0</v>
          </cell>
          <cell r="BC72">
            <v>100</v>
          </cell>
        </row>
        <row r="73">
          <cell r="B73" t="str">
            <v>BRWFAGPW8</v>
          </cell>
          <cell r="C73" t="str">
            <v>MSCI EMU/INFORMATION TECH Index</v>
          </cell>
          <cell r="D73" t="str">
            <v>MS_EMU45</v>
          </cell>
          <cell r="E73">
            <v>1</v>
          </cell>
          <cell r="L73">
            <v>0</v>
          </cell>
          <cell r="M73">
            <v>0</v>
          </cell>
          <cell r="N73">
            <v>0</v>
          </cell>
          <cell r="O73">
            <v>0</v>
          </cell>
          <cell r="P73">
            <v>0</v>
          </cell>
          <cell r="Q73">
            <v>0</v>
          </cell>
          <cell r="R73">
            <v>0</v>
          </cell>
          <cell r="S73">
            <v>0</v>
          </cell>
          <cell r="T73">
            <v>0</v>
          </cell>
          <cell r="U73">
            <v>0</v>
          </cell>
          <cell r="V73">
            <v>0</v>
          </cell>
          <cell r="W73">
            <v>0</v>
          </cell>
          <cell r="X73">
            <v>0</v>
          </cell>
          <cell r="Y73">
            <v>100.00000000000003</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-100.00000000000003</v>
          </cell>
          <cell r="AQ73">
            <v>0</v>
          </cell>
          <cell r="AR73">
            <v>0</v>
          </cell>
          <cell r="AS73">
            <v>0</v>
          </cell>
          <cell r="AT73">
            <v>0</v>
          </cell>
          <cell r="AU73">
            <v>0</v>
          </cell>
          <cell r="AV73">
            <v>0</v>
          </cell>
          <cell r="AW73">
            <v>0</v>
          </cell>
          <cell r="AX73">
            <v>0</v>
          </cell>
          <cell r="AY73">
            <v>0</v>
          </cell>
          <cell r="AZ73">
            <v>0</v>
          </cell>
          <cell r="BA73">
            <v>0</v>
          </cell>
          <cell r="BB73">
            <v>0</v>
          </cell>
          <cell r="BC73">
            <v>0</v>
          </cell>
        </row>
        <row r="74">
          <cell r="B74" t="str">
            <v>B00216299</v>
          </cell>
          <cell r="C74" t="str">
            <v>BBG Intermediate Credit Index</v>
          </cell>
          <cell r="D74" t="str">
            <v>LCREDINT</v>
          </cell>
          <cell r="E74">
            <v>1</v>
          </cell>
          <cell r="L74">
            <v>0</v>
          </cell>
          <cell r="M74">
            <v>0</v>
          </cell>
          <cell r="N74">
            <v>0</v>
          </cell>
          <cell r="O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-99.999999999999844</v>
          </cell>
          <cell r="AQ74">
            <v>0</v>
          </cell>
          <cell r="AR74">
            <v>0</v>
          </cell>
          <cell r="AS74">
            <v>0</v>
          </cell>
          <cell r="AT74">
            <v>0</v>
          </cell>
          <cell r="AU74">
            <v>0</v>
          </cell>
          <cell r="AV74">
            <v>0</v>
          </cell>
          <cell r="AW74">
            <v>0</v>
          </cell>
          <cell r="AX74">
            <v>0</v>
          </cell>
          <cell r="AY74">
            <v>0</v>
          </cell>
          <cell r="AZ74">
            <v>0</v>
          </cell>
          <cell r="BA74">
            <v>0</v>
          </cell>
          <cell r="BB74">
            <v>0</v>
          </cell>
          <cell r="BC74">
            <v>99.999999999999844</v>
          </cell>
        </row>
        <row r="75">
          <cell r="B75" t="str">
            <v>BRSB6JBN6</v>
          </cell>
          <cell r="C75" t="str">
            <v>BBG Sterling Aggregate: Gilts 10+ Year I</v>
          </cell>
          <cell r="D75" t="str">
            <v>LSTRG10PLS</v>
          </cell>
          <cell r="E75">
            <v>1</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100.00000000000003</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-100.00000000000003</v>
          </cell>
          <cell r="AQ75">
            <v>0</v>
          </cell>
          <cell r="AR75">
            <v>0</v>
          </cell>
          <cell r="AS75">
            <v>0</v>
          </cell>
          <cell r="AT75">
            <v>0</v>
          </cell>
          <cell r="AU75">
            <v>0</v>
          </cell>
          <cell r="AV75">
            <v>0</v>
          </cell>
          <cell r="AW75">
            <v>0</v>
          </cell>
          <cell r="AX75">
            <v>0</v>
          </cell>
          <cell r="AY75">
            <v>0</v>
          </cell>
          <cell r="AZ75">
            <v>0</v>
          </cell>
          <cell r="BA75">
            <v>0</v>
          </cell>
          <cell r="BB75">
            <v>0</v>
          </cell>
          <cell r="BC75">
            <v>0</v>
          </cell>
        </row>
        <row r="76">
          <cell r="B76" t="str">
            <v>BRSC6F285</v>
          </cell>
          <cell r="C76" t="str">
            <v>FTSE All Stocks Gilts Over 10 Years Inde</v>
          </cell>
          <cell r="D76" t="str">
            <v>FTSASGO10</v>
          </cell>
          <cell r="E76">
            <v>1</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100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-100</v>
          </cell>
          <cell r="AQ76">
            <v>0</v>
          </cell>
          <cell r="AR76">
            <v>0</v>
          </cell>
          <cell r="AS76">
            <v>0</v>
          </cell>
          <cell r="AT76">
            <v>0</v>
          </cell>
          <cell r="AU76">
            <v>0</v>
          </cell>
          <cell r="AV76">
            <v>0</v>
          </cell>
          <cell r="AW76">
            <v>0</v>
          </cell>
          <cell r="AX76">
            <v>0</v>
          </cell>
          <cell r="AY76">
            <v>0</v>
          </cell>
          <cell r="AZ76">
            <v>0</v>
          </cell>
          <cell r="BA76">
            <v>0</v>
          </cell>
          <cell r="BB76">
            <v>0</v>
          </cell>
          <cell r="BC76">
            <v>0</v>
          </cell>
        </row>
        <row r="77">
          <cell r="B77" t="str">
            <v>B02404059</v>
          </cell>
          <cell r="C77" t="str">
            <v>BBG Treasury 5-10 Yr Index</v>
          </cell>
          <cell r="D77" t="str">
            <v>LTSY5-10</v>
          </cell>
          <cell r="E77">
            <v>1</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-99.999999999999972</v>
          </cell>
          <cell r="AQ77">
            <v>0</v>
          </cell>
          <cell r="AR77">
            <v>0</v>
          </cell>
          <cell r="AS77">
            <v>0</v>
          </cell>
          <cell r="AT77">
            <v>0</v>
          </cell>
          <cell r="AU77">
            <v>0</v>
          </cell>
          <cell r="AV77">
            <v>0</v>
          </cell>
          <cell r="AW77">
            <v>0</v>
          </cell>
          <cell r="AX77">
            <v>0</v>
          </cell>
          <cell r="AY77">
            <v>0</v>
          </cell>
          <cell r="AZ77">
            <v>0</v>
          </cell>
          <cell r="BA77">
            <v>0</v>
          </cell>
          <cell r="BB77">
            <v>0</v>
          </cell>
          <cell r="BC77">
            <v>99.999999999999972</v>
          </cell>
        </row>
        <row r="78">
          <cell r="B78" t="str">
            <v>BRSJ0K9W5</v>
          </cell>
          <cell r="C78" t="str">
            <v>ICE BofA ABS Fixed &amp; Floating Rate / CMB</v>
          </cell>
          <cell r="D78" t="str">
            <v>MLABSCMBS</v>
          </cell>
          <cell r="E78">
            <v>1</v>
          </cell>
          <cell r="L78">
            <v>0</v>
          </cell>
          <cell r="M78">
            <v>0</v>
          </cell>
          <cell r="N78">
            <v>0</v>
          </cell>
          <cell r="O78">
            <v>0.19556185121625677</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-100.00000000000016</v>
          </cell>
          <cell r="AQ78">
            <v>0</v>
          </cell>
          <cell r="AR78">
            <v>0</v>
          </cell>
          <cell r="AS78">
            <v>0</v>
          </cell>
          <cell r="AT78">
            <v>0</v>
          </cell>
          <cell r="AU78">
            <v>0</v>
          </cell>
          <cell r="AV78">
            <v>0</v>
          </cell>
          <cell r="AW78">
            <v>0</v>
          </cell>
          <cell r="AX78">
            <v>0</v>
          </cell>
          <cell r="AY78">
            <v>0</v>
          </cell>
          <cell r="AZ78">
            <v>0</v>
          </cell>
          <cell r="BA78">
            <v>0</v>
          </cell>
          <cell r="BB78">
            <v>0</v>
          </cell>
          <cell r="BC78">
            <v>99.804438148783888</v>
          </cell>
        </row>
        <row r="79">
          <cell r="B79" t="str">
            <v>B01520020</v>
          </cell>
          <cell r="C79" t="str">
            <v>BBG Government Index</v>
          </cell>
          <cell r="D79" t="str">
            <v>GOVERNMENT</v>
          </cell>
          <cell r="E79">
            <v>1</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-100</v>
          </cell>
          <cell r="AQ79">
            <v>0</v>
          </cell>
          <cell r="AR79">
            <v>0</v>
          </cell>
          <cell r="AS79">
            <v>0</v>
          </cell>
          <cell r="AT79">
            <v>0</v>
          </cell>
          <cell r="AU79">
            <v>0</v>
          </cell>
          <cell r="AV79">
            <v>0</v>
          </cell>
          <cell r="AW79">
            <v>0</v>
          </cell>
          <cell r="AX79">
            <v>0</v>
          </cell>
          <cell r="AY79">
            <v>0</v>
          </cell>
          <cell r="AZ79">
            <v>0</v>
          </cell>
          <cell r="BA79">
            <v>0</v>
          </cell>
          <cell r="BB79">
            <v>0</v>
          </cell>
          <cell r="BC79">
            <v>100</v>
          </cell>
        </row>
        <row r="80">
          <cell r="B80" t="str">
            <v>BRT1D5PP9</v>
          </cell>
          <cell r="C80" t="str">
            <v>INF - Diversified Global</v>
          </cell>
          <cell r="E80">
            <v>1</v>
          </cell>
          <cell r="L80">
            <v>0</v>
          </cell>
          <cell r="M80">
            <v>0.45999999999999996</v>
          </cell>
          <cell r="N80">
            <v>0</v>
          </cell>
          <cell r="O80">
            <v>1.89</v>
          </cell>
          <cell r="P80">
            <v>0</v>
          </cell>
          <cell r="Q80">
            <v>0</v>
          </cell>
          <cell r="R80">
            <v>0</v>
          </cell>
          <cell r="S80">
            <v>0</v>
          </cell>
          <cell r="T80">
            <v>0</v>
          </cell>
          <cell r="U80">
            <v>0</v>
          </cell>
          <cell r="V80">
            <v>0</v>
          </cell>
          <cell r="W80">
            <v>0</v>
          </cell>
          <cell r="X80">
            <v>0</v>
          </cell>
          <cell r="Y80">
            <v>35.32</v>
          </cell>
          <cell r="Z80">
            <v>1.48</v>
          </cell>
          <cell r="AA80">
            <v>0</v>
          </cell>
          <cell r="AB80">
            <v>0</v>
          </cell>
          <cell r="AC80">
            <v>0</v>
          </cell>
          <cell r="AD80">
            <v>0.39000000000000007</v>
          </cell>
          <cell r="AE80">
            <v>0.28999999999999998</v>
          </cell>
          <cell r="AF80">
            <v>0</v>
          </cell>
          <cell r="AG80">
            <v>0.13</v>
          </cell>
          <cell r="AH80">
            <v>0</v>
          </cell>
          <cell r="AI80">
            <v>0</v>
          </cell>
          <cell r="AJ80">
            <v>8.0000000000000016E-2</v>
          </cell>
          <cell r="AK80">
            <v>0</v>
          </cell>
          <cell r="AL80">
            <v>0.81000000000000016</v>
          </cell>
          <cell r="AM80">
            <v>0</v>
          </cell>
          <cell r="AN80">
            <v>0</v>
          </cell>
          <cell r="AO80">
            <v>0</v>
          </cell>
          <cell r="AP80">
            <v>-100</v>
          </cell>
          <cell r="AQ80">
            <v>0</v>
          </cell>
          <cell r="AR80">
            <v>0</v>
          </cell>
          <cell r="AS80">
            <v>0</v>
          </cell>
          <cell r="AT80">
            <v>0</v>
          </cell>
          <cell r="AU80">
            <v>0</v>
          </cell>
          <cell r="AV80">
            <v>0</v>
          </cell>
          <cell r="AW80">
            <v>0</v>
          </cell>
          <cell r="AX80">
            <v>0</v>
          </cell>
          <cell r="AY80">
            <v>0</v>
          </cell>
          <cell r="AZ80">
            <v>0</v>
          </cell>
          <cell r="BA80">
            <v>0</v>
          </cell>
          <cell r="BB80">
            <v>0.21</v>
          </cell>
          <cell r="BC80">
            <v>58.940000000000005</v>
          </cell>
        </row>
        <row r="81">
          <cell r="B81" t="str">
            <v>BRTG30Z93</v>
          </cell>
          <cell r="C81" t="str">
            <v>BBG US Govt Inflation-Linked 1-5Yrs</v>
          </cell>
          <cell r="D81" t="str">
            <v>BUKIL1-5</v>
          </cell>
          <cell r="E81">
            <v>1.0000000000000002</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-100</v>
          </cell>
          <cell r="AQ81">
            <v>0</v>
          </cell>
          <cell r="AR81">
            <v>0</v>
          </cell>
          <cell r="AS81">
            <v>0</v>
          </cell>
          <cell r="AT81">
            <v>0</v>
          </cell>
          <cell r="AU81">
            <v>0</v>
          </cell>
          <cell r="AV81">
            <v>0</v>
          </cell>
          <cell r="AW81">
            <v>0</v>
          </cell>
          <cell r="AX81">
            <v>0</v>
          </cell>
          <cell r="AY81">
            <v>0</v>
          </cell>
          <cell r="AZ81">
            <v>0</v>
          </cell>
          <cell r="BA81">
            <v>0</v>
          </cell>
          <cell r="BB81">
            <v>0</v>
          </cell>
          <cell r="BC81">
            <v>100</v>
          </cell>
        </row>
        <row r="82">
          <cell r="B82" t="str">
            <v>BRT9QGML6</v>
          </cell>
          <cell r="C82" t="str">
            <v>MSCI Emerging Markets ex China (Net)</v>
          </cell>
          <cell r="D82" t="str">
            <v>MS_EMXCNN</v>
          </cell>
          <cell r="E82">
            <v>1</v>
          </cell>
          <cell r="L82">
            <v>1.5586712791540487</v>
          </cell>
          <cell r="M82">
            <v>0</v>
          </cell>
          <cell r="N82">
            <v>6.7513750776087429</v>
          </cell>
          <cell r="O82">
            <v>0</v>
          </cell>
          <cell r="P82">
            <v>0</v>
          </cell>
          <cell r="Q82">
            <v>0.56180177985834212</v>
          </cell>
          <cell r="R82">
            <v>0</v>
          </cell>
          <cell r="S82">
            <v>0.13591637913575064</v>
          </cell>
          <cell r="T82">
            <v>0.16889034351996968</v>
          </cell>
          <cell r="U82">
            <v>0</v>
          </cell>
          <cell r="V82">
            <v>0</v>
          </cell>
          <cell r="W82">
            <v>0</v>
          </cell>
          <cell r="X82">
            <v>9.8062095593199505E-2</v>
          </cell>
          <cell r="Y82">
            <v>0.6894286750429639</v>
          </cell>
          <cell r="Z82">
            <v>5.8891453576936592E-2</v>
          </cell>
          <cell r="AA82">
            <v>0</v>
          </cell>
          <cell r="AB82">
            <v>0.3199288282105871</v>
          </cell>
          <cell r="AC82">
            <v>2.2821251974070398</v>
          </cell>
          <cell r="AD82">
            <v>0</v>
          </cell>
          <cell r="AE82">
            <v>26.751799738460605</v>
          </cell>
          <cell r="AF82">
            <v>0</v>
          </cell>
          <cell r="AG82">
            <v>0</v>
          </cell>
          <cell r="AH82">
            <v>14.996946746387625</v>
          </cell>
          <cell r="AI82">
            <v>0.96120972972124885</v>
          </cell>
          <cell r="AJ82">
            <v>2.6052323385931389</v>
          </cell>
          <cell r="AK82">
            <v>2.0522948401180998</v>
          </cell>
          <cell r="AL82">
            <v>0</v>
          </cell>
          <cell r="AM82">
            <v>0</v>
          </cell>
          <cell r="AN82">
            <v>0.38714112676322809</v>
          </cell>
          <cell r="AO82">
            <v>0.75633659838300138</v>
          </cell>
          <cell r="AP82">
            <v>-98.763717262707814</v>
          </cell>
          <cell r="AQ82">
            <v>1.0422003283820378</v>
          </cell>
          <cell r="AR82">
            <v>7.7198087108578645E-2</v>
          </cell>
          <cell r="AS82">
            <v>0</v>
          </cell>
          <cell r="AT82">
            <v>0</v>
          </cell>
          <cell r="AU82">
            <v>5.3120384788601145</v>
          </cell>
          <cell r="AV82">
            <v>0</v>
          </cell>
          <cell r="AW82">
            <v>0</v>
          </cell>
          <cell r="AX82">
            <v>1.8910968277604443</v>
          </cell>
          <cell r="AY82">
            <v>0.91255775640005121</v>
          </cell>
          <cell r="AZ82">
            <v>23.994124722176611</v>
          </cell>
          <cell r="BA82">
            <v>0</v>
          </cell>
          <cell r="BB82">
            <v>3.916558918585729</v>
          </cell>
          <cell r="BC82">
            <v>0.48188991589973029</v>
          </cell>
        </row>
        <row r="83">
          <cell r="B83" t="str">
            <v>BRTAQ5VH6</v>
          </cell>
          <cell r="C83" t="str">
            <v>CMA - Real estate mezzanine debt unhedge</v>
          </cell>
          <cell r="D83" t="str">
            <v>CMA_WMEZUH</v>
          </cell>
          <cell r="E83">
            <v>1</v>
          </cell>
          <cell r="L83">
            <v>0</v>
          </cell>
          <cell r="M83">
            <v>2.2399999999999989</v>
          </cell>
          <cell r="N83">
            <v>0</v>
          </cell>
          <cell r="O83">
            <v>0</v>
          </cell>
          <cell r="P83">
            <v>1.250848854790175</v>
          </cell>
          <cell r="Q83">
            <v>0</v>
          </cell>
          <cell r="R83">
            <v>0</v>
          </cell>
          <cell r="S83">
            <v>0</v>
          </cell>
          <cell r="T83">
            <v>0</v>
          </cell>
          <cell r="U83">
            <v>0</v>
          </cell>
          <cell r="V83">
            <v>8.0999999999999944E-3</v>
          </cell>
          <cell r="W83">
            <v>0</v>
          </cell>
          <cell r="X83">
            <v>0</v>
          </cell>
          <cell r="Y83">
            <v>19.047867981704385</v>
          </cell>
          <cell r="Z83">
            <v>6.2628682130010773</v>
          </cell>
          <cell r="AA83">
            <v>0</v>
          </cell>
          <cell r="AB83">
            <v>0</v>
          </cell>
          <cell r="AC83">
            <v>0</v>
          </cell>
          <cell r="AD83">
            <v>0</v>
          </cell>
          <cell r="AE83">
            <v>0</v>
          </cell>
          <cell r="AF83">
            <v>0</v>
          </cell>
          <cell r="AG83">
            <v>3.1299999999999981</v>
          </cell>
          <cell r="AH83">
            <v>0</v>
          </cell>
          <cell r="AI83">
            <v>0</v>
          </cell>
          <cell r="AJ83">
            <v>0</v>
          </cell>
          <cell r="AK83">
            <v>0</v>
          </cell>
          <cell r="AL83">
            <v>0.25761666794843796</v>
          </cell>
          <cell r="AM83">
            <v>0</v>
          </cell>
          <cell r="AN83">
            <v>0</v>
          </cell>
          <cell r="AO83">
            <v>0</v>
          </cell>
          <cell r="AP83">
            <v>-99.769899999999964</v>
          </cell>
          <cell r="AQ83">
            <v>0</v>
          </cell>
          <cell r="AR83">
            <v>0</v>
          </cell>
          <cell r="AS83">
            <v>0</v>
          </cell>
          <cell r="AT83">
            <v>0.42159999999999986</v>
          </cell>
          <cell r="AU83">
            <v>0</v>
          </cell>
          <cell r="AV83">
            <v>1.5184499999999992</v>
          </cell>
          <cell r="AW83">
            <v>0.9199999999999996</v>
          </cell>
          <cell r="AX83">
            <v>0</v>
          </cell>
          <cell r="AY83">
            <v>0.67829999999999957</v>
          </cell>
          <cell r="AZ83">
            <v>0</v>
          </cell>
          <cell r="BA83">
            <v>0</v>
          </cell>
          <cell r="BB83">
            <v>0</v>
          </cell>
          <cell r="BC83">
            <v>64.034248282555893</v>
          </cell>
        </row>
        <row r="84">
          <cell r="B84" t="str">
            <v>BRSLC50S8</v>
          </cell>
          <cell r="C84" t="str">
            <v>RE - Core Global</v>
          </cell>
          <cell r="E84">
            <v>1</v>
          </cell>
          <cell r="L84">
            <v>0</v>
          </cell>
          <cell r="M84">
            <v>4.4800000000000004</v>
          </cell>
          <cell r="N84">
            <v>0</v>
          </cell>
          <cell r="O84">
            <v>0</v>
          </cell>
          <cell r="P84">
            <v>2.4877499999999997</v>
          </cell>
          <cell r="Q84">
            <v>0</v>
          </cell>
          <cell r="R84">
            <v>0</v>
          </cell>
          <cell r="S84">
            <v>0</v>
          </cell>
          <cell r="T84">
            <v>0</v>
          </cell>
          <cell r="U84">
            <v>0</v>
          </cell>
          <cell r="V84">
            <v>1.6240000000000001E-2</v>
          </cell>
          <cell r="W84">
            <v>0</v>
          </cell>
          <cell r="X84">
            <v>0</v>
          </cell>
          <cell r="Y84">
            <v>21.257569999999994</v>
          </cell>
          <cell r="Z84">
            <v>10.61</v>
          </cell>
          <cell r="AA84">
            <v>0</v>
          </cell>
          <cell r="AB84">
            <v>0</v>
          </cell>
          <cell r="AC84">
            <v>0</v>
          </cell>
          <cell r="AD84">
            <v>0</v>
          </cell>
          <cell r="AE84">
            <v>0</v>
          </cell>
          <cell r="AF84">
            <v>0</v>
          </cell>
          <cell r="AG84">
            <v>6.26</v>
          </cell>
          <cell r="AH84">
            <v>0</v>
          </cell>
          <cell r="AI84">
            <v>0</v>
          </cell>
          <cell r="AJ84">
            <v>0</v>
          </cell>
          <cell r="AK84">
            <v>0</v>
          </cell>
          <cell r="AL84">
            <v>0.5115599999999999</v>
          </cell>
          <cell r="AM84">
            <v>0</v>
          </cell>
          <cell r="AN84">
            <v>0</v>
          </cell>
          <cell r="AO84">
            <v>0</v>
          </cell>
          <cell r="AP84">
            <v>-99.539820000000006</v>
          </cell>
          <cell r="AQ84">
            <v>0</v>
          </cell>
          <cell r="AR84">
            <v>0</v>
          </cell>
          <cell r="AS84">
            <v>0</v>
          </cell>
          <cell r="AT84">
            <v>0.84321999999999997</v>
          </cell>
          <cell r="AU84">
            <v>0</v>
          </cell>
          <cell r="AV84">
            <v>3.03688</v>
          </cell>
          <cell r="AW84">
            <v>1.8399999999999999</v>
          </cell>
          <cell r="AX84">
            <v>0</v>
          </cell>
          <cell r="AY84">
            <v>1.3566000000000003</v>
          </cell>
          <cell r="AZ84">
            <v>0</v>
          </cell>
          <cell r="BA84">
            <v>0</v>
          </cell>
          <cell r="BB84">
            <v>0</v>
          </cell>
          <cell r="BC84">
            <v>46.84</v>
          </cell>
        </row>
        <row r="85">
          <cell r="B85" t="str">
            <v>BRS2NHL83</v>
          </cell>
          <cell r="C85" t="str">
            <v>MSCI Developed - Canada</v>
          </cell>
          <cell r="D85" t="str">
            <v>MS_CA</v>
          </cell>
          <cell r="E85">
            <v>1</v>
          </cell>
          <cell r="L85">
            <v>0</v>
          </cell>
          <cell r="M85">
            <v>0</v>
          </cell>
          <cell r="N85">
            <v>0</v>
          </cell>
          <cell r="O85">
            <v>98.532561333429896</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-100</v>
          </cell>
          <cell r="AQ85">
            <v>0</v>
          </cell>
          <cell r="AR85">
            <v>0</v>
          </cell>
          <cell r="AS85">
            <v>0</v>
          </cell>
          <cell r="AT85">
            <v>0</v>
          </cell>
          <cell r="AU85">
            <v>0</v>
          </cell>
          <cell r="AV85">
            <v>0</v>
          </cell>
          <cell r="AW85">
            <v>0</v>
          </cell>
          <cell r="AX85">
            <v>0</v>
          </cell>
          <cell r="AY85">
            <v>0</v>
          </cell>
          <cell r="AZ85">
            <v>0</v>
          </cell>
          <cell r="BA85">
            <v>0</v>
          </cell>
          <cell r="BB85">
            <v>0</v>
          </cell>
          <cell r="BC85">
            <v>1.4674386665701089</v>
          </cell>
        </row>
        <row r="86">
          <cell r="B86" t="str">
            <v>BRWUM3099</v>
          </cell>
          <cell r="C86" t="str">
            <v>CMA - Infra Debt Unhedged</v>
          </cell>
          <cell r="D86" t="str">
            <v>CMA_GIDUHD</v>
          </cell>
          <cell r="E86">
            <v>1</v>
          </cell>
          <cell r="L86">
            <v>0</v>
          </cell>
          <cell r="M86">
            <v>0</v>
          </cell>
          <cell r="N86">
            <v>0</v>
          </cell>
          <cell r="O86">
            <v>5.4106425921903609</v>
          </cell>
          <cell r="P86">
            <v>0.14435892335046405</v>
          </cell>
          <cell r="Q86">
            <v>0</v>
          </cell>
          <cell r="R86">
            <v>0</v>
          </cell>
          <cell r="S86">
            <v>0</v>
          </cell>
          <cell r="T86">
            <v>0</v>
          </cell>
          <cell r="U86">
            <v>0</v>
          </cell>
          <cell r="V86">
            <v>0</v>
          </cell>
          <cell r="W86">
            <v>0</v>
          </cell>
          <cell r="X86">
            <v>0</v>
          </cell>
          <cell r="Y86">
            <v>23.970798311457639</v>
          </cell>
          <cell r="Z86">
            <v>5.968576705440154</v>
          </cell>
          <cell r="AA86">
            <v>0</v>
          </cell>
          <cell r="AB86">
            <v>0</v>
          </cell>
          <cell r="AC86">
            <v>0</v>
          </cell>
          <cell r="AD86">
            <v>0</v>
          </cell>
          <cell r="AE86">
            <v>0</v>
          </cell>
          <cell r="AF86">
            <v>0</v>
          </cell>
          <cell r="AG86">
            <v>0</v>
          </cell>
          <cell r="AH86">
            <v>0</v>
          </cell>
          <cell r="AI86">
            <v>0</v>
          </cell>
          <cell r="AJ86">
            <v>0</v>
          </cell>
          <cell r="AK86">
            <v>0</v>
          </cell>
          <cell r="AL86">
            <v>8.7464900148482572E-3</v>
          </cell>
          <cell r="AM86">
            <v>0</v>
          </cell>
          <cell r="AN86">
            <v>0</v>
          </cell>
          <cell r="AO86">
            <v>0</v>
          </cell>
          <cell r="AP86">
            <v>-100.00000000000009</v>
          </cell>
          <cell r="AQ86">
            <v>0</v>
          </cell>
          <cell r="AR86">
            <v>0</v>
          </cell>
          <cell r="AS86">
            <v>0</v>
          </cell>
          <cell r="AT86">
            <v>0</v>
          </cell>
          <cell r="AU86">
            <v>0</v>
          </cell>
          <cell r="AV86">
            <v>1.3444371996120115E-2</v>
          </cell>
          <cell r="AW86">
            <v>0</v>
          </cell>
          <cell r="AX86">
            <v>0</v>
          </cell>
          <cell r="AY86">
            <v>0</v>
          </cell>
          <cell r="AZ86">
            <v>0</v>
          </cell>
          <cell r="BA86">
            <v>0</v>
          </cell>
          <cell r="BB86">
            <v>0</v>
          </cell>
          <cell r="BC86">
            <v>64.48343260555049</v>
          </cell>
        </row>
        <row r="87">
          <cell r="B87" t="str">
            <v>BRSM5U6L8</v>
          </cell>
          <cell r="C87" t="str">
            <v>ICE BofA Global Government Bonds G7 1-10</v>
          </cell>
          <cell r="D87" t="str">
            <v>MLW5G7USH</v>
          </cell>
          <cell r="E87">
            <v>1</v>
          </cell>
          <cell r="L87">
            <v>0</v>
          </cell>
          <cell r="M87">
            <v>0</v>
          </cell>
          <cell r="N87">
            <v>0</v>
          </cell>
          <cell r="O87">
            <v>1.3184641317034668E-2</v>
          </cell>
          <cell r="P87">
            <v>0</v>
          </cell>
          <cell r="Q87">
            <v>0</v>
          </cell>
          <cell r="R87">
            <v>0</v>
          </cell>
          <cell r="S87">
            <v>0</v>
          </cell>
          <cell r="T87">
            <v>0</v>
          </cell>
          <cell r="U87">
            <v>0</v>
          </cell>
          <cell r="V87">
            <v>0</v>
          </cell>
          <cell r="W87">
            <v>0</v>
          </cell>
          <cell r="X87">
            <v>0</v>
          </cell>
          <cell r="Y87">
            <v>9.6804238241693791E-2</v>
          </cell>
          <cell r="Z87">
            <v>2.6340236397586796E-2</v>
          </cell>
          <cell r="AA87">
            <v>0</v>
          </cell>
          <cell r="AB87">
            <v>0</v>
          </cell>
          <cell r="AC87">
            <v>0</v>
          </cell>
          <cell r="AD87">
            <v>0</v>
          </cell>
          <cell r="AE87">
            <v>0</v>
          </cell>
          <cell r="AF87">
            <v>0</v>
          </cell>
          <cell r="AG87">
            <v>4.9669244128475988E-2</v>
          </cell>
          <cell r="AH87">
            <v>0</v>
          </cell>
          <cell r="AI87">
            <v>0</v>
          </cell>
          <cell r="AJ87">
            <v>0</v>
          </cell>
          <cell r="AK87">
            <v>0</v>
          </cell>
          <cell r="AL87">
            <v>0</v>
          </cell>
          <cell r="AM87">
            <v>0</v>
          </cell>
          <cell r="AN87">
            <v>0</v>
          </cell>
          <cell r="AO87">
            <v>0</v>
          </cell>
          <cell r="AP87">
            <v>-99.999926249401128</v>
          </cell>
          <cell r="AQ87">
            <v>0</v>
          </cell>
          <cell r="AR87">
            <v>0</v>
          </cell>
          <cell r="AS87">
            <v>0</v>
          </cell>
          <cell r="AT87">
            <v>0</v>
          </cell>
          <cell r="AU87">
            <v>0</v>
          </cell>
          <cell r="AV87">
            <v>0</v>
          </cell>
          <cell r="AW87">
            <v>0</v>
          </cell>
          <cell r="AX87">
            <v>0</v>
          </cell>
          <cell r="AY87">
            <v>0</v>
          </cell>
          <cell r="AZ87">
            <v>0</v>
          </cell>
          <cell r="BA87">
            <v>0</v>
          </cell>
          <cell r="BB87">
            <v>0</v>
          </cell>
          <cell r="BC87">
            <v>99.813927889316332</v>
          </cell>
        </row>
        <row r="88">
          <cell r="B88" t="str">
            <v>BRS1LX887</v>
          </cell>
          <cell r="C88" t="str">
            <v>BBG Global High Yield Index</v>
          </cell>
          <cell r="D88" t="str">
            <v>LEHGLBHY</v>
          </cell>
          <cell r="E88">
            <v>1</v>
          </cell>
          <cell r="L88">
            <v>0</v>
          </cell>
          <cell r="M88">
            <v>0</v>
          </cell>
          <cell r="N88">
            <v>0</v>
          </cell>
          <cell r="O88">
            <v>0</v>
          </cell>
          <cell r="P88">
            <v>1.3997709580351254E-2</v>
          </cell>
          <cell r="Q88">
            <v>0</v>
          </cell>
          <cell r="R88">
            <v>0</v>
          </cell>
          <cell r="S88">
            <v>0</v>
          </cell>
          <cell r="T88">
            <v>0</v>
          </cell>
          <cell r="U88">
            <v>0</v>
          </cell>
          <cell r="V88">
            <v>0</v>
          </cell>
          <cell r="W88">
            <v>0</v>
          </cell>
          <cell r="X88">
            <v>0</v>
          </cell>
          <cell r="Y88">
            <v>16.838135963408781</v>
          </cell>
          <cell r="Z88">
            <v>1.9157364260021599</v>
          </cell>
          <cell r="AA88">
            <v>0</v>
          </cell>
          <cell r="AB88">
            <v>0</v>
          </cell>
          <cell r="AC88">
            <v>0</v>
          </cell>
          <cell r="AD88">
            <v>0</v>
          </cell>
          <cell r="AE88">
            <v>0</v>
          </cell>
          <cell r="AF88">
            <v>0</v>
          </cell>
          <cell r="AG88">
            <v>0</v>
          </cell>
          <cell r="AH88">
            <v>0</v>
          </cell>
          <cell r="AI88">
            <v>0</v>
          </cell>
          <cell r="AJ88">
            <v>0</v>
          </cell>
          <cell r="AK88">
            <v>0</v>
          </cell>
          <cell r="AL88">
            <v>3.6333358968761702E-3</v>
          </cell>
          <cell r="AM88">
            <v>0</v>
          </cell>
          <cell r="AN88">
            <v>0</v>
          </cell>
          <cell r="AO88">
            <v>0</v>
          </cell>
          <cell r="AP88">
            <v>-99.999999999999915</v>
          </cell>
          <cell r="AQ88">
            <v>0</v>
          </cell>
          <cell r="AR88">
            <v>0</v>
          </cell>
          <cell r="AS88">
            <v>0</v>
          </cell>
          <cell r="AT88">
            <v>0</v>
          </cell>
          <cell r="AU88">
            <v>0</v>
          </cell>
          <cell r="AV88">
            <v>0</v>
          </cell>
          <cell r="AW88">
            <v>0</v>
          </cell>
          <cell r="AX88">
            <v>0</v>
          </cell>
          <cell r="AY88">
            <v>0</v>
          </cell>
          <cell r="AZ88">
            <v>0</v>
          </cell>
          <cell r="BA88">
            <v>0</v>
          </cell>
          <cell r="BB88">
            <v>0</v>
          </cell>
          <cell r="BC88">
            <v>81.228496565111755</v>
          </cell>
        </row>
        <row r="89">
          <cell r="B89" t="str">
            <v>BRS14KDH8</v>
          </cell>
          <cell r="C89" t="str">
            <v>BBG Treasury 1-10 Yr Index</v>
          </cell>
          <cell r="D89" t="str">
            <v>LTSY1-10</v>
          </cell>
          <cell r="E89">
            <v>1</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-99.999999999999957</v>
          </cell>
          <cell r="AQ89">
            <v>0</v>
          </cell>
          <cell r="AR89">
            <v>0</v>
          </cell>
          <cell r="AS89">
            <v>0</v>
          </cell>
          <cell r="AT89">
            <v>0</v>
          </cell>
          <cell r="AU89">
            <v>0</v>
          </cell>
          <cell r="AV89">
            <v>0</v>
          </cell>
          <cell r="AW89">
            <v>0</v>
          </cell>
          <cell r="AX89">
            <v>0</v>
          </cell>
          <cell r="AY89">
            <v>0</v>
          </cell>
          <cell r="AZ89">
            <v>0</v>
          </cell>
          <cell r="BA89">
            <v>0</v>
          </cell>
          <cell r="BB89">
            <v>0</v>
          </cell>
          <cell r="BC89">
            <v>99.999999999999957</v>
          </cell>
        </row>
        <row r="90">
          <cell r="B90" t="str">
            <v>BRSM5Y7T2</v>
          </cell>
          <cell r="C90" t="str">
            <v>BBG Sterling Corporates 10-20 Years Inde</v>
          </cell>
          <cell r="D90" t="str">
            <v>B28355EUR</v>
          </cell>
          <cell r="E90">
            <v>1</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99.999999999999986</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-100</v>
          </cell>
          <cell r="AQ90">
            <v>0</v>
          </cell>
          <cell r="AR90">
            <v>0</v>
          </cell>
          <cell r="AS90">
            <v>0</v>
          </cell>
          <cell r="AT90">
            <v>0</v>
          </cell>
          <cell r="AU90">
            <v>0</v>
          </cell>
          <cell r="AV90">
            <v>0</v>
          </cell>
          <cell r="AW90">
            <v>0</v>
          </cell>
          <cell r="AX90">
            <v>0</v>
          </cell>
          <cell r="AY90">
            <v>0</v>
          </cell>
          <cell r="AZ90">
            <v>0</v>
          </cell>
          <cell r="BA90">
            <v>0</v>
          </cell>
          <cell r="BB90">
            <v>0</v>
          </cell>
          <cell r="BC90">
            <v>1.7966634483589833E-14</v>
          </cell>
        </row>
        <row r="91">
          <cell r="B91" t="str">
            <v>BRYPSXJD7</v>
          </cell>
          <cell r="C91" t="str">
            <v>MSCI EM (Emerging Markets) ex China ex I</v>
          </cell>
          <cell r="D91" t="str">
            <v>M738173USD</v>
          </cell>
          <cell r="E91">
            <v>1</v>
          </cell>
          <cell r="L91">
            <v>2.1279311622519983</v>
          </cell>
          <cell r="M91">
            <v>0</v>
          </cell>
          <cell r="N91">
            <v>9.2171207667933555</v>
          </cell>
          <cell r="O91">
            <v>0</v>
          </cell>
          <cell r="P91">
            <v>0</v>
          </cell>
          <cell r="Q91">
            <v>0.76698373182191038</v>
          </cell>
          <cell r="R91">
            <v>0</v>
          </cell>
          <cell r="S91">
            <v>0.1855559299074224</v>
          </cell>
          <cell r="T91">
            <v>0.23057268699699252</v>
          </cell>
          <cell r="U91">
            <v>0</v>
          </cell>
          <cell r="V91">
            <v>0</v>
          </cell>
          <cell r="W91">
            <v>0</v>
          </cell>
          <cell r="X91">
            <v>0.13387645736422146</v>
          </cell>
          <cell r="Y91">
            <v>0.94122268203352821</v>
          </cell>
          <cell r="Z91">
            <v>8.0399864251489025E-2</v>
          </cell>
          <cell r="AA91">
            <v>0</v>
          </cell>
          <cell r="AB91">
            <v>0.43677363685148785</v>
          </cell>
          <cell r="AC91">
            <v>3.1156058295746503</v>
          </cell>
          <cell r="AD91">
            <v>0</v>
          </cell>
          <cell r="AE91">
            <v>0</v>
          </cell>
          <cell r="AF91">
            <v>0</v>
          </cell>
          <cell r="AG91">
            <v>0</v>
          </cell>
          <cell r="AH91">
            <v>20.4741504812946</v>
          </cell>
          <cell r="AI91">
            <v>1.3122639550038913</v>
          </cell>
          <cell r="AJ91">
            <v>3.5567185668602299</v>
          </cell>
          <cell r="AK91">
            <v>2.8018365404067129</v>
          </cell>
          <cell r="AL91">
            <v>0</v>
          </cell>
          <cell r="AM91">
            <v>0</v>
          </cell>
          <cell r="AN91">
            <v>0.52853329553614237</v>
          </cell>
          <cell r="AO91">
            <v>1.03256680120799</v>
          </cell>
          <cell r="AP91">
            <v>-98.312200527961011</v>
          </cell>
          <cell r="AQ91">
            <v>1.4228340418751104</v>
          </cell>
          <cell r="AR91">
            <v>0.10539246948448659</v>
          </cell>
          <cell r="AS91">
            <v>0</v>
          </cell>
          <cell r="AT91">
            <v>0</v>
          </cell>
          <cell r="AU91">
            <v>7.252107846872673</v>
          </cell>
          <cell r="AV91">
            <v>0</v>
          </cell>
          <cell r="AW91">
            <v>0</v>
          </cell>
          <cell r="AX91">
            <v>2.5817655874248198</v>
          </cell>
          <cell r="AY91">
            <v>1.2458432468534091</v>
          </cell>
          <cell r="AZ91">
            <v>32.757289102671962</v>
          </cell>
          <cell r="BA91">
            <v>0</v>
          </cell>
          <cell r="BB91">
            <v>5.3469694881256995</v>
          </cell>
          <cell r="BC91">
            <v>0.65788635649623461</v>
          </cell>
        </row>
        <row r="92">
          <cell r="B92" t="str">
            <v>BRTDPC6C5</v>
          </cell>
          <cell r="C92" t="str">
            <v>BBG China Treasury + Policy Bank Total R</v>
          </cell>
          <cell r="D92" t="str">
            <v>BBGTPBTR</v>
          </cell>
          <cell r="E92">
            <v>1</v>
          </cell>
          <cell r="L92">
            <v>0</v>
          </cell>
          <cell r="M92">
            <v>0</v>
          </cell>
          <cell r="N92">
            <v>0</v>
          </cell>
          <cell r="O92">
            <v>0</v>
          </cell>
          <cell r="P92">
            <v>0</v>
          </cell>
          <cell r="Q92">
            <v>0</v>
          </cell>
          <cell r="R92">
            <v>100.00000000000003</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-100.00000000000003</v>
          </cell>
          <cell r="AQ92">
            <v>0</v>
          </cell>
          <cell r="AR92">
            <v>0</v>
          </cell>
          <cell r="AS92">
            <v>0</v>
          </cell>
          <cell r="AT92">
            <v>0</v>
          </cell>
          <cell r="AU92">
            <v>0</v>
          </cell>
          <cell r="AV92">
            <v>0</v>
          </cell>
          <cell r="AW92">
            <v>0</v>
          </cell>
          <cell r="AX92">
            <v>0</v>
          </cell>
          <cell r="AY92">
            <v>0</v>
          </cell>
          <cell r="AZ92">
            <v>0</v>
          </cell>
          <cell r="BA92">
            <v>0</v>
          </cell>
          <cell r="BB92">
            <v>0</v>
          </cell>
          <cell r="BC92">
            <v>0</v>
          </cell>
        </row>
        <row r="93">
          <cell r="B93" t="str">
            <v>BRSALQX68</v>
          </cell>
          <cell r="C93" t="str">
            <v>USD Cash Benchmark</v>
          </cell>
          <cell r="D93" t="str">
            <v>USDCASHBMK</v>
          </cell>
          <cell r="E93">
            <v>1</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-100</v>
          </cell>
          <cell r="AQ93">
            <v>0</v>
          </cell>
          <cell r="AR93">
            <v>0</v>
          </cell>
          <cell r="AS93">
            <v>0</v>
          </cell>
          <cell r="AT93">
            <v>0</v>
          </cell>
          <cell r="AU93">
            <v>0</v>
          </cell>
          <cell r="AV93">
            <v>0</v>
          </cell>
          <cell r="AW93">
            <v>0</v>
          </cell>
          <cell r="AX93">
            <v>0</v>
          </cell>
          <cell r="AY93">
            <v>0</v>
          </cell>
          <cell r="AZ93">
            <v>0</v>
          </cell>
          <cell r="BA93">
            <v>0</v>
          </cell>
          <cell r="BB93">
            <v>0</v>
          </cell>
          <cell r="BC93">
            <v>100</v>
          </cell>
        </row>
        <row r="94">
          <cell r="B94" t="str">
            <v>B00766442</v>
          </cell>
          <cell r="C94" t="str">
            <v>BBG Treasury 1-5 Yr Index</v>
          </cell>
          <cell r="D94" t="str">
            <v>LTSY1-5</v>
          </cell>
          <cell r="E94">
            <v>1.0000000000000002</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-99.999999999999972</v>
          </cell>
          <cell r="AQ94">
            <v>0</v>
          </cell>
          <cell r="AR94">
            <v>0</v>
          </cell>
          <cell r="AS94">
            <v>0</v>
          </cell>
          <cell r="AT94">
            <v>0</v>
          </cell>
          <cell r="AU94">
            <v>0</v>
          </cell>
          <cell r="AV94">
            <v>0</v>
          </cell>
          <cell r="AW94">
            <v>0</v>
          </cell>
          <cell r="AX94">
            <v>0</v>
          </cell>
          <cell r="AY94">
            <v>0</v>
          </cell>
          <cell r="AZ94">
            <v>0</v>
          </cell>
          <cell r="BA94">
            <v>0</v>
          </cell>
          <cell r="BB94">
            <v>0</v>
          </cell>
          <cell r="BC94">
            <v>99.999999999999972</v>
          </cell>
        </row>
        <row r="95">
          <cell r="B95" t="str">
            <v>BRSDAJPS1</v>
          </cell>
          <cell r="C95" t="str">
            <v>CNY Cash Benchmark</v>
          </cell>
          <cell r="D95" t="str">
            <v>CNYCASHBMK</v>
          </cell>
          <cell r="E95">
            <v>1.0000000000000002</v>
          </cell>
          <cell r="L95">
            <v>0</v>
          </cell>
          <cell r="M95">
            <v>0</v>
          </cell>
          <cell r="N95">
            <v>0</v>
          </cell>
          <cell r="O95">
            <v>0</v>
          </cell>
          <cell r="P95">
            <v>0</v>
          </cell>
          <cell r="Q95">
            <v>0</v>
          </cell>
          <cell r="R95">
            <v>100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-100</v>
          </cell>
          <cell r="AQ95">
            <v>0</v>
          </cell>
          <cell r="AR95">
            <v>0</v>
          </cell>
          <cell r="AS95">
            <v>0</v>
          </cell>
          <cell r="AT95">
            <v>0</v>
          </cell>
          <cell r="AU95">
            <v>0</v>
          </cell>
          <cell r="AV95">
            <v>0</v>
          </cell>
          <cell r="AW95">
            <v>0</v>
          </cell>
          <cell r="AX95">
            <v>0</v>
          </cell>
          <cell r="AY95">
            <v>0</v>
          </cell>
          <cell r="AZ95">
            <v>0</v>
          </cell>
          <cell r="BA95">
            <v>0</v>
          </cell>
          <cell r="BB95">
            <v>0</v>
          </cell>
          <cell r="BC95">
            <v>0</v>
          </cell>
        </row>
        <row r="96">
          <cell r="B96" t="str">
            <v>BRS2NHT69</v>
          </cell>
          <cell r="C96" t="str">
            <v>MSCI Developed - United Kingdom</v>
          </cell>
          <cell r="D96" t="str">
            <v>MS_GB</v>
          </cell>
          <cell r="E96">
            <v>1</v>
          </cell>
          <cell r="L96">
            <v>0</v>
          </cell>
          <cell r="M96">
            <v>0</v>
          </cell>
          <cell r="N96">
            <v>0</v>
          </cell>
          <cell r="O96">
            <v>0.15068909667218697</v>
          </cell>
          <cell r="P96">
            <v>0</v>
          </cell>
          <cell r="Q96">
            <v>0.37157819066921105</v>
          </cell>
          <cell r="R96">
            <v>0</v>
          </cell>
          <cell r="S96">
            <v>0</v>
          </cell>
          <cell r="T96">
            <v>0</v>
          </cell>
          <cell r="U96">
            <v>0</v>
          </cell>
          <cell r="V96">
            <v>0</v>
          </cell>
          <cell r="W96">
            <v>0</v>
          </cell>
          <cell r="X96">
            <v>0</v>
          </cell>
          <cell r="Y96">
            <v>0.58235655029436328</v>
          </cell>
          <cell r="Z96">
            <v>98.895376162364229</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-99.999999999999972</v>
          </cell>
          <cell r="AQ96">
            <v>0</v>
          </cell>
          <cell r="AR96">
            <v>0</v>
          </cell>
          <cell r="AS96">
            <v>0</v>
          </cell>
          <cell r="AT96">
            <v>0</v>
          </cell>
          <cell r="AU96">
            <v>0</v>
          </cell>
          <cell r="AV96">
            <v>0</v>
          </cell>
          <cell r="AW96">
            <v>0</v>
          </cell>
          <cell r="AX96">
            <v>0</v>
          </cell>
          <cell r="AY96">
            <v>0</v>
          </cell>
          <cell r="AZ96">
            <v>0</v>
          </cell>
          <cell r="BA96">
            <v>0</v>
          </cell>
          <cell r="BB96">
            <v>0</v>
          </cell>
          <cell r="BC96">
            <v>-1.7966634483589833E-14</v>
          </cell>
        </row>
        <row r="97">
          <cell r="B97" t="str">
            <v>BRS26QNA5</v>
          </cell>
          <cell r="C97" t="str">
            <v>FTSE Actuaries UK Conventional Gilts All</v>
          </cell>
          <cell r="D97" t="str">
            <v>FTSEASGILT</v>
          </cell>
          <cell r="E97">
            <v>1</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100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-100</v>
          </cell>
          <cell r="AQ97">
            <v>0</v>
          </cell>
          <cell r="AR97">
            <v>0</v>
          </cell>
          <cell r="AS97">
            <v>0</v>
          </cell>
          <cell r="AT97">
            <v>0</v>
          </cell>
          <cell r="AU97">
            <v>0</v>
          </cell>
          <cell r="AV97">
            <v>0</v>
          </cell>
          <cell r="AW97">
            <v>0</v>
          </cell>
          <cell r="AX97">
            <v>0</v>
          </cell>
          <cell r="AY97">
            <v>0</v>
          </cell>
          <cell r="AZ97">
            <v>0</v>
          </cell>
          <cell r="BA97">
            <v>0</v>
          </cell>
          <cell r="BB97">
            <v>0</v>
          </cell>
          <cell r="BC97">
            <v>0</v>
          </cell>
        </row>
        <row r="98">
          <cell r="B98" t="str">
            <v>BRS98Q5C4</v>
          </cell>
          <cell r="C98" t="str">
            <v>BBG Asian Pacific Japan Treasury</v>
          </cell>
          <cell r="D98" t="str">
            <v>BCAPJYJGB</v>
          </cell>
          <cell r="E98">
            <v>1.0000000000000002</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100.00000000000013</v>
          </cell>
          <cell r="AH98">
            <v>0</v>
          </cell>
          <cell r="AI98">
            <v>0</v>
          </cell>
          <cell r="AJ98">
            <v>0</v>
          </cell>
          <cell r="AK98">
            <v>0</v>
          </cell>
          <cell r="AL98">
            <v>0</v>
          </cell>
          <cell r="AM98">
            <v>0</v>
          </cell>
          <cell r="AN98">
            <v>0</v>
          </cell>
          <cell r="AO98">
            <v>0</v>
          </cell>
          <cell r="AP98">
            <v>-100.00000000000013</v>
          </cell>
          <cell r="AQ98">
            <v>0</v>
          </cell>
          <cell r="AR98">
            <v>0</v>
          </cell>
          <cell r="AS98">
            <v>0</v>
          </cell>
          <cell r="AT98">
            <v>0</v>
          </cell>
          <cell r="AU98">
            <v>0</v>
          </cell>
          <cell r="AV98">
            <v>0</v>
          </cell>
          <cell r="AW98">
            <v>0</v>
          </cell>
          <cell r="AX98">
            <v>0</v>
          </cell>
          <cell r="AY98">
            <v>0</v>
          </cell>
          <cell r="AZ98">
            <v>0</v>
          </cell>
          <cell r="BA98">
            <v>0</v>
          </cell>
          <cell r="BB98">
            <v>0</v>
          </cell>
          <cell r="BC98">
            <v>0</v>
          </cell>
        </row>
        <row r="99">
          <cell r="B99" t="str">
            <v>BRSD8ELA8</v>
          </cell>
          <cell r="C99" t="str">
            <v>BBG Japanese Credit Index</v>
          </cell>
          <cell r="D99" t="str">
            <v>LEHCREDJP</v>
          </cell>
          <cell r="E99">
            <v>0.99999999999999989</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100</v>
          </cell>
          <cell r="AH99">
            <v>0</v>
          </cell>
          <cell r="AI99">
            <v>0</v>
          </cell>
          <cell r="AJ99">
            <v>0</v>
          </cell>
          <cell r="AK99">
            <v>0</v>
          </cell>
          <cell r="AL99">
            <v>0</v>
          </cell>
          <cell r="AM99">
            <v>0</v>
          </cell>
          <cell r="AN99">
            <v>0</v>
          </cell>
          <cell r="AO99">
            <v>0</v>
          </cell>
          <cell r="AP99">
            <v>-100</v>
          </cell>
          <cell r="AQ99">
            <v>0</v>
          </cell>
          <cell r="AR99">
            <v>0</v>
          </cell>
          <cell r="AS99">
            <v>0</v>
          </cell>
          <cell r="AT99">
            <v>0</v>
          </cell>
          <cell r="AU99">
            <v>0</v>
          </cell>
          <cell r="AV99">
            <v>0</v>
          </cell>
          <cell r="AW99">
            <v>0</v>
          </cell>
          <cell r="AX99">
            <v>0</v>
          </cell>
          <cell r="AY99">
            <v>0</v>
          </cell>
          <cell r="AZ99">
            <v>0</v>
          </cell>
          <cell r="BA99">
            <v>0</v>
          </cell>
          <cell r="BB99">
            <v>0</v>
          </cell>
          <cell r="BC99">
            <v>0</v>
          </cell>
        </row>
        <row r="100">
          <cell r="B100" t="str">
            <v>BRSC6F368</v>
          </cell>
          <cell r="C100" t="str">
            <v>FTSE All Stocks Gilts between 5-10 Years</v>
          </cell>
          <cell r="D100" t="str">
            <v>FTASG5T10</v>
          </cell>
          <cell r="E100">
            <v>0.99999999999999989</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100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-100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row>
        <row r="101">
          <cell r="B101" t="str">
            <v>BRS7ZVX51</v>
          </cell>
          <cell r="C101" t="str">
            <v>BBG Sterling Aggregate Corporate Bond In</v>
          </cell>
          <cell r="D101" t="str">
            <v>BSTERCORP</v>
          </cell>
          <cell r="E101">
            <v>1</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100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-100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row>
        <row r="102">
          <cell r="B102" t="str">
            <v>BRSC6UDF4</v>
          </cell>
          <cell r="C102" t="str">
            <v>MSCI Daily TR Gross Developed Pacific Ex</v>
          </cell>
          <cell r="D102" t="str">
            <v>MSPAXJPNET</v>
          </cell>
          <cell r="E102">
            <v>1</v>
          </cell>
          <cell r="L102">
            <v>0</v>
          </cell>
          <cell r="M102">
            <v>68.558945517893008</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16.399226021284033</v>
          </cell>
          <cell r="AB102">
            <v>0</v>
          </cell>
          <cell r="AC102">
            <v>0</v>
          </cell>
          <cell r="AD102">
            <v>0</v>
          </cell>
          <cell r="AE102">
            <v>0</v>
          </cell>
          <cell r="AF102">
            <v>0</v>
          </cell>
          <cell r="AG102">
            <v>0</v>
          </cell>
          <cell r="AH102">
            <v>0</v>
          </cell>
          <cell r="AI102">
            <v>0</v>
          </cell>
          <cell r="AJ102">
            <v>0</v>
          </cell>
          <cell r="AK102">
            <v>0</v>
          </cell>
          <cell r="AL102">
            <v>0</v>
          </cell>
          <cell r="AM102">
            <v>2.4110266273560144</v>
          </cell>
          <cell r="AN102">
            <v>0</v>
          </cell>
          <cell r="AO102">
            <v>0</v>
          </cell>
          <cell r="AP102">
            <v>-100.00000000000006</v>
          </cell>
          <cell r="AQ102">
            <v>0</v>
          </cell>
          <cell r="AR102">
            <v>0</v>
          </cell>
          <cell r="AS102">
            <v>0</v>
          </cell>
          <cell r="AT102">
            <v>0</v>
          </cell>
          <cell r="AU102">
            <v>0</v>
          </cell>
          <cell r="AV102">
            <v>0</v>
          </cell>
          <cell r="AW102">
            <v>12.630801833467018</v>
          </cell>
          <cell r="AX102">
            <v>0</v>
          </cell>
          <cell r="AY102">
            <v>0</v>
          </cell>
          <cell r="AZ102">
            <v>0</v>
          </cell>
          <cell r="BA102">
            <v>0</v>
          </cell>
          <cell r="BB102">
            <v>0</v>
          </cell>
          <cell r="BC102">
            <v>-1.3474975862692375E-14</v>
          </cell>
        </row>
        <row r="103">
          <cell r="B103" t="str">
            <v>BRSAMRUN1</v>
          </cell>
          <cell r="C103" t="str">
            <v>JPY Cash Benchmark</v>
          </cell>
          <cell r="D103" t="str">
            <v>JPYCASHBMK</v>
          </cell>
          <cell r="E103">
            <v>1</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100</v>
          </cell>
          <cell r="AH103">
            <v>0</v>
          </cell>
          <cell r="AI103">
            <v>0</v>
          </cell>
          <cell r="AJ103">
            <v>0</v>
          </cell>
          <cell r="AK103">
            <v>0</v>
          </cell>
          <cell r="AL103">
            <v>0</v>
          </cell>
          <cell r="AM103">
            <v>0</v>
          </cell>
          <cell r="AN103">
            <v>0</v>
          </cell>
          <cell r="AO103">
            <v>0</v>
          </cell>
          <cell r="AP103">
            <v>-100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row>
        <row r="104">
          <cell r="B104" t="str">
            <v>BRSCS1TV2</v>
          </cell>
          <cell r="C104" t="str">
            <v>CAD Cash Benchmark</v>
          </cell>
          <cell r="D104" t="str">
            <v>CADCASHBMK</v>
          </cell>
          <cell r="E104">
            <v>1</v>
          </cell>
          <cell r="L104">
            <v>0</v>
          </cell>
          <cell r="M104">
            <v>0</v>
          </cell>
          <cell r="N104">
            <v>0</v>
          </cell>
          <cell r="O104">
            <v>100</v>
          </cell>
          <cell r="P104">
            <v>0</v>
          </cell>
          <cell r="Q104">
            <v>0</v>
          </cell>
          <cell r="R104">
            <v>0</v>
          </cell>
          <cell r="S104">
            <v>0</v>
          </cell>
          <cell r="T104">
            <v>0</v>
          </cell>
          <cell r="U104">
            <v>0</v>
          </cell>
          <cell r="V104">
            <v>0</v>
          </cell>
          <cell r="W104">
            <v>0</v>
          </cell>
          <cell r="X104">
            <v>0</v>
          </cell>
          <cell r="Y104">
            <v>0</v>
          </cell>
          <cell r="Z104">
            <v>0</v>
          </cell>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-100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row>
        <row r="105">
          <cell r="B105" t="str">
            <v>BRWFALUZ4</v>
          </cell>
          <cell r="C105" t="str">
            <v>MSCI EMU/INDUSTRIALS</v>
          </cell>
          <cell r="D105" t="str">
            <v>MS106696</v>
          </cell>
          <cell r="E105">
            <v>1</v>
          </cell>
          <cell r="L105">
            <v>0</v>
          </cell>
          <cell r="M105">
            <v>0</v>
          </cell>
          <cell r="N105">
            <v>0</v>
          </cell>
          <cell r="O105">
            <v>0</v>
          </cell>
          <cell r="P105">
            <v>0</v>
          </cell>
          <cell r="Q105">
            <v>0</v>
          </cell>
          <cell r="R105">
            <v>0</v>
          </cell>
          <cell r="S105">
            <v>0</v>
          </cell>
          <cell r="T105">
            <v>0</v>
          </cell>
          <cell r="U105">
            <v>0</v>
          </cell>
          <cell r="V105">
            <v>0</v>
          </cell>
          <cell r="W105">
            <v>0</v>
          </cell>
          <cell r="X105">
            <v>0</v>
          </cell>
          <cell r="Y105">
            <v>99.634945833121719</v>
          </cell>
          <cell r="Z105">
            <v>0</v>
          </cell>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-99.634945833121733</v>
          </cell>
          <cell r="AQ105">
            <v>0</v>
          </cell>
          <cell r="AR105">
            <v>0</v>
          </cell>
          <cell r="AS105">
            <v>0</v>
          </cell>
          <cell r="AT105">
            <v>0</v>
          </cell>
          <cell r="AU105">
            <v>0</v>
          </cell>
          <cell r="AV105">
            <v>0</v>
          </cell>
          <cell r="AW105">
            <v>0</v>
          </cell>
          <cell r="AX105">
            <v>0</v>
          </cell>
          <cell r="AY105">
            <v>0</v>
          </cell>
          <cell r="AZ105">
            <v>0</v>
          </cell>
          <cell r="BA105">
            <v>0</v>
          </cell>
          <cell r="BB105">
            <v>0</v>
          </cell>
          <cell r="BC105">
            <v>1.7966634483589833E-14</v>
          </cell>
        </row>
        <row r="106">
          <cell r="B106" t="str">
            <v>BRSM5U4X4</v>
          </cell>
          <cell r="C106" t="str">
            <v>BBG Sterling Aggregate Corp 1-10 years I</v>
          </cell>
          <cell r="D106" t="str">
            <v>B17389EUR</v>
          </cell>
          <cell r="E106">
            <v>1</v>
          </cell>
          <cell r="L106">
            <v>0</v>
          </cell>
          <cell r="M106">
            <v>0</v>
          </cell>
          <cell r="N106">
            <v>0</v>
          </cell>
          <cell r="O106">
            <v>0</v>
          </cell>
          <cell r="P106">
            <v>0</v>
          </cell>
          <cell r="Q106">
            <v>0</v>
          </cell>
          <cell r="R106">
            <v>0</v>
          </cell>
          <cell r="S106">
            <v>0</v>
          </cell>
          <cell r="T106">
            <v>0</v>
          </cell>
          <cell r="U106">
            <v>0</v>
          </cell>
          <cell r="V106">
            <v>0</v>
          </cell>
          <cell r="W106">
            <v>0</v>
          </cell>
          <cell r="X106">
            <v>0</v>
          </cell>
          <cell r="Y106">
            <v>0</v>
          </cell>
          <cell r="Z106">
            <v>99.999999999999986</v>
          </cell>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-100</v>
          </cell>
          <cell r="AQ106">
            <v>0</v>
          </cell>
          <cell r="AR106">
            <v>0</v>
          </cell>
          <cell r="AS106">
            <v>0</v>
          </cell>
          <cell r="AT106">
            <v>0</v>
          </cell>
          <cell r="AU106">
            <v>0</v>
          </cell>
          <cell r="AV106">
            <v>0</v>
          </cell>
          <cell r="AW106">
            <v>0</v>
          </cell>
          <cell r="AX106">
            <v>0</v>
          </cell>
          <cell r="AY106">
            <v>0</v>
          </cell>
          <cell r="AZ106">
            <v>0</v>
          </cell>
          <cell r="BA106">
            <v>0</v>
          </cell>
          <cell r="BB106">
            <v>0</v>
          </cell>
          <cell r="BC106">
            <v>1.7966634483589833E-14</v>
          </cell>
        </row>
        <row r="107">
          <cell r="B107" t="str">
            <v>BRT7CJEE4</v>
          </cell>
          <cell r="C107" t="str">
            <v>BBG Sterling Aggregate Gilts (1-10)</v>
          </cell>
          <cell r="D107" t="str">
            <v>B31677GBP</v>
          </cell>
          <cell r="E107">
            <v>1</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100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-100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row>
        <row r="108">
          <cell r="B108" t="str">
            <v>BRWFALY31</v>
          </cell>
          <cell r="C108" t="str">
            <v>MSCI EMU/CONSUMER DISCR</v>
          </cell>
          <cell r="D108" t="str">
            <v>MS106697</v>
          </cell>
          <cell r="E108">
            <v>1</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100.00000000000003</v>
          </cell>
          <cell r="Z108">
            <v>0</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-100.00000000000003</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row>
        <row r="109">
          <cell r="B109" t="str">
            <v>BRS2HF2E2</v>
          </cell>
          <cell r="C109" t="str">
            <v xml:space="preserve">FTSE Actuaries UK Index-Linked Gilts up </v>
          </cell>
          <cell r="D109" t="str">
            <v>FTILGLTL5</v>
          </cell>
          <cell r="E109">
            <v>1.0000000000000002</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100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-100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row>
        <row r="110">
          <cell r="B110" t="str">
            <v>B06384109</v>
          </cell>
          <cell r="C110" t="str">
            <v>MSCI Europe Gross TR Index</v>
          </cell>
          <cell r="D110" t="str">
            <v>MS_EU</v>
          </cell>
          <cell r="E110">
            <v>1</v>
          </cell>
          <cell r="L110">
            <v>0</v>
          </cell>
          <cell r="M110">
            <v>0</v>
          </cell>
          <cell r="N110">
            <v>0</v>
          </cell>
          <cell r="O110">
            <v>3.4034355178053741E-2</v>
          </cell>
          <cell r="P110">
            <v>15.344903860011947</v>
          </cell>
          <cell r="Q110">
            <v>8.3923949356242186E-2</v>
          </cell>
          <cell r="R110">
            <v>0</v>
          </cell>
          <cell r="S110">
            <v>0</v>
          </cell>
          <cell r="T110">
            <v>0</v>
          </cell>
          <cell r="U110">
            <v>0</v>
          </cell>
          <cell r="V110">
            <v>5.7219862317135046</v>
          </cell>
          <cell r="W110">
            <v>0</v>
          </cell>
          <cell r="X110">
            <v>0</v>
          </cell>
          <cell r="Y110">
            <v>50.210165116199086</v>
          </cell>
          <cell r="Z110">
            <v>22.336323145524389</v>
          </cell>
          <cell r="AA110">
            <v>0</v>
          </cell>
          <cell r="AB110">
            <v>0</v>
          </cell>
          <cell r="AC110">
            <v>0</v>
          </cell>
          <cell r="AD110">
            <v>0</v>
          </cell>
          <cell r="AE110">
            <v>0</v>
          </cell>
          <cell r="AF110">
            <v>0</v>
          </cell>
          <cell r="AG110">
            <v>0</v>
          </cell>
          <cell r="AH110">
            <v>0</v>
          </cell>
          <cell r="AI110">
            <v>0</v>
          </cell>
          <cell r="AJ110">
            <v>0</v>
          </cell>
          <cell r="AK110">
            <v>0</v>
          </cell>
          <cell r="AL110">
            <v>0.87210307872890525</v>
          </cell>
          <cell r="AM110">
            <v>0</v>
          </cell>
          <cell r="AN110">
            <v>0</v>
          </cell>
          <cell r="AO110">
            <v>0</v>
          </cell>
          <cell r="AP110">
            <v>-99.921913972530334</v>
          </cell>
          <cell r="AQ110">
            <v>0</v>
          </cell>
          <cell r="AR110">
            <v>0</v>
          </cell>
          <cell r="AS110">
            <v>0</v>
          </cell>
          <cell r="AT110">
            <v>0</v>
          </cell>
          <cell r="AU110">
            <v>0</v>
          </cell>
          <cell r="AV110">
            <v>5.3184742358181945</v>
          </cell>
          <cell r="AW110">
            <v>0</v>
          </cell>
          <cell r="AX110">
            <v>0</v>
          </cell>
          <cell r="AY110">
            <v>0</v>
          </cell>
          <cell r="AZ110">
            <v>0</v>
          </cell>
          <cell r="BA110">
            <v>0</v>
          </cell>
          <cell r="BB110">
            <v>0</v>
          </cell>
          <cell r="BC110">
            <v>5.6145732761218228E-15</v>
          </cell>
        </row>
        <row r="111">
          <cell r="B111" t="str">
            <v>B06384117</v>
          </cell>
          <cell r="C111" t="str">
            <v>MSCI Developed Europe ex UK Gross TR Ind</v>
          </cell>
          <cell r="D111" t="str">
            <v>MS_EUXUK</v>
          </cell>
          <cell r="E111">
            <v>0.99999999999999989</v>
          </cell>
          <cell r="L111">
            <v>0</v>
          </cell>
          <cell r="M111">
            <v>0</v>
          </cell>
          <cell r="N111">
            <v>0</v>
          </cell>
          <cell r="O111">
            <v>0</v>
          </cell>
          <cell r="P111">
            <v>19.821823541592131</v>
          </cell>
          <cell r="Q111">
            <v>0</v>
          </cell>
          <cell r="R111">
            <v>0</v>
          </cell>
          <cell r="S111">
            <v>0</v>
          </cell>
          <cell r="T111">
            <v>0</v>
          </cell>
          <cell r="U111">
            <v>0</v>
          </cell>
          <cell r="V111">
            <v>7.391392114747112</v>
          </cell>
          <cell r="W111">
            <v>0</v>
          </cell>
          <cell r="X111">
            <v>0</v>
          </cell>
          <cell r="Y111">
            <v>64.68922050483414</v>
          </cell>
          <cell r="Z111">
            <v>0</v>
          </cell>
          <cell r="AA111">
            <v>0</v>
          </cell>
          <cell r="AB111">
            <v>0</v>
          </cell>
          <cell r="AC111">
            <v>0</v>
          </cell>
          <cell r="AD111">
            <v>0</v>
          </cell>
          <cell r="AE111">
            <v>0</v>
          </cell>
          <cell r="AF111">
            <v>0</v>
          </cell>
          <cell r="AG111">
            <v>0</v>
          </cell>
          <cell r="AH111">
            <v>0</v>
          </cell>
          <cell r="AI111">
            <v>0</v>
          </cell>
          <cell r="AJ111">
            <v>0</v>
          </cell>
          <cell r="AK111">
            <v>0</v>
          </cell>
          <cell r="AL111">
            <v>1.1265416515050184</v>
          </cell>
          <cell r="AM111">
            <v>0</v>
          </cell>
          <cell r="AN111">
            <v>0</v>
          </cell>
          <cell r="AO111">
            <v>0</v>
          </cell>
          <cell r="AP111">
            <v>-99.899132150211699</v>
          </cell>
          <cell r="AQ111">
            <v>0</v>
          </cell>
          <cell r="AR111">
            <v>0</v>
          </cell>
          <cell r="AS111">
            <v>0</v>
          </cell>
          <cell r="AT111">
            <v>0</v>
          </cell>
          <cell r="AU111">
            <v>0</v>
          </cell>
          <cell r="AV111">
            <v>6.8701543375332843</v>
          </cell>
          <cell r="AW111">
            <v>0</v>
          </cell>
          <cell r="AX111">
            <v>0</v>
          </cell>
          <cell r="AY111">
            <v>0</v>
          </cell>
          <cell r="AZ111">
            <v>0</v>
          </cell>
          <cell r="BA111">
            <v>0</v>
          </cell>
          <cell r="BB111">
            <v>0</v>
          </cell>
          <cell r="BC111">
            <v>-1.1229146552243648E-15</v>
          </cell>
        </row>
        <row r="112">
          <cell r="B112" t="str">
            <v>BRS6WE6V7</v>
          </cell>
          <cell r="C112" t="str">
            <v>BBG Euro Agg Treasury 15 plus</v>
          </cell>
          <cell r="D112" t="str">
            <v>LEURTY15P</v>
          </cell>
          <cell r="E112">
            <v>1</v>
          </cell>
          <cell r="L112">
            <v>0</v>
          </cell>
          <cell r="M112">
            <v>0</v>
          </cell>
          <cell r="N112">
            <v>0</v>
          </cell>
          <cell r="O112">
            <v>0</v>
          </cell>
          <cell r="P112">
            <v>0</v>
          </cell>
          <cell r="Q112">
            <v>0</v>
          </cell>
          <cell r="R112">
            <v>0</v>
          </cell>
          <cell r="S112">
            <v>0</v>
          </cell>
          <cell r="T112">
            <v>0</v>
          </cell>
          <cell r="U112">
            <v>0</v>
          </cell>
          <cell r="V112">
            <v>0</v>
          </cell>
          <cell r="W112">
            <v>0</v>
          </cell>
          <cell r="X112">
            <v>0</v>
          </cell>
          <cell r="Y112">
            <v>100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-100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row>
        <row r="113">
          <cell r="B113" t="str">
            <v>BRS8KCA78</v>
          </cell>
          <cell r="C113" t="str">
            <v>BBG Euro-Agg Corp Long Index</v>
          </cell>
          <cell r="D113" t="str">
            <v>BEUAGCPLNG</v>
          </cell>
          <cell r="E113">
            <v>1</v>
          </cell>
          <cell r="L113">
            <v>0</v>
          </cell>
          <cell r="M113">
            <v>0</v>
          </cell>
          <cell r="N113">
            <v>0</v>
          </cell>
          <cell r="O113">
            <v>0</v>
          </cell>
          <cell r="P113">
            <v>0</v>
          </cell>
          <cell r="Q113">
            <v>0</v>
          </cell>
          <cell r="R113">
            <v>0</v>
          </cell>
          <cell r="S113">
            <v>0</v>
          </cell>
          <cell r="T113">
            <v>0</v>
          </cell>
          <cell r="U113">
            <v>0</v>
          </cell>
          <cell r="V113">
            <v>0</v>
          </cell>
          <cell r="W113">
            <v>0</v>
          </cell>
          <cell r="X113">
            <v>0</v>
          </cell>
          <cell r="Y113">
            <v>100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-100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row>
        <row r="114">
          <cell r="B114" t="str">
            <v>BRS26QD24</v>
          </cell>
          <cell r="C114" t="str">
            <v xml:space="preserve">FTSE Actuaries UK Conventional Gilts up </v>
          </cell>
          <cell r="D114" t="str">
            <v>FTGLTL5</v>
          </cell>
          <cell r="E114">
            <v>1</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100.00000000000003</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-100.00000000000003</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row>
        <row r="115">
          <cell r="B115" t="str">
            <v>BRWFAM6N6</v>
          </cell>
          <cell r="C115" t="str">
            <v>MSCI EMU/HEALTH CARE</v>
          </cell>
          <cell r="D115" t="str">
            <v>MS106699</v>
          </cell>
          <cell r="E115">
            <v>1</v>
          </cell>
          <cell r="L115">
            <v>0</v>
          </cell>
          <cell r="M115">
            <v>0</v>
          </cell>
          <cell r="N115">
            <v>0</v>
          </cell>
          <cell r="O115">
            <v>0</v>
          </cell>
          <cell r="P115">
            <v>0</v>
          </cell>
          <cell r="Q115">
            <v>0</v>
          </cell>
          <cell r="R115">
            <v>0</v>
          </cell>
          <cell r="S115">
            <v>0</v>
          </cell>
          <cell r="T115">
            <v>0</v>
          </cell>
          <cell r="U115">
            <v>0</v>
          </cell>
          <cell r="V115">
            <v>0</v>
          </cell>
          <cell r="W115">
            <v>0</v>
          </cell>
          <cell r="X115">
            <v>0</v>
          </cell>
          <cell r="Y115">
            <v>99.999999999999957</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-99.999999999999957</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row>
        <row r="116">
          <cell r="B116" t="str">
            <v>BRTD3ZAC3</v>
          </cell>
          <cell r="C116" t="str">
            <v xml:space="preserve">BBG Inflation Linked Eurozone Inflation </v>
          </cell>
          <cell r="D116" t="str">
            <v>B20720EUR</v>
          </cell>
          <cell r="E116">
            <v>1</v>
          </cell>
          <cell r="L116">
            <v>0</v>
          </cell>
          <cell r="M116">
            <v>0</v>
          </cell>
          <cell r="N116">
            <v>0</v>
          </cell>
          <cell r="O116">
            <v>0</v>
          </cell>
          <cell r="P116">
            <v>0</v>
          </cell>
          <cell r="Q116">
            <v>0</v>
          </cell>
          <cell r="R116">
            <v>0</v>
          </cell>
          <cell r="S116">
            <v>0</v>
          </cell>
          <cell r="T116">
            <v>0</v>
          </cell>
          <cell r="U116">
            <v>0</v>
          </cell>
          <cell r="V116">
            <v>0</v>
          </cell>
          <cell r="W116">
            <v>0</v>
          </cell>
          <cell r="X116">
            <v>0</v>
          </cell>
          <cell r="Y116">
            <v>100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-100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row>
        <row r="117">
          <cell r="B117" t="str">
            <v>BRSAMQMN2</v>
          </cell>
          <cell r="C117" t="str">
            <v>GBP Cash Benchmark</v>
          </cell>
          <cell r="D117" t="str">
            <v>GBPCASHBMK</v>
          </cell>
          <cell r="E117">
            <v>1</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100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-100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row>
        <row r="118">
          <cell r="B118" t="str">
            <v>BRWFALRK1</v>
          </cell>
          <cell r="C118" t="str">
            <v>MSCI EMU/MATERIALS</v>
          </cell>
          <cell r="D118" t="str">
            <v>MS106695</v>
          </cell>
          <cell r="E118">
            <v>1</v>
          </cell>
          <cell r="L118">
            <v>0</v>
          </cell>
          <cell r="M118">
            <v>0</v>
          </cell>
          <cell r="N118">
            <v>0</v>
          </cell>
          <cell r="O118">
            <v>0</v>
          </cell>
          <cell r="P118">
            <v>0</v>
          </cell>
          <cell r="Q118">
            <v>0</v>
          </cell>
          <cell r="R118">
            <v>0</v>
          </cell>
          <cell r="S118">
            <v>0</v>
          </cell>
          <cell r="T118">
            <v>0</v>
          </cell>
          <cell r="U118">
            <v>0</v>
          </cell>
          <cell r="V118">
            <v>0</v>
          </cell>
          <cell r="W118">
            <v>0</v>
          </cell>
          <cell r="X118">
            <v>0</v>
          </cell>
          <cell r="Y118">
            <v>100.00000000000003</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-100.00000000000003</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row>
        <row r="119">
          <cell r="B119" t="str">
            <v>BRWFAM1A9</v>
          </cell>
          <cell r="C119" t="str">
            <v>MSCI EMU/CONSUMER STAPLES</v>
          </cell>
          <cell r="D119" t="str">
            <v>MS106698</v>
          </cell>
          <cell r="E119">
            <v>1.0000000000000002</v>
          </cell>
          <cell r="L119">
            <v>0</v>
          </cell>
          <cell r="M119">
            <v>0</v>
          </cell>
          <cell r="N119">
            <v>0</v>
          </cell>
          <cell r="O119">
            <v>0</v>
          </cell>
          <cell r="P119">
            <v>0</v>
          </cell>
          <cell r="Q119">
            <v>0</v>
          </cell>
          <cell r="R119">
            <v>0</v>
          </cell>
          <cell r="S119">
            <v>0</v>
          </cell>
          <cell r="T119">
            <v>0</v>
          </cell>
          <cell r="U119">
            <v>0</v>
          </cell>
          <cell r="V119">
            <v>0</v>
          </cell>
          <cell r="W119">
            <v>0</v>
          </cell>
          <cell r="X119">
            <v>0</v>
          </cell>
          <cell r="Y119">
            <v>98.708156236837752</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-98.70815623683778</v>
          </cell>
          <cell r="AQ119">
            <v>0</v>
          </cell>
          <cell r="AR119">
            <v>0</v>
          </cell>
          <cell r="AS119">
            <v>0</v>
          </cell>
          <cell r="AT119">
            <v>0</v>
          </cell>
          <cell r="AU119">
            <v>0</v>
          </cell>
          <cell r="AV119">
            <v>0</v>
          </cell>
          <cell r="AW119">
            <v>0</v>
          </cell>
          <cell r="AX119">
            <v>0</v>
          </cell>
          <cell r="AY119">
            <v>0</v>
          </cell>
          <cell r="AZ119">
            <v>0</v>
          </cell>
          <cell r="BA119">
            <v>0</v>
          </cell>
          <cell r="BB119">
            <v>0</v>
          </cell>
          <cell r="BC119">
            <v>1.7966634483589827E-14</v>
          </cell>
        </row>
        <row r="120">
          <cell r="B120" t="str">
            <v>BRWFALQM8</v>
          </cell>
          <cell r="C120" t="str">
            <v>MSCI EMU/ENERGY</v>
          </cell>
          <cell r="D120" t="str">
            <v>MS106694</v>
          </cell>
          <cell r="E120">
            <v>1</v>
          </cell>
          <cell r="L120">
            <v>0</v>
          </cell>
          <cell r="M120">
            <v>0</v>
          </cell>
          <cell r="N120">
            <v>0</v>
          </cell>
          <cell r="O120">
            <v>0</v>
          </cell>
          <cell r="P120">
            <v>0</v>
          </cell>
          <cell r="Q120">
            <v>0</v>
          </cell>
          <cell r="R120">
            <v>0</v>
          </cell>
          <cell r="S120">
            <v>0</v>
          </cell>
          <cell r="T120">
            <v>0</v>
          </cell>
          <cell r="U120">
            <v>0</v>
          </cell>
          <cell r="V120">
            <v>0</v>
          </cell>
          <cell r="W120">
            <v>0</v>
          </cell>
          <cell r="X120">
            <v>0</v>
          </cell>
          <cell r="Y120">
            <v>100</v>
          </cell>
          <cell r="Z120">
            <v>0</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-100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row>
        <row r="121">
          <cell r="B121" t="str">
            <v>BRS36ZT25</v>
          </cell>
          <cell r="C121" t="str">
            <v>JP Morgan GBI-EM Global Diversified Inde</v>
          </cell>
          <cell r="D121" t="str">
            <v>JPMGBIEGDV</v>
          </cell>
          <cell r="E121">
            <v>1</v>
          </cell>
          <cell r="L121">
            <v>0</v>
          </cell>
          <cell r="M121">
            <v>0</v>
          </cell>
          <cell r="N121">
            <v>8.1564095318162373</v>
          </cell>
          <cell r="O121">
            <v>0</v>
          </cell>
          <cell r="P121">
            <v>0</v>
          </cell>
          <cell r="Q121">
            <v>1.8144272788364513</v>
          </cell>
          <cell r="R121">
            <v>9.9948310399173028</v>
          </cell>
          <cell r="S121">
            <v>4.1923178622654733</v>
          </cell>
          <cell r="T121">
            <v>5.6715393476161777</v>
          </cell>
          <cell r="U121">
            <v>0</v>
          </cell>
          <cell r="V121">
            <v>0</v>
          </cell>
          <cell r="W121">
            <v>0.25053363965307646</v>
          </cell>
          <cell r="X121">
            <v>0</v>
          </cell>
          <cell r="Y121">
            <v>0</v>
          </cell>
          <cell r="Z121">
            <v>0</v>
          </cell>
          <cell r="AA121">
            <v>0</v>
          </cell>
          <cell r="AB121">
            <v>2.9230280988606454</v>
          </cell>
          <cell r="AC121">
            <v>9.9955182895600991</v>
          </cell>
          <cell r="AD121">
            <v>0</v>
          </cell>
          <cell r="AE121">
            <v>2.9986561696191516</v>
          </cell>
          <cell r="AF121">
            <v>0</v>
          </cell>
          <cell r="AG121">
            <v>0</v>
          </cell>
          <cell r="AH121">
            <v>0</v>
          </cell>
          <cell r="AI121">
            <v>0</v>
          </cell>
          <cell r="AJ121">
            <v>9.9955170676690788</v>
          </cell>
          <cell r="AK121">
            <v>9.9955151826553088</v>
          </cell>
          <cell r="AL121">
            <v>0</v>
          </cell>
          <cell r="AM121">
            <v>0</v>
          </cell>
          <cell r="AN121">
            <v>2.0039320345950054</v>
          </cell>
          <cell r="AO121">
            <v>0</v>
          </cell>
          <cell r="AP121">
            <v>-92.154846500640346</v>
          </cell>
          <cell r="AQ121">
            <v>0</v>
          </cell>
          <cell r="AR121">
            <v>3.9323189663499343</v>
          </cell>
          <cell r="AS121">
            <v>0.35784751288554856</v>
          </cell>
          <cell r="AT121">
            <v>0</v>
          </cell>
          <cell r="AU121">
            <v>0</v>
          </cell>
          <cell r="AV121">
            <v>0</v>
          </cell>
          <cell r="AW121">
            <v>0</v>
          </cell>
          <cell r="AX121">
            <v>9.5253690140147</v>
          </cell>
          <cell r="AY121">
            <v>1.5560791184099823</v>
          </cell>
          <cell r="AZ121">
            <v>0</v>
          </cell>
          <cell r="BA121">
            <v>0.18840250296640618</v>
          </cell>
          <cell r="BB121">
            <v>8.6026038429497813</v>
          </cell>
          <cell r="BC121">
            <v>-7.8604025865705527E-15</v>
          </cell>
        </row>
        <row r="122">
          <cell r="B122" t="str">
            <v>BRWFAGPX6</v>
          </cell>
          <cell r="C122" t="str">
            <v>MSCI EMU/COMM SVC Index</v>
          </cell>
          <cell r="D122" t="str">
            <v>MS_EMU50</v>
          </cell>
          <cell r="E122">
            <v>1</v>
          </cell>
          <cell r="L122">
            <v>0</v>
          </cell>
          <cell r="M122">
            <v>0</v>
          </cell>
          <cell r="N122">
            <v>0</v>
          </cell>
          <cell r="O122">
            <v>0</v>
          </cell>
          <cell r="P122">
            <v>0</v>
          </cell>
          <cell r="Q122">
            <v>0</v>
          </cell>
          <cell r="R122">
            <v>0</v>
          </cell>
          <cell r="S122">
            <v>0</v>
          </cell>
          <cell r="T122">
            <v>0</v>
          </cell>
          <cell r="U122">
            <v>0</v>
          </cell>
          <cell r="V122">
            <v>0</v>
          </cell>
          <cell r="W122">
            <v>0</v>
          </cell>
          <cell r="X122">
            <v>0</v>
          </cell>
          <cell r="Y122">
            <v>99.999999999999972</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-99.999999999999972</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row>
        <row r="123">
          <cell r="B123" t="str">
            <v>BRSAMQM02</v>
          </cell>
          <cell r="C123" t="str">
            <v xml:space="preserve">	AUD Cash Benchmark</v>
          </cell>
          <cell r="D123" t="str">
            <v>AUDCASHBMK</v>
          </cell>
          <cell r="E123">
            <v>1</v>
          </cell>
          <cell r="L123">
            <v>0</v>
          </cell>
          <cell r="M123">
            <v>100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-100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row>
        <row r="124">
          <cell r="B124" t="str">
            <v>BRWFAGPY4</v>
          </cell>
          <cell r="C124" t="str">
            <v>MSCI EMU/UTILITIES Index</v>
          </cell>
          <cell r="D124" t="str">
            <v>MS_EMU55</v>
          </cell>
          <cell r="E124">
            <v>0.99999999999999989</v>
          </cell>
          <cell r="L124">
            <v>0</v>
          </cell>
          <cell r="M124">
            <v>0</v>
          </cell>
          <cell r="N124">
            <v>0</v>
          </cell>
          <cell r="O124">
            <v>0</v>
          </cell>
          <cell r="P124">
            <v>0</v>
          </cell>
          <cell r="Q124">
            <v>0</v>
          </cell>
          <cell r="R124">
            <v>0</v>
          </cell>
          <cell r="S124">
            <v>0</v>
          </cell>
          <cell r="T124">
            <v>0</v>
          </cell>
          <cell r="U124">
            <v>0</v>
          </cell>
          <cell r="V124">
            <v>0</v>
          </cell>
          <cell r="W124">
            <v>0</v>
          </cell>
          <cell r="X124">
            <v>0</v>
          </cell>
          <cell r="Y124">
            <v>100.00000000000004</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-100.00000000000004</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row>
        <row r="125">
          <cell r="B125" t="str">
            <v>BRTP0QKN4</v>
          </cell>
          <cell r="C125" t="str">
            <v>Bloomberg Commodity Index Total Return (</v>
          </cell>
          <cell r="D125" t="str">
            <v>DJAB3NOUSD</v>
          </cell>
          <cell r="E125">
            <v>1</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-100.00000000000003</v>
          </cell>
          <cell r="AQ125">
            <v>0</v>
          </cell>
          <cell r="AR125">
            <v>0</v>
          </cell>
          <cell r="AS125">
            <v>0</v>
          </cell>
          <cell r="AT125">
            <v>0</v>
          </cell>
          <cell r="AU125">
            <v>0</v>
          </cell>
          <cell r="AV125">
            <v>0</v>
          </cell>
          <cell r="AW125">
            <v>0</v>
          </cell>
          <cell r="AX125">
            <v>0</v>
          </cell>
          <cell r="AY125">
            <v>0</v>
          </cell>
          <cell r="AZ125">
            <v>0</v>
          </cell>
          <cell r="BA125">
            <v>0</v>
          </cell>
          <cell r="BB125">
            <v>0</v>
          </cell>
          <cell r="BC125">
            <v>100.00000000000003</v>
          </cell>
        </row>
        <row r="126">
          <cell r="B126" t="str">
            <v>BRWFAGPV0</v>
          </cell>
          <cell r="C126" t="str">
            <v>MSCI EMU/FINANCIALS Index</v>
          </cell>
          <cell r="D126" t="str">
            <v>MS_EMU40</v>
          </cell>
          <cell r="E126">
            <v>1</v>
          </cell>
          <cell r="L126">
            <v>0</v>
          </cell>
          <cell r="M126">
            <v>0</v>
          </cell>
          <cell r="N126">
            <v>0</v>
          </cell>
          <cell r="O126">
            <v>0</v>
          </cell>
          <cell r="P126">
            <v>0</v>
          </cell>
          <cell r="Q126">
            <v>0</v>
          </cell>
          <cell r="R126">
            <v>0</v>
          </cell>
          <cell r="S126">
            <v>0</v>
          </cell>
          <cell r="T126">
            <v>0</v>
          </cell>
          <cell r="U126">
            <v>0</v>
          </cell>
          <cell r="V126">
            <v>0</v>
          </cell>
          <cell r="W126">
            <v>0</v>
          </cell>
          <cell r="X126">
            <v>0</v>
          </cell>
          <cell r="Y126">
            <v>96.732864954151481</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-100</v>
          </cell>
          <cell r="AQ126">
            <v>0</v>
          </cell>
          <cell r="AR126">
            <v>0</v>
          </cell>
          <cell r="AS126">
            <v>0</v>
          </cell>
          <cell r="AT126">
            <v>0</v>
          </cell>
          <cell r="AU126">
            <v>0</v>
          </cell>
          <cell r="AV126">
            <v>3.2671350458485131</v>
          </cell>
          <cell r="AW126">
            <v>0</v>
          </cell>
          <cell r="AX126">
            <v>0</v>
          </cell>
          <cell r="AY126">
            <v>0</v>
          </cell>
          <cell r="AZ126">
            <v>0</v>
          </cell>
          <cell r="BA126">
            <v>0</v>
          </cell>
          <cell r="BB126">
            <v>0</v>
          </cell>
          <cell r="BC126">
            <v>1.4036433190304557E-14</v>
          </cell>
        </row>
        <row r="127">
          <cell r="B127" t="str">
            <v>BRS32M524</v>
          </cell>
          <cell r="C127" t="str">
            <v>BBG Euro Government Inflation-Linked Bon</v>
          </cell>
          <cell r="D127" t="str">
            <v>BCLYEURLIL</v>
          </cell>
          <cell r="E127">
            <v>1</v>
          </cell>
          <cell r="L127">
            <v>0</v>
          </cell>
          <cell r="M127">
            <v>0</v>
          </cell>
          <cell r="N127">
            <v>0</v>
          </cell>
          <cell r="O127">
            <v>0</v>
          </cell>
          <cell r="P127">
            <v>0</v>
          </cell>
          <cell r="Q127">
            <v>0</v>
          </cell>
          <cell r="R127">
            <v>0</v>
          </cell>
          <cell r="S127">
            <v>0</v>
          </cell>
          <cell r="T127">
            <v>0</v>
          </cell>
          <cell r="U127">
            <v>0</v>
          </cell>
          <cell r="V127">
            <v>0</v>
          </cell>
          <cell r="W127">
            <v>0</v>
          </cell>
          <cell r="X127">
            <v>0</v>
          </cell>
          <cell r="Y127">
            <v>99.999999999999986</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-99.999999999999986</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row>
        <row r="128">
          <cell r="B128" t="str">
            <v>BRSMFB9T9</v>
          </cell>
          <cell r="C128" t="str">
            <v>BBG Euro Aggregate Treasury 10-15 Yr Ind</v>
          </cell>
          <cell r="D128" t="str">
            <v>B10436EUR</v>
          </cell>
          <cell r="E128">
            <v>1</v>
          </cell>
          <cell r="L128">
            <v>0</v>
          </cell>
          <cell r="M128">
            <v>0</v>
          </cell>
          <cell r="N128">
            <v>0</v>
          </cell>
          <cell r="O128">
            <v>0</v>
          </cell>
          <cell r="P128">
            <v>0</v>
          </cell>
          <cell r="Q128">
            <v>0</v>
          </cell>
          <cell r="R128">
            <v>0</v>
          </cell>
          <cell r="S128">
            <v>0</v>
          </cell>
          <cell r="T128">
            <v>0</v>
          </cell>
          <cell r="U128">
            <v>0</v>
          </cell>
          <cell r="V128">
            <v>0</v>
          </cell>
          <cell r="W128">
            <v>0</v>
          </cell>
          <cell r="X128">
            <v>0</v>
          </cell>
          <cell r="Y128">
            <v>100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-100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row>
        <row r="129">
          <cell r="B129" t="str">
            <v>BRS1PQBW1</v>
          </cell>
          <cell r="C129" t="str">
            <v>BBG Euro High Yield Index</v>
          </cell>
          <cell r="D129" t="str">
            <v>LEHEURHY</v>
          </cell>
          <cell r="E129">
            <v>1</v>
          </cell>
          <cell r="L129">
            <v>0</v>
          </cell>
          <cell r="M129">
            <v>0</v>
          </cell>
          <cell r="N129">
            <v>0</v>
          </cell>
          <cell r="O129">
            <v>0</v>
          </cell>
          <cell r="P129">
            <v>0</v>
          </cell>
          <cell r="Q129">
            <v>0</v>
          </cell>
          <cell r="R129">
            <v>0</v>
          </cell>
          <cell r="S129">
            <v>0</v>
          </cell>
          <cell r="T129">
            <v>0</v>
          </cell>
          <cell r="U129">
            <v>0</v>
          </cell>
          <cell r="V129">
            <v>0</v>
          </cell>
          <cell r="W129">
            <v>0</v>
          </cell>
          <cell r="X129">
            <v>0</v>
          </cell>
          <cell r="Y129">
            <v>100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-100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row>
        <row r="130">
          <cell r="B130" t="str">
            <v>BRSRHDSA2</v>
          </cell>
          <cell r="C130" t="str">
            <v>BBG Euro Agg corporate 1-10 years Index</v>
          </cell>
          <cell r="D130" t="str">
            <v>BEAC1-10</v>
          </cell>
          <cell r="E130">
            <v>1.0000000000000002</v>
          </cell>
          <cell r="L130">
            <v>0</v>
          </cell>
          <cell r="M130">
            <v>0</v>
          </cell>
          <cell r="N130">
            <v>0</v>
          </cell>
          <cell r="O130">
            <v>0</v>
          </cell>
          <cell r="P130">
            <v>0</v>
          </cell>
          <cell r="Q130">
            <v>0</v>
          </cell>
          <cell r="R130">
            <v>0</v>
          </cell>
          <cell r="S130">
            <v>0</v>
          </cell>
          <cell r="T130">
            <v>0</v>
          </cell>
          <cell r="U130">
            <v>0</v>
          </cell>
          <cell r="V130">
            <v>0</v>
          </cell>
          <cell r="W130">
            <v>0</v>
          </cell>
          <cell r="X130">
            <v>0</v>
          </cell>
          <cell r="Y130">
            <v>100.11422871823582</v>
          </cell>
          <cell r="Z130">
            <v>0</v>
          </cell>
          <cell r="AA130">
            <v>0</v>
          </cell>
          <cell r="AB130">
            <v>0</v>
          </cell>
          <cell r="AC130">
            <v>0</v>
          </cell>
          <cell r="AD130">
            <v>0</v>
          </cell>
          <cell r="AE130">
            <v>0</v>
          </cell>
          <cell r="AF130">
            <v>-0.11422871823582943</v>
          </cell>
          <cell r="AG130">
            <v>0</v>
          </cell>
          <cell r="AH130">
            <v>0</v>
          </cell>
          <cell r="AI130">
            <v>0</v>
          </cell>
          <cell r="AJ130">
            <v>0</v>
          </cell>
          <cell r="AK130">
            <v>0</v>
          </cell>
          <cell r="AL130">
            <v>0</v>
          </cell>
          <cell r="AM130">
            <v>0</v>
          </cell>
          <cell r="AN130">
            <v>0</v>
          </cell>
          <cell r="AO130">
            <v>0</v>
          </cell>
          <cell r="AP130">
            <v>-100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row>
        <row r="131">
          <cell r="B131" t="str">
            <v>BRS30Y5D6</v>
          </cell>
          <cell r="C131" t="str">
            <v>BBG Global Aggregate Euro Treasury Index</v>
          </cell>
          <cell r="D131" t="str">
            <v>LGA_TSYEUR</v>
          </cell>
          <cell r="E131">
            <v>1</v>
          </cell>
          <cell r="L131">
            <v>0</v>
          </cell>
          <cell r="M131">
            <v>0</v>
          </cell>
          <cell r="N131">
            <v>0</v>
          </cell>
          <cell r="O131">
            <v>0</v>
          </cell>
          <cell r="P131">
            <v>0</v>
          </cell>
          <cell r="Q131">
            <v>0</v>
          </cell>
          <cell r="R131">
            <v>0</v>
          </cell>
          <cell r="S131">
            <v>0</v>
          </cell>
          <cell r="T131">
            <v>0</v>
          </cell>
          <cell r="U131">
            <v>0</v>
          </cell>
          <cell r="V131">
            <v>0</v>
          </cell>
          <cell r="W131">
            <v>0</v>
          </cell>
          <cell r="X131">
            <v>0</v>
          </cell>
          <cell r="Y131">
            <v>100.00000000000003</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-100.00000000000003</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row>
        <row r="132">
          <cell r="B132" t="str">
            <v>BRS8KCBC6</v>
          </cell>
          <cell r="C132" t="str">
            <v>BBG Euro-Agg: Treasury 7-10 Index</v>
          </cell>
          <cell r="D132" t="str">
            <v>BEAGTS7-10</v>
          </cell>
          <cell r="E132">
            <v>0.99999999999999989</v>
          </cell>
          <cell r="L132">
            <v>0</v>
          </cell>
          <cell r="M132">
            <v>0</v>
          </cell>
          <cell r="N132">
            <v>0</v>
          </cell>
          <cell r="O132">
            <v>0</v>
          </cell>
          <cell r="P132">
            <v>0</v>
          </cell>
          <cell r="Q132">
            <v>0</v>
          </cell>
          <cell r="R132">
            <v>0</v>
          </cell>
          <cell r="S132">
            <v>0</v>
          </cell>
          <cell r="T132">
            <v>0</v>
          </cell>
          <cell r="U132">
            <v>0</v>
          </cell>
          <cell r="V132">
            <v>0</v>
          </cell>
          <cell r="W132">
            <v>0</v>
          </cell>
          <cell r="X132">
            <v>0</v>
          </cell>
          <cell r="Y132">
            <v>100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-100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row>
        <row r="133">
          <cell r="B133" t="str">
            <v>BRSE58DH6</v>
          </cell>
          <cell r="C133" t="str">
            <v>BBG Euro Government Inflation-Linked 1-1</v>
          </cell>
          <cell r="D133" t="str">
            <v>BCEUHY1-10</v>
          </cell>
          <cell r="E133">
            <v>1</v>
          </cell>
          <cell r="L133">
            <v>0</v>
          </cell>
          <cell r="M133">
            <v>0</v>
          </cell>
          <cell r="N133">
            <v>0</v>
          </cell>
          <cell r="O133">
            <v>0</v>
          </cell>
          <cell r="P133">
            <v>0</v>
          </cell>
          <cell r="Q133">
            <v>0</v>
          </cell>
          <cell r="R133">
            <v>0</v>
          </cell>
          <cell r="S133">
            <v>0</v>
          </cell>
          <cell r="T133">
            <v>0</v>
          </cell>
          <cell r="U133">
            <v>0</v>
          </cell>
          <cell r="V133">
            <v>0</v>
          </cell>
          <cell r="W133">
            <v>0</v>
          </cell>
          <cell r="X133">
            <v>0</v>
          </cell>
          <cell r="Y133">
            <v>100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-100</v>
          </cell>
          <cell r="AQ133">
            <v>0</v>
          </cell>
          <cell r="AR133">
            <v>0</v>
          </cell>
          <cell r="AS133">
            <v>0</v>
          </cell>
          <cell r="AT133">
            <v>0</v>
          </cell>
          <cell r="AU133">
            <v>0</v>
          </cell>
          <cell r="AV133">
            <v>0</v>
          </cell>
          <cell r="AW133">
            <v>0</v>
          </cell>
          <cell r="AX133">
            <v>0</v>
          </cell>
          <cell r="AY133">
            <v>0</v>
          </cell>
          <cell r="AZ133">
            <v>0</v>
          </cell>
          <cell r="BA133">
            <v>0</v>
          </cell>
          <cell r="BB133">
            <v>0</v>
          </cell>
          <cell r="BC133">
            <v>0</v>
          </cell>
        </row>
        <row r="134">
          <cell r="B134" t="str">
            <v>BRS8FDB71</v>
          </cell>
          <cell r="C134" t="str">
            <v>BBG Euro Agg Treasury 5-7 Yr Index</v>
          </cell>
          <cell r="D134" t="str">
            <v>BEURTY5-7</v>
          </cell>
          <cell r="E134">
            <v>1</v>
          </cell>
          <cell r="L134">
            <v>0</v>
          </cell>
          <cell r="M134">
            <v>0</v>
          </cell>
          <cell r="N134">
            <v>0</v>
          </cell>
          <cell r="O134">
            <v>0</v>
          </cell>
          <cell r="P134">
            <v>0</v>
          </cell>
          <cell r="Q134">
            <v>0</v>
          </cell>
          <cell r="R134">
            <v>0</v>
          </cell>
          <cell r="S134">
            <v>0</v>
          </cell>
          <cell r="T134">
            <v>0</v>
          </cell>
          <cell r="U134">
            <v>0</v>
          </cell>
          <cell r="V134">
            <v>0</v>
          </cell>
          <cell r="W134">
            <v>0</v>
          </cell>
          <cell r="X134">
            <v>0</v>
          </cell>
          <cell r="Y134">
            <v>100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-100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row>
        <row r="135">
          <cell r="B135" t="str">
            <v>BRTDPY7D4</v>
          </cell>
          <cell r="C135" t="str">
            <v>BBG Euro Treasury 1-15 Year Index</v>
          </cell>
          <cell r="D135" t="str">
            <v>B20717EUR</v>
          </cell>
          <cell r="E135">
            <v>1</v>
          </cell>
          <cell r="L135">
            <v>0</v>
          </cell>
          <cell r="M135">
            <v>0</v>
          </cell>
          <cell r="N135">
            <v>0</v>
          </cell>
          <cell r="O135">
            <v>0</v>
          </cell>
          <cell r="P135">
            <v>0</v>
          </cell>
          <cell r="Q135">
            <v>0</v>
          </cell>
          <cell r="R135">
            <v>0</v>
          </cell>
          <cell r="S135">
            <v>0</v>
          </cell>
          <cell r="T135">
            <v>0</v>
          </cell>
          <cell r="U135">
            <v>0</v>
          </cell>
          <cell r="V135">
            <v>0</v>
          </cell>
          <cell r="W135">
            <v>0</v>
          </cell>
          <cell r="X135">
            <v>0</v>
          </cell>
          <cell r="Y135">
            <v>100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-100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row>
        <row r="136">
          <cell r="B136" t="str">
            <v>BRSAMQMK8</v>
          </cell>
          <cell r="C136" t="str">
            <v>CHF Cash Benchmark</v>
          </cell>
          <cell r="D136" t="str">
            <v>CHFCASHBMK</v>
          </cell>
          <cell r="E136">
            <v>1</v>
          </cell>
          <cell r="L136">
            <v>0</v>
          </cell>
          <cell r="M136">
            <v>0</v>
          </cell>
          <cell r="N136">
            <v>0</v>
          </cell>
          <cell r="O136">
            <v>0</v>
          </cell>
          <cell r="P136">
            <v>100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-100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row>
        <row r="137">
          <cell r="B137" t="str">
            <v>BRS716RG6</v>
          </cell>
          <cell r="C137" t="str">
            <v>BBG Euro Agg Government 1-5 year Index</v>
          </cell>
          <cell r="D137" t="str">
            <v>LEURTY1-5</v>
          </cell>
          <cell r="E137">
            <v>1</v>
          </cell>
          <cell r="L137">
            <v>0</v>
          </cell>
          <cell r="M137">
            <v>0</v>
          </cell>
          <cell r="N137">
            <v>0</v>
          </cell>
          <cell r="O137">
            <v>0</v>
          </cell>
          <cell r="P137">
            <v>0</v>
          </cell>
          <cell r="Q137">
            <v>0</v>
          </cell>
          <cell r="R137">
            <v>0</v>
          </cell>
          <cell r="S137">
            <v>0</v>
          </cell>
          <cell r="T137">
            <v>0</v>
          </cell>
          <cell r="U137">
            <v>-1.8160877819042156E-2</v>
          </cell>
          <cell r="V137">
            <v>0</v>
          </cell>
          <cell r="W137">
            <v>0</v>
          </cell>
          <cell r="X137">
            <v>0</v>
          </cell>
          <cell r="Y137">
            <v>100.01816087781904</v>
          </cell>
          <cell r="Z137">
            <v>0</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-100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row>
        <row r="138">
          <cell r="B138" t="str">
            <v>BRWFAGPZ1</v>
          </cell>
          <cell r="C138" t="str">
            <v>MSCI EMU/REAL ESTATE Index (FX only)</v>
          </cell>
          <cell r="D138" t="str">
            <v>MS_EMURES</v>
          </cell>
          <cell r="E138">
            <v>1.0000000000000004</v>
          </cell>
          <cell r="L138">
            <v>0</v>
          </cell>
          <cell r="M138">
            <v>0</v>
          </cell>
          <cell r="N138">
            <v>0</v>
          </cell>
          <cell r="O138">
            <v>0</v>
          </cell>
          <cell r="P138">
            <v>0</v>
          </cell>
          <cell r="Q138">
            <v>0</v>
          </cell>
          <cell r="R138">
            <v>0</v>
          </cell>
          <cell r="S138">
            <v>0</v>
          </cell>
          <cell r="T138">
            <v>0</v>
          </cell>
          <cell r="U138">
            <v>0</v>
          </cell>
          <cell r="V138">
            <v>0</v>
          </cell>
          <cell r="W138">
            <v>0</v>
          </cell>
          <cell r="X138">
            <v>0</v>
          </cell>
          <cell r="Y138">
            <v>100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-100</v>
          </cell>
          <cell r="AQ138">
            <v>0</v>
          </cell>
          <cell r="AR138">
            <v>0</v>
          </cell>
          <cell r="AS138">
            <v>0</v>
          </cell>
          <cell r="AT138">
            <v>0</v>
          </cell>
          <cell r="AU138">
            <v>0</v>
          </cell>
          <cell r="AV138">
            <v>0</v>
          </cell>
          <cell r="AW138">
            <v>0</v>
          </cell>
          <cell r="AX138">
            <v>0</v>
          </cell>
          <cell r="AY138">
            <v>0</v>
          </cell>
          <cell r="AZ138">
            <v>0</v>
          </cell>
          <cell r="BA138">
            <v>0</v>
          </cell>
          <cell r="BB138">
            <v>0</v>
          </cell>
          <cell r="BC138">
            <v>0</v>
          </cell>
        </row>
        <row r="139">
          <cell r="B139" t="str">
            <v>BRSALQVX1</v>
          </cell>
          <cell r="C139" t="str">
            <v>EURO Cash Benchmark</v>
          </cell>
          <cell r="D139" t="str">
            <v>EURCASHBMK</v>
          </cell>
          <cell r="E139">
            <v>1</v>
          </cell>
          <cell r="L139">
            <v>0</v>
          </cell>
          <cell r="M139">
            <v>0</v>
          </cell>
          <cell r="N139">
            <v>0</v>
          </cell>
          <cell r="O139">
            <v>0</v>
          </cell>
          <cell r="P139">
            <v>0</v>
          </cell>
          <cell r="Q139">
            <v>0</v>
          </cell>
          <cell r="R139">
            <v>0</v>
          </cell>
          <cell r="S139">
            <v>0</v>
          </cell>
          <cell r="T139">
            <v>0</v>
          </cell>
          <cell r="U139">
            <v>0</v>
          </cell>
          <cell r="V139">
            <v>0</v>
          </cell>
          <cell r="W139">
            <v>0</v>
          </cell>
          <cell r="X139">
            <v>0</v>
          </cell>
          <cell r="Y139">
            <v>100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-100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row>
        <row r="140">
          <cell r="B140" t="str">
            <v>.CMAHFDH</v>
          </cell>
          <cell r="C140" t="str">
            <v xml:space="preserve">AGGREGATE PORTFOLIO FOR THE GN ACCOUNTS </v>
          </cell>
          <cell r="D140" t="str">
            <v xml:space="preserve">GN-AGG    </v>
          </cell>
          <cell r="E140">
            <v>1.0000000000000002</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row>
      </sheetData>
      <sheetData sheetId="14" refreshError="1"/>
      <sheetData sheetId="15" refreshError="1"/>
      <sheetData sheetId="16" refreshError="1"/>
      <sheetData sheetId="17" refreshError="1"/>
      <sheetData sheetId="1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heetName val="SUMM"/>
      <sheetName val="NAMES"/>
    </sheetNames>
    <sheetDataSet>
      <sheetData sheetId="0" refreshError="1">
        <row r="29">
          <cell r="B29">
            <v>365</v>
          </cell>
        </row>
      </sheetData>
      <sheetData sheetId="1">
        <row r="22">
          <cell r="D22" t="str">
            <v/>
          </cell>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CustomG_US"/>
      <sheetName val="CustomG_EU"/>
      <sheetName val="CustomG_Small_cap"/>
      <sheetName val="CustomG_CHN_USD"/>
      <sheetName val="CustomG_CHN_A"/>
      <sheetName val="CustomG_JPN"/>
      <sheetName val="CustomG_EM"/>
      <sheetName val="CustomG_AUS"/>
      <sheetName val="CustomG_UK"/>
      <sheetName val="TopDown_data_US"/>
      <sheetName val="TopDown_data_JPN"/>
      <sheetName val="topdown_data_UK"/>
      <sheetName val="TopDown_data_CHN_USD"/>
      <sheetName val="TopDown_data_EM"/>
      <sheetName val="TopDown_data_EU"/>
      <sheetName val="TopDown_data_AUS"/>
      <sheetName val="TopDown_data_CHN_A"/>
      <sheetName val="TopDown_data_Small_cap"/>
      <sheetName val="Scenario results"/>
      <sheetName val="ASRs"/>
      <sheetName val="BBG prices"/>
      <sheetName val="FE0"/>
      <sheetName val="Sheet1"/>
      <sheetName val="Sheet2"/>
    </sheetNames>
    <sheetDataSet>
      <sheetData sheetId="0"/>
      <sheetData sheetId="1">
        <row r="12">
          <cell r="C12">
            <v>4517.1109999999999</v>
          </cell>
        </row>
        <row r="14">
          <cell r="C14">
            <v>5.5E-2</v>
          </cell>
        </row>
        <row r="18">
          <cell r="C18">
            <v>6.4683596578557503E-2</v>
          </cell>
        </row>
        <row r="59">
          <cell r="F59">
            <v>5.9330705962510111E-2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ntrol"/>
      <sheetName val="IS"/>
      <sheetName val="BS"/>
      <sheetName val="CF"/>
      <sheetName val="Key Ratios"/>
      <sheetName val="Valuation"/>
      <sheetName val="Charts"/>
      <sheetName val="PER Relative"/>
      <sheetName val="PER Band"/>
      <sheetName val="EV-EBIT Data"/>
      <sheetName val="EV-EBIT Band"/>
      <sheetName val="P&amp;L"/>
      <sheetName val="Balance Sheet"/>
      <sheetName val="Cash Flow"/>
      <sheetName val="DCF"/>
      <sheetName val="Associates"/>
      <sheetName val="Interim"/>
      <sheetName val="Fixed Assets"/>
      <sheetName val="Risk Free Rates"/>
      <sheetName val="Module_Main"/>
      <sheetName val="VALUE TABLE"/>
      <sheetName val="Breakdown"/>
      <sheetName val="Hysan"/>
      <sheetName val="PE by Fuel &amp; IPCC 2050-Format"/>
    </sheetNames>
    <sheetDataSet>
      <sheetData sheetId="0"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37.0.602255966</v>
          </cell>
        </row>
        <row r="18">
          <cell r="D18" t="str">
            <v>E:\GLOSS\FRANK\1070.XLS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1</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ERPCHANGE"/>
      <sheetName val="CF20"/>
      <sheetName val="Regular table for inputs"/>
      <sheetName val="Topdown_data_US"/>
      <sheetName val="Topdown_data_JP"/>
      <sheetName val="Topdown_data_EU"/>
      <sheetName val="Topdown_data_EM"/>
      <sheetName val="Topdown_data_UK"/>
      <sheetName val="Topdown_data_CHN_USD"/>
      <sheetName val="Topdown_data_CHN_A"/>
      <sheetName val="CustomG_US"/>
      <sheetName val="CustomG_JP"/>
      <sheetName val="CustomG_EU"/>
      <sheetName val="CustomG_EM"/>
      <sheetName val="CustomG_UK"/>
      <sheetName val="CustomG_CHN_A"/>
      <sheetName val="CustomG_CHN_USD"/>
      <sheetName val="CustomG_Energy"/>
      <sheetName val="CustomG_Materials"/>
      <sheetName val="CustomG_Industrials"/>
      <sheetName val="CustomG_ConsDisc"/>
      <sheetName val="CustomG_ConsStaples"/>
      <sheetName val="CustomG_Healthcare"/>
      <sheetName val="CustomG_Financials"/>
      <sheetName val="CustomG_IT"/>
      <sheetName val="CustomG_Comms"/>
      <sheetName val="CustomG_Utilities"/>
      <sheetName val="Scenario results"/>
      <sheetName val="ASRs"/>
      <sheetName val="BBG prices"/>
      <sheetName val="Topdown_data_Energy"/>
      <sheetName val="Topdown_data_Materials"/>
      <sheetName val="Topdown_data_Industrials"/>
      <sheetName val="Topdown_data_ConsDisc"/>
      <sheetName val="Topdown_data_ConsStaples"/>
      <sheetName val="Topdown_data_Healthcare"/>
      <sheetName val="Topdown_data_Financials"/>
      <sheetName val="Topdown_data_IT"/>
      <sheetName val="Topdown_data_Comms"/>
      <sheetName val="Topdown_data_Utilities"/>
      <sheetName val="FE0"/>
    </sheetNames>
    <sheetDataSet>
      <sheetData sheetId="0" refreshError="1"/>
      <sheetData sheetId="1" refreshError="1">
        <row r="12">
          <cell r="C12">
            <v>1276.78</v>
          </cell>
        </row>
        <row r="50">
          <cell r="F50">
            <v>7.0173682151927402E-2</v>
          </cell>
        </row>
      </sheetData>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sheetName val="trade_genhol"/>
      <sheetName val="trade_mom"/>
      <sheetName val="CPI_genhol"/>
      <sheetName val="CPI"/>
      <sheetName val="trade"/>
      <sheetName val="GDP"/>
      <sheetName val="GDP table"/>
      <sheetName val="mineral_ore"/>
      <sheetName val="ceic"/>
    </sheetNames>
    <sheetDataSet>
      <sheetData sheetId="0" refreshError="1"/>
      <sheetData sheetId="1"/>
      <sheetData sheetId="2"/>
      <sheetData sheetId="3"/>
      <sheetData sheetId="4"/>
      <sheetData sheetId="5"/>
      <sheetData sheetId="6"/>
      <sheetData sheetId="7"/>
      <sheetData sheetId="8">
        <row r="4">
          <cell r="H4">
            <v>38383</v>
          </cell>
        </row>
      </sheetData>
      <sheetData sheetId="9">
        <row r="5">
          <cell r="A5">
            <v>40909</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5 energy performance"/>
      <sheetName val="Repricing"/>
      <sheetName val="Sector_data"/>
      <sheetName val="Energy demand"/>
      <sheetName val="Capex"/>
    </sheetNames>
    <sheetDataSet>
      <sheetData sheetId="0">
        <row r="7">
          <cell r="B7" t="e">
            <v>#NAME?</v>
          </cell>
        </row>
      </sheetData>
      <sheetData sheetId="1"/>
      <sheetData sheetId="2"/>
      <sheetData sheetId="3"/>
      <sheetData sheetId="4">
        <row r="22">
          <cell r="D22" t="str">
            <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rice move from peak"/>
      <sheetName val="6m returns 2000"/>
      <sheetName val="6m returns 2007"/>
      <sheetName val="1976-90"/>
      <sheetName val="Bear markets"/>
      <sheetName val="Bear markets (2)"/>
      <sheetName val="Bear markets MD"/>
      <sheetName val="equities bonds"/>
      <sheetName val="Indices"/>
      <sheetName val="Inflation"/>
      <sheetName val="Inflation_yoy"/>
      <sheetName val="yield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2">
          <cell r="I2">
            <v>1981</v>
          </cell>
        </row>
      </sheetData>
      <sheetData sheetId="8">
        <row r="5">
          <cell r="U5">
            <v>1973</v>
          </cell>
        </row>
      </sheetData>
      <sheetData sheetId="9" refreshError="1"/>
      <sheetData sheetId="10" refreshError="1"/>
      <sheetData sheetId="11" refreshError="1"/>
      <sheetData sheetId="1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W US Treasuries"/>
      <sheetName val="CMAs"/>
      <sheetName val="Front end repricing"/>
      <sheetName val="Core PCE YoY"/>
      <sheetName val="Inflation"/>
      <sheetName val="US Policy rate path"/>
      <sheetName val="Europe policy rate path"/>
      <sheetName val="USD YC"/>
      <sheetName val="EUR YC"/>
      <sheetName val="EPS"/>
      <sheetName val="Data chart ERP China US"/>
      <sheetName val="China shock 2"/>
      <sheetName val="Appendix tables"/>
      <sheetName val="Sheet3"/>
    </sheetNames>
    <sheetDataSet>
      <sheetData sheetId="0" refreshError="1">
        <row r="6">
          <cell r="B6" t="str">
            <v>Name</v>
          </cell>
        </row>
      </sheetData>
      <sheetData sheetId="1"/>
      <sheetData sheetId="2" refreshError="1">
        <row r="2">
          <cell r="E2">
            <v>0</v>
          </cell>
        </row>
      </sheetData>
      <sheetData sheetId="3" refreshError="1">
        <row r="1">
          <cell r="A1">
            <v>0</v>
          </cell>
        </row>
      </sheetData>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Sheet1"/>
      <sheetName val="Chart - Trailing Earnings"/>
      <sheetName val="Forward Earnings"/>
      <sheetName val="China Bond Charts"/>
      <sheetName val="Alternate EM Spread Chart"/>
      <sheetName val="EM CB Policy ve Market Pricing"/>
      <sheetName val="FI"/>
      <sheetName val="FI (2)"/>
    </sheetNames>
    <sheetDataSet>
      <sheetData sheetId="0"/>
      <sheetData sheetId="1"/>
      <sheetData sheetId="2"/>
      <sheetData sheetId="3"/>
      <sheetData sheetId="4"/>
      <sheetData sheetId="5" refreshError="1">
        <row r="1">
          <cell r="A1" t="str">
            <v>Manual Calculation</v>
          </cell>
        </row>
      </sheetData>
      <sheetData sheetId="6"/>
      <sheetData sheetId="7"/>
      <sheetData sheetId="8"/>
      <sheetData sheetId="9"/>
      <sheetData sheetId="1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equity bond scatter"/>
      <sheetName val="3 Timeline"/>
      <sheetName val="4 regime change"/>
      <sheetName val="5 reallocation"/>
      <sheetName val="7 Labor"/>
      <sheetName val="7 Bev curve"/>
      <sheetName val="8 Production constraints"/>
      <sheetName val="8 Labor shifts"/>
      <sheetName val="11 GDP vol"/>
      <sheetName val="11 S&amp;P 500 vol"/>
      <sheetName val="13 pricier debt"/>
      <sheetName val="14 Corp leverage"/>
      <sheetName val="15 Capex"/>
      <sheetName val="16 Climate repricing"/>
      <sheetName val="18 earnings"/>
      <sheetName val="18 S&amp;P 2Yr"/>
      <sheetName val="19 4% yields"/>
      <sheetName val="20 DM central banks"/>
      <sheetName val="21 yield breakdown"/>
      <sheetName val="21 equity bond"/>
      <sheetName val="22 Breakevens"/>
      <sheetName val="22 Energy burden"/>
      <sheetName val="23 EM perf"/>
      <sheetName val="23 EM vs US repricing"/>
      <sheetName val="27 private markets"/>
    </sheetNames>
    <sheetDataSet>
      <sheetData sheetId="0">
        <row r="5">
          <cell r="N5" t="str">
            <v>Type</v>
          </cell>
          <cell r="Q5" t="str">
            <v>Type</v>
          </cell>
        </row>
        <row r="7">
          <cell r="B7" t="str">
            <v>Name</v>
          </cell>
          <cell r="G7" t="str">
            <v>Name</v>
          </cell>
        </row>
      </sheetData>
      <sheetData sheetId="1">
        <row r="4">
          <cell r="D4" t="str">
            <v>Name</v>
          </cell>
        </row>
      </sheetData>
      <sheetData sheetId="2">
        <row r="6">
          <cell r="C6">
            <v>23924</v>
          </cell>
        </row>
      </sheetData>
      <sheetData sheetId="3">
        <row r="3">
          <cell r="R3" t="str">
            <v>Name</v>
          </cell>
        </row>
      </sheetData>
      <sheetData sheetId="4">
        <row r="1">
          <cell r="B1" t="str">
            <v>1953</v>
          </cell>
        </row>
      </sheetData>
      <sheetData sheetId="5">
        <row r="9">
          <cell r="B9" t="str">
            <v>Name</v>
          </cell>
        </row>
      </sheetData>
      <sheetData sheetId="6">
        <row r="1">
          <cell r="J1" t="str">
            <v>1870-1914</v>
          </cell>
        </row>
      </sheetData>
      <sheetData sheetId="7"/>
      <sheetData sheetId="8"/>
      <sheetData sheetId="9"/>
      <sheetData sheetId="10"/>
      <sheetData sheetId="11"/>
      <sheetData sheetId="12"/>
      <sheetData sheetId="13"/>
      <sheetData sheetId="14">
        <row r="6">
          <cell r="A6" t="str">
            <v>Name</v>
          </cell>
        </row>
      </sheetData>
      <sheetData sheetId="15">
        <row r="10">
          <cell r="B10" t="str">
            <v>Name</v>
          </cell>
        </row>
      </sheetData>
      <sheetData sheetId="16"/>
      <sheetData sheetId="17">
        <row r="10">
          <cell r="S10" t="str">
            <v>Name</v>
          </cell>
        </row>
      </sheetData>
      <sheetData sheetId="18">
        <row r="5">
          <cell r="C5" t="str">
            <v>Name</v>
          </cell>
          <cell r="J5" t="str">
            <v>Name</v>
          </cell>
        </row>
      </sheetData>
      <sheetData sheetId="19"/>
      <sheetData sheetId="20">
        <row r="8">
          <cell r="E8" t="str">
            <v>Name</v>
          </cell>
        </row>
      </sheetData>
      <sheetData sheetId="21">
        <row r="5">
          <cell r="D5" t="str">
            <v>U.S.</v>
          </cell>
        </row>
      </sheetData>
      <sheetData sheetId="22">
        <row r="8">
          <cell r="C8" t="str">
            <v>Name</v>
          </cell>
        </row>
      </sheetData>
      <sheetData sheetId="23"/>
      <sheetData sheetId="2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 rate path"/>
      <sheetName val="GDP paths"/>
      <sheetName val="Inflation"/>
      <sheetName val="New Nominal- left"/>
      <sheetName val="New Nominal-right"/>
      <sheetName val="Employment"/>
      <sheetName val="ECB"/>
      <sheetName val="China"/>
      <sheetName val="Real yield"/>
      <sheetName val="Rate hike pricing"/>
      <sheetName val="China tactical"/>
      <sheetName val="EMD"/>
      <sheetName val="Equities - earnings"/>
      <sheetName val="Equities - vaccination"/>
      <sheetName val="Yield breakdown"/>
      <sheetName val="US yield curve"/>
      <sheetName val="Europe yield curve"/>
      <sheetName val="SAA - ERP vs spreads"/>
      <sheetName val="CGBs strategic case"/>
      <sheetName val="climate repricing (2)"/>
      <sheetName val="SAA views (Q2 vs Q1)"/>
    </sheetNames>
    <sheetDataSet>
      <sheetData sheetId="0">
        <row r="4">
          <cell r="B4" t="str">
            <v>Name</v>
          </cell>
        </row>
      </sheetData>
      <sheetData sheetId="1">
        <row r="5">
          <cell r="A5">
            <v>43831</v>
          </cell>
        </row>
      </sheetData>
      <sheetData sheetId="2"/>
      <sheetData sheetId="3"/>
      <sheetData sheetId="4"/>
      <sheetData sheetId="5"/>
      <sheetData sheetId="6"/>
      <sheetData sheetId="7"/>
      <sheetData sheetId="8"/>
      <sheetData sheetId="9"/>
      <sheetData sheetId="10"/>
      <sheetData sheetId="11"/>
      <sheetData sheetId="12">
        <row r="1">
          <cell r="A1" t="str">
            <v>Name</v>
          </cell>
        </row>
      </sheetData>
      <sheetData sheetId="13"/>
      <sheetData sheetId="14">
        <row r="4">
          <cell r="B4" t="str">
            <v>Name</v>
          </cell>
        </row>
      </sheetData>
      <sheetData sheetId="15"/>
      <sheetData sheetId="16"/>
      <sheetData sheetId="17">
        <row r="6">
          <cell r="C6" t="str">
            <v>U.S.</v>
          </cell>
        </row>
      </sheetData>
      <sheetData sheetId="18"/>
      <sheetData sheetId="19"/>
      <sheetData sheetId="20"/>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loomberg data for FI"/>
      <sheetName val="Equities ERP"/>
      <sheetName val="Chart - ERP vs spreads"/>
      <sheetName val="Chart - Trailing Earnings"/>
      <sheetName val="Forward Earnings"/>
      <sheetName val="Chart - MSCI ACWI &amp; Level"/>
      <sheetName val="FI"/>
      <sheetName val="FI (2)"/>
    </sheetNames>
    <sheetDataSet>
      <sheetData sheetId="0"/>
      <sheetData sheetId="1"/>
      <sheetData sheetId="2"/>
      <sheetData sheetId="3" refreshError="1">
        <row r="1">
          <cell r="A1" t="str">
            <v>Name</v>
          </cell>
        </row>
      </sheetData>
      <sheetData sheetId="4" refreshError="1">
        <row r="1">
          <cell r="A1" t="str">
            <v>Name</v>
          </cell>
        </row>
      </sheetData>
      <sheetData sheetId="5">
        <row r="1">
          <cell r="G1" t="str">
            <v>TREND EPS</v>
          </cell>
        </row>
      </sheetData>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sheet"/>
      <sheetName val="5Y5Y"/>
      <sheetName val="Yields"/>
      <sheetName val="5y5y inflation vs EUR 10y"/>
    </sheetNames>
    <sheetDataSet>
      <sheetData sheetId="0"/>
      <sheetData sheetId="1"/>
      <sheetData sheetId="2"/>
      <sheetData sheetId="3">
        <row r="7">
          <cell r="X7" t="str">
            <v>EUR 5y5y inflation</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5 inflation bands"/>
      <sheetName val="P6 China exports IP"/>
      <sheetName val="P6 China investment"/>
      <sheetName val="P7 commodities"/>
      <sheetName val="P8 Infrastructure"/>
      <sheetName val="P9 Margins"/>
      <sheetName val="P10 FF Geopolitics"/>
      <sheetName val="P11 Equity risk premium"/>
      <sheetName val="P12 Green transition"/>
      <sheetName val="P13 Cyclicals"/>
    </sheetNames>
    <sheetDataSet>
      <sheetData sheetId="0" refreshError="1"/>
      <sheetData sheetId="1" refreshError="1"/>
      <sheetData sheetId="2" refreshError="1"/>
      <sheetData sheetId="3" refreshError="1">
        <row r="15">
          <cell r="B15" t="str">
            <v>Name</v>
          </cell>
        </row>
      </sheetData>
      <sheetData sheetId="4"/>
      <sheetData sheetId="5" refreshError="1">
        <row r="2">
          <cell r="I2" t="str">
            <v>Name</v>
          </cell>
        </row>
        <row r="9">
          <cell r="B9" t="str">
            <v>Name</v>
          </cell>
        </row>
      </sheetData>
      <sheetData sheetId="6" refreshError="1">
        <row r="8">
          <cell r="A8" t="str">
            <v>Name</v>
          </cell>
        </row>
      </sheetData>
      <sheetData sheetId="7" refreshError="1"/>
      <sheetData sheetId="8" refreshError="1"/>
      <sheetData sheetId="9"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Equity Bond returns"/>
      <sheetName val="P5 Living with inflation"/>
      <sheetName val="P6 Cutting through confusion"/>
      <sheetName val="Good services"/>
      <sheetName val="P7 Mismatched resources"/>
      <sheetName val="P8 Commodity prices"/>
      <sheetName val="P9 FF Geopolitics"/>
      <sheetName val="P10 FF China"/>
      <sheetName val="P12 Yield curves"/>
    </sheetNames>
    <sheetDataSet>
      <sheetData sheetId="0">
        <row r="5">
          <cell r="N5" t="str">
            <v>Type</v>
          </cell>
          <cell r="Q5" t="str">
            <v>Type</v>
          </cell>
        </row>
        <row r="7">
          <cell r="B7" t="str">
            <v>Name</v>
          </cell>
          <cell r="G7" t="str">
            <v>Name</v>
          </cell>
        </row>
      </sheetData>
      <sheetData sheetId="1">
        <row r="2">
          <cell r="S2" t="str">
            <v>Name</v>
          </cell>
        </row>
      </sheetData>
      <sheetData sheetId="2"/>
      <sheetData sheetId="3">
        <row r="6">
          <cell r="B6" t="str">
            <v>Name</v>
          </cell>
        </row>
      </sheetData>
      <sheetData sheetId="4"/>
      <sheetData sheetId="5">
        <row r="4">
          <cell r="AG4" t="str">
            <v>Type</v>
          </cell>
          <cell r="AJ4" t="str">
            <v>X</v>
          </cell>
          <cell r="AK4" t="str">
            <v>X</v>
          </cell>
        </row>
        <row r="5">
          <cell r="B5" t="str">
            <v>Name</v>
          </cell>
          <cell r="S5" t="str">
            <v>Name</v>
          </cell>
        </row>
      </sheetData>
      <sheetData sheetId="6">
        <row r="8">
          <cell r="A8" t="str">
            <v>Name</v>
          </cell>
        </row>
      </sheetData>
      <sheetData sheetId="7">
        <row r="4">
          <cell r="B4" t="str">
            <v>China</v>
          </cell>
        </row>
      </sheetData>
      <sheetData sheetId="8"/>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equity bond scatter"/>
      <sheetName val=" 6 7 GDP paths"/>
      <sheetName val="8 China Inflation"/>
      <sheetName val="8 China GDP"/>
      <sheetName val="9 Supply chain"/>
      <sheetName val="10 US PCE"/>
      <sheetName val="11 US inflation decomp"/>
      <sheetName val="11 EA inflation decomp"/>
      <sheetName val="12 new nominal"/>
      <sheetName val="13 Labor market"/>
      <sheetName val="14 U.S. LFPR"/>
      <sheetName val="14 US unemployment"/>
      <sheetName val="16 energy prices"/>
      <sheetName val="18 net-zero China impact"/>
      <sheetName val="19 RealYields"/>
      <sheetName val="19 earnings"/>
      <sheetName val="20 earnings growth"/>
      <sheetName val="20 ERP"/>
      <sheetName val="21 China TSF"/>
      <sheetName val="21 China ERP"/>
      <sheetName val="22 5y5y inflation vs  10y"/>
      <sheetName val="23 5y5y Inflation"/>
      <sheetName val="SAA - ERP vs spreads"/>
    </sheetNames>
    <sheetDataSet>
      <sheetData sheetId="0">
        <row r="5">
          <cell r="N5" t="str">
            <v>Type</v>
          </cell>
        </row>
      </sheetData>
      <sheetData sheetId="1"/>
      <sheetData sheetId="2"/>
      <sheetData sheetId="3"/>
      <sheetData sheetId="4"/>
      <sheetData sheetId="5">
        <row r="2">
          <cell r="A2" t="str">
            <v>Name</v>
          </cell>
        </row>
      </sheetData>
      <sheetData sheetId="6"/>
      <sheetData sheetId="7"/>
      <sheetData sheetId="8"/>
      <sheetData sheetId="9">
        <row r="6">
          <cell r="A6" t="str">
            <v>Name</v>
          </cell>
        </row>
      </sheetData>
      <sheetData sheetId="10">
        <row r="2">
          <cell r="B2" t="str">
            <v>Name</v>
          </cell>
        </row>
      </sheetData>
      <sheetData sheetId="11">
        <row r="6">
          <cell r="A6" t="str">
            <v>Name</v>
          </cell>
        </row>
      </sheetData>
      <sheetData sheetId="12">
        <row r="4">
          <cell r="F4" t="str">
            <v>EU carbon (ETS)</v>
          </cell>
        </row>
      </sheetData>
      <sheetData sheetId="13"/>
      <sheetData sheetId="14">
        <row r="3">
          <cell r="V3" t="str">
            <v>Name</v>
          </cell>
        </row>
      </sheetData>
      <sheetData sheetId="15">
        <row r="1">
          <cell r="A1" t="str">
            <v>Name</v>
          </cell>
          <cell r="N1" t="str">
            <v>Name</v>
          </cell>
          <cell r="T1" t="str">
            <v>Name</v>
          </cell>
        </row>
      </sheetData>
      <sheetData sheetId="16">
        <row r="1">
          <cell r="R1" t="str">
            <v>Name</v>
          </cell>
        </row>
        <row r="124">
          <cell r="C124" t="str">
            <v>Name</v>
          </cell>
        </row>
      </sheetData>
      <sheetData sheetId="17"/>
      <sheetData sheetId="18"/>
      <sheetData sheetId="19"/>
      <sheetData sheetId="20">
        <row r="6">
          <cell r="BA6" t="str">
            <v>Name</v>
          </cell>
          <cell r="BF6" t="str">
            <v>Name</v>
          </cell>
        </row>
      </sheetData>
      <sheetData sheetId="21">
        <row r="6">
          <cell r="A6" t="str">
            <v>Name</v>
          </cell>
        </row>
      </sheetData>
      <sheetData sheetId="22"/>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 --&gt;"/>
      <sheetName val="Inflation Expectations"/>
      <sheetName val="Activity GDP levels hardcoded"/>
      <sheetName val="China GDP and projection"/>
      <sheetName val="ECB asset purchases"/>
      <sheetName val="Inflation and forecasts"/>
      <sheetName val="US prices"/>
      <sheetName val="US rate paths (3)"/>
      <sheetName val="US rate paths (2)"/>
      <sheetName val="US rate paths"/>
      <sheetName val="US rate path expectations"/>
      <sheetName val="Europe rate path expectations"/>
      <sheetName val="US NFP and participation"/>
      <sheetName val="US labor shortfall"/>
      <sheetName val="US LFPR"/>
      <sheetName val="EUR employment data updated"/>
      <sheetName val="CN fisc and credit impulse"/>
      <sheetName val="China govt spending"/>
      <sheetName val="Sheet2"/>
      <sheetName val="EM vs DM vaccination"/>
      <sheetName val="TAA --&gt;"/>
      <sheetName val="Growth vs real rates"/>
      <sheetName val="Vaccination"/>
      <sheetName val="OLD - ERR DS"/>
      <sheetName val="NEW-ERRs (DS)"/>
      <sheetName val="Not taper tantrum"/>
      <sheetName val="no taper tantrum"/>
      <sheetName val="Real yield"/>
      <sheetName val="GBI-EM FX"/>
      <sheetName val="EMD"/>
      <sheetName val="Yield breakdown"/>
      <sheetName val="German yield breakdown"/>
      <sheetName val="China - great struggle"/>
      <sheetName val="Topdown_data_EM"/>
      <sheetName val="Virus - cases and deaths"/>
      <sheetName val="SAA --&gt;"/>
      <sheetName val="US yield curve"/>
      <sheetName val="Europe yield curve"/>
      <sheetName val="SAA - ERP vs spreads"/>
      <sheetName val="Sector earnings"/>
      <sheetName val="CGBs strategic case"/>
      <sheetName val="climate repricing"/>
      <sheetName val="SAA views (granularity)"/>
      <sheetName val="SAA views (Q2 vs Q1)"/>
      <sheetName val="Japan ERRs"/>
      <sheetName val="Japan - ERR DS"/>
    </sheetNames>
    <sheetDataSet>
      <sheetData sheetId="0"/>
      <sheetData sheetId="1"/>
      <sheetData sheetId="2"/>
      <sheetData sheetId="3"/>
      <sheetData sheetId="4"/>
      <sheetData sheetId="5"/>
      <sheetData sheetId="6">
        <row r="92">
          <cell r="A92">
            <v>39083</v>
          </cell>
        </row>
      </sheetData>
      <sheetData sheetId="7">
        <row r="5">
          <cell r="C5" t="str">
            <v>Name</v>
          </cell>
        </row>
      </sheetData>
      <sheetData sheetId="8">
        <row r="5">
          <cell r="C5" t="str">
            <v>Name</v>
          </cell>
        </row>
      </sheetData>
      <sheetData sheetId="9">
        <row r="5">
          <cell r="C5" t="str">
            <v>Name</v>
          </cell>
          <cell r="AC5" t="str">
            <v>Name</v>
          </cell>
        </row>
        <row r="6">
          <cell r="N6" t="str">
            <v>Name</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sheetData sheetId="26"/>
      <sheetData sheetId="27"/>
      <sheetData sheetId="28"/>
      <sheetData sheetId="29">
        <row r="8">
          <cell r="G8" t="str">
            <v>EM local currency</v>
          </cell>
        </row>
      </sheetData>
      <sheetData sheetId="30"/>
      <sheetData sheetId="31"/>
      <sheetData sheetId="32"/>
      <sheetData sheetId="33"/>
      <sheetData sheetId="34"/>
      <sheetData sheetId="35"/>
      <sheetData sheetId="36">
        <row r="1">
          <cell r="B1">
            <v>0.25</v>
          </cell>
        </row>
      </sheetData>
      <sheetData sheetId="37">
        <row r="1">
          <cell r="B1">
            <v>0.25</v>
          </cell>
        </row>
      </sheetData>
      <sheetData sheetId="38">
        <row r="6">
          <cell r="C6" t="str">
            <v>U.S.</v>
          </cell>
        </row>
      </sheetData>
      <sheetData sheetId="39"/>
      <sheetData sheetId="40">
        <row r="10">
          <cell r="B10" t="str">
            <v>US 10Y</v>
          </cell>
        </row>
      </sheetData>
      <sheetData sheetId="41"/>
      <sheetData sheetId="42"/>
      <sheetData sheetId="43"/>
      <sheetData sheetId="44"/>
      <sheetData sheetId="45"/>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Developed Equity Performance"/>
      <sheetName val="Emerging Eq YTD"/>
      <sheetName val="Country PE Ratios"/>
      <sheetName val="Sources of Return YTD"/>
      <sheetName val="Sources of Return 12m"/>
      <sheetName val="Equity Factors Style"/>
      <sheetName val="Frontier Equities YTD"/>
      <sheetName val="Real Earnings vs Trend"/>
      <sheetName val="Global Eq PE Ratio"/>
      <sheetName val="Global Equity Risk Premium"/>
      <sheetName val="Sector Valuation Performance"/>
      <sheetName val="Sector earnings momentum"/>
      <sheetName val="Index Performance"/>
      <sheetName val="QE Market Reaction"/>
      <sheetName val="VIX"/>
      <sheetName val="Regional PE Ratios"/>
      <sheetName val="Cyclically Adj. PE Ratio"/>
      <sheetName val="Regional Earnings"/>
      <sheetName val="US Earnings Estimates"/>
      <sheetName val="Banks Overview"/>
    </sheetNames>
    <sheetDataSet>
      <sheetData sheetId="0"/>
      <sheetData sheetId="1"/>
      <sheetData sheetId="2"/>
      <sheetData sheetId="3"/>
      <sheetData sheetId="4"/>
      <sheetData sheetId="5"/>
      <sheetData sheetId="6"/>
      <sheetData sheetId="7"/>
      <sheetData sheetId="8"/>
      <sheetData sheetId="9"/>
      <sheetData sheetId="10">
        <row r="3">
          <cell r="C3" t="str">
            <v>MSCI World Earnings Yield</v>
          </cell>
        </row>
      </sheetData>
      <sheetData sheetId="11"/>
      <sheetData sheetId="12"/>
      <sheetData sheetId="13"/>
      <sheetData sheetId="14"/>
      <sheetData sheetId="15"/>
      <sheetData sheetId="16" refreshError="1"/>
      <sheetData sheetId="17"/>
      <sheetData sheetId="18"/>
      <sheetData sheetId="19" refreshError="1"/>
      <sheetData sheetId="20"/>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China FX Reserves"/>
      <sheetName val="China-Related Commodities"/>
      <sheetName val="House Prices"/>
      <sheetName val="Import Export Growth"/>
      <sheetName val="Inflation"/>
      <sheetName val="Interbank Rates &amp; NPLs"/>
      <sheetName val="Investment and Consumption"/>
      <sheetName val="Macro Indicators"/>
      <sheetName val="Market Overview"/>
      <sheetName val="Monetary Policy"/>
      <sheetName val="Money Supply, Loans, GDP"/>
      <sheetName val="PMI and GDP Growth"/>
      <sheetName val="Social Financing"/>
      <sheetName val="Yuan Dollar"/>
      <sheetName val="Economic Overview"/>
      <sheetName val="Direct Exposure"/>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sheetData sheetId="13"/>
      <sheetData sheetId="14"/>
      <sheetData sheetId="15"/>
      <sheetData sheetId="16"/>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umer confidence"/>
      <sheetName val="p3 regime change"/>
      <sheetName val="p4 pricier debt"/>
      <sheetName val="p5 higher risk premia"/>
      <sheetName val="P6 GDP vol"/>
      <sheetName val="P6 S&amp;P 500 vol"/>
      <sheetName val="P7 reallocation"/>
      <sheetName val="P8 Green repricing"/>
      <sheetName val="P9 euro spreads"/>
      <sheetName val="p10 EM"/>
      <sheetName val="p11 yield spike"/>
      <sheetName val="p12 SAA"/>
      <sheetName val="p13 private markets"/>
      <sheetName val="Breakevens"/>
    </sheetNames>
    <sheetDataSet>
      <sheetData sheetId="0"/>
      <sheetData sheetId="1"/>
      <sheetData sheetId="2">
        <row r="8">
          <cell r="C8">
            <v>59.9</v>
          </cell>
        </row>
      </sheetData>
      <sheetData sheetId="3"/>
      <sheetData sheetId="4">
        <row r="39">
          <cell r="G39">
            <v>25569</v>
          </cell>
        </row>
      </sheetData>
      <sheetData sheetId="5">
        <row r="124">
          <cell r="G124">
            <v>25569</v>
          </cell>
        </row>
      </sheetData>
      <sheetData sheetId="6"/>
      <sheetData sheetId="7"/>
      <sheetData sheetId="8">
        <row r="7">
          <cell r="B7" t="str">
            <v>Name</v>
          </cell>
        </row>
      </sheetData>
      <sheetData sheetId="9"/>
      <sheetData sheetId="10"/>
      <sheetData sheetId="11"/>
      <sheetData sheetId="12">
        <row r="2">
          <cell r="B2" t="str">
            <v>Private Equity</v>
          </cell>
        </row>
      </sheetData>
      <sheetData sheetId="13">
        <row r="9">
          <cell r="E9">
            <v>40907</v>
          </cell>
        </row>
      </sheetData>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DP and credit"/>
      <sheetName val="Deficit"/>
      <sheetName val="China Inflation"/>
      <sheetName val="Electricity"/>
      <sheetName val="One-week repo"/>
      <sheetName val="Sheet1"/>
      <sheetName val="Sheet2"/>
      <sheetName val="Sheet3"/>
    </sheetNames>
    <sheetDataSet>
      <sheetData sheetId="0"/>
      <sheetData sheetId="1"/>
      <sheetData sheetId="2"/>
      <sheetData sheetId="3"/>
      <sheetData sheetId="4"/>
      <sheetData sheetId="5"/>
      <sheetData sheetId="6"/>
      <sheetData sheetId="7"/>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st Update"/>
      <sheetName val="Bond Volatility - ML MOVE"/>
      <sheetName val="Credit Spreads"/>
      <sheetName val="EM Debt (Local)"/>
      <sheetName val="EM Debt (EMBI)"/>
      <sheetName val="Yields over 4"/>
      <sheetName val="Euro area 10Y Yields"/>
      <sheetName val="2Y Yields"/>
      <sheetName val="10y gov bond yields"/>
      <sheetName val="Index Performance"/>
      <sheetName val="Primary Dealer Holdings"/>
      <sheetName val="Global 10Y Govt. Bond Yields"/>
      <sheetName val="Gov. Bond Returns YTD"/>
      <sheetName val="Government Bond Yield Curves"/>
      <sheetName val="Bond Yield Curves Through Time"/>
      <sheetName val="Real Gov. Bond Yields"/>
      <sheetName val="US 10 year Treasury breakdown"/>
      <sheetName val="Euro Japan bond yield breakdown"/>
      <sheetName val="Munis"/>
      <sheetName val="Banks CDS"/>
      <sheetName val="Eurozone 10Y Yields"/>
      <sheetName val="10Y Yields US DE UK J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ets in review"/>
      <sheetName val="Chart of the week"/>
    </sheetNames>
    <sheetDataSet>
      <sheetData sheetId="0" refreshError="1"/>
      <sheetData sheetId="1" refreshError="1">
        <row r="9">
          <cell r="C9" t="e">
            <v>#NAME?</v>
          </cell>
        </row>
      </sheetData>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od prices"/>
      <sheetName val="Food CPI"/>
      <sheetName val="Food CPI (2)"/>
      <sheetName val="BBG Commodity price"/>
      <sheetName val="Insitution confidence"/>
      <sheetName val="China attitudes"/>
      <sheetName val="Spreads"/>
      <sheetName val="Sheet2"/>
      <sheetName val="Share of VR mortgages"/>
      <sheetName val="Private debt and DSR"/>
      <sheetName val="BIS house pr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43">
          <cell r="N43">
            <v>36161</v>
          </cell>
        </row>
      </sheetData>
      <sheetData sheetId="1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res"/>
      <sheetName val="Weights"/>
      <sheetName val="Index"/>
      <sheetName val="Daily"/>
      <sheetName val="Weekly"/>
      <sheetName val="Since Inception"/>
      <sheetName val="YTD 2021"/>
      <sheetName val="Performance"/>
      <sheetName val="Dashboard"/>
      <sheetName val="Report"/>
      <sheetName val="For email"/>
    </sheetNames>
    <sheetDataSet>
      <sheetData sheetId="0">
        <row r="2">
          <cell r="D2">
            <v>1</v>
          </cell>
        </row>
      </sheetData>
      <sheetData sheetId="1" refreshError="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A Weights Log"/>
      <sheetName val="Summary"/>
      <sheetName val="BII Scores Log"/>
      <sheetName val="Sheet1"/>
      <sheetName val="Changes to weights"/>
      <sheetName val="Allocation %"/>
      <sheetName val="Index"/>
      <sheetName val="Daily Returns"/>
      <sheetName val="Returns (Rel)"/>
      <sheetName val="C. Returns (Rel)"/>
      <sheetName val="Attribution_"/>
      <sheetName val="Rel. Daily Returns"/>
      <sheetName val="Rank Rel. Daily Returns"/>
      <sheetName val="Portfolio Returns"/>
      <sheetName val="Daily P&amp;L"/>
      <sheetName val="Monthly P&amp;L X"/>
      <sheetName val="Portfolio Return Rank"/>
      <sheetName val="D. P&amp;L"/>
      <sheetName val="W. P&amp;L"/>
      <sheetName val="M. P&amp;L"/>
      <sheetName val="Monthly P&amp;L"/>
      <sheetName val="Chart"/>
      <sheetName val="abs %"/>
      <sheetName val="Std dev vol"/>
      <sheetName val="EMWA vol-D"/>
      <sheetName val="EMWA vol-W"/>
      <sheetName val="3m correlation"/>
      <sheetName val="3m correlation (R)"/>
      <sheetName val="The Charts"/>
      <sheetName val="Dashboard"/>
      <sheetName val="Chart (A)"/>
      <sheetName val="C. Returns (Abs)"/>
      <sheetName val="Sheet2"/>
      <sheetName val="Chart (A)_"/>
      <sheetName val="Aggregate"/>
      <sheetName val="Chart (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EST_TABLE"/>
      <sheetName val="Index_codes"/>
      <sheetName val="Index_payout"/>
      <sheetName val="Index_gth"/>
      <sheetName val="CHART"/>
      <sheetName val="Index_TE1"/>
      <sheetName val="Index_FE1"/>
      <sheetName val="Index_price"/>
      <sheetName val="TRI"/>
      <sheetName val="TopDown.csv"/>
      <sheetName val="Check it matches -&gt;"/>
      <sheetName val="small cap"/>
      <sheetName val="Charts -&gt;"/>
      <sheetName val="Index gth"/>
      <sheetName val="CMA vs. Historic returns"/>
      <sheetName val="PE ratio"/>
      <sheetName val="Index_gth_CHART"/>
      <sheetName val="12m ahead EPS growth chart"/>
      <sheetName val="earnings growth"/>
      <sheetName val="ERP_0"/>
      <sheetName val="Plowback"/>
      <sheetName val="SUMMARY"/>
      <sheetName val="Sheet2"/>
    </sheetNames>
    <sheetDataSet>
      <sheetData sheetId="0"/>
      <sheetData sheetId="1"/>
      <sheetData sheetId="2"/>
      <sheetData sheetId="3"/>
      <sheetData sheetId="4"/>
      <sheetData sheetId="5">
        <row r="2">
          <cell r="A2"/>
        </row>
      </sheetData>
      <sheetData sheetId="6">
        <row r="2">
          <cell r="A2"/>
        </row>
      </sheetData>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ternative_US_ASR"/>
      <sheetName val="Rate hike cycles"/>
      <sheetName val="US_Policy_rules"/>
      <sheetName val="Other regions"/>
      <sheetName val="Final_calibration"/>
    </sheetNames>
    <sheetDataSet>
      <sheetData sheetId="0"/>
      <sheetData sheetId="1"/>
      <sheetData sheetId="2">
        <row r="11">
          <cell r="I11">
            <v>0.25</v>
          </cell>
        </row>
      </sheetData>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ccine rollout"/>
      <sheetName val="Income PCE and savings"/>
      <sheetName val="Contribution to GDP"/>
      <sheetName val="GDP revisions - Covid vs GFC"/>
      <sheetName val="Activity GDP level projections"/>
      <sheetName val="Supply chains - order backlogs"/>
      <sheetName val="US GDP paths"/>
      <sheetName val="New nominal"/>
      <sheetName val="US rate expectations"/>
      <sheetName val="ECB rate expectations"/>
      <sheetName val="US inflation catch-up"/>
      <sheetName val="Fed Inflation bands"/>
      <sheetName val="US prices"/>
      <sheetName val="Shock vs fiscal response"/>
      <sheetName val="US EA inflation and forecasts"/>
      <sheetName val="European Unemployment"/>
      <sheetName val="European employment"/>
      <sheetName val="EA fiscal momentum"/>
      <sheetName val="Financial conditions"/>
      <sheetName val="Asset performance"/>
      <sheetName val="TAA - TIPS and TSY"/>
      <sheetName val="TAA - UK vs Europe"/>
      <sheetName val="TAA - European cyclicality"/>
      <sheetName val="TAA - UK vs Europe (2)"/>
      <sheetName val="TAA - Japan"/>
      <sheetName val="TAA - EM revision ratio"/>
      <sheetName val="SAA - ERP vs spreads"/>
      <sheetName val="SAA - climate aware CMAs"/>
      <sheetName val="SAA tilts"/>
      <sheetName val="SAA - family office"/>
    </sheetNames>
    <sheetDataSet>
      <sheetData sheetId="0"/>
      <sheetData sheetId="1"/>
      <sheetData sheetId="2"/>
      <sheetData sheetId="3">
        <row r="5">
          <cell r="B5" t="str">
            <v>January 08</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tting Global Pie 2014"/>
      <sheetName val="Cutting Global Pie 2021"/>
      <sheetName val="Cutting Global Pie 2021 ex Chin"/>
      <sheetName val="Data 2021"/>
      <sheetName val="Haver pull"/>
    </sheetNames>
    <sheetDataSet>
      <sheetData sheetId="0"/>
      <sheetData sheetId="1"/>
      <sheetData sheetId="2"/>
      <sheetData sheetId="3" refreshError="1"/>
      <sheetData sheetId="4">
        <row r="19">
          <cell r="P19">
            <v>43.10340644634951</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B39C81A-C01B-4A2B-89D3-FFCC9A1C1432}" name="TableIncomeCalculations11" displayName="TableIncomeCalculations11" ref="G2:K18" totalsRowShown="0" headerRowDxfId="68" dataDxfId="67">
  <autoFilter ref="G2:K18" xr:uid="{66C60019-787B-4EAD-BA34-E0802DDFB733}"/>
  <tableColumns count="5">
    <tableColumn id="7" xr3:uid="{8B7065AD-EE25-43A8-AD36-7F858010D06E}" name="GrossMonthlyInflationAdjustedP2" dataDxfId="66" dataCellStyle="Comma"/>
    <tableColumn id="3" xr3:uid="{468E8C77-808D-47D8-9620-DAE4AA103C42}" name="GrossMonthlySalaryP2" dataDxfId="65"/>
    <tableColumn id="6" xr3:uid="{D3884BDF-B431-4558-BA05-18B4C47BECFA}" name="SwitchP2" dataDxfId="64">
      <calculatedColumnFormula>JobHopping[[#This Row],[SwitchP2Static]]</calculatedColumnFormula>
    </tableColumn>
    <tableColumn id="1" xr3:uid="{F1BC4200-99C5-48D8-B2E6-C28809BDFBDB}" name="Inverse" dataDxfId="63">
      <calculatedColumnFormula array="1">INDEX($I$3:$I$18,ROWS($I$3:$I$18)+ROW($I$3)-ROW())</calculatedColumnFormula>
    </tableColumn>
    <tableColumn id="2" xr3:uid="{C7426D13-D565-4C1E-8353-7F3C717D23BB}" name="Year" dataDxfId="62"/>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EB9BCFE-893B-479E-979D-A7F02BF7F424}" name="Table11" displayName="Table11" ref="M2:O18" totalsRowShown="0" headerRowDxfId="61" dataDxfId="60" headerRowCellStyle="Comma" dataCellStyle="Comma">
  <autoFilter ref="M2:O18" xr:uid="{4EB9BCFE-893B-479E-979D-A7F02BF7F424}"/>
  <tableColumns count="3">
    <tableColumn id="1" xr3:uid="{39FEB815-2BA3-42D1-A6AD-61EE115E057F}" name="Year" dataDxfId="59" dataCellStyle="Comma">
      <calculatedColumnFormula array="1">INDEX($K$3:$K$18,ROWS($K$3:$K$18)+ROW($K$3)-ROW())</calculatedColumnFormula>
    </tableColumn>
    <tableColumn id="2" xr3:uid="{12F5105B-BB46-419E-8E35-B086C6B77C0D}" name="GrossMonthlyInflationAdjustedP2" dataDxfId="58" dataCellStyle="Comma">
      <calculatedColumnFormula array="1">INDEX($G$3:$G$18,ROWS($G$3:$G$18)+ROW($G$3)-ROW())</calculatedColumnFormula>
    </tableColumn>
    <tableColumn id="3" xr3:uid="{388EC025-043D-429A-B22C-AC2DD3805FE1}" name="GrossMonthlySalaryP2" dataDxfId="57" dataCellStyle="Comma">
      <calculatedColumnFormula array="1">INDEX($H$3:$H$18,ROWS($H$3:$H$18)+ROW($H$3)-ROW())</calculatedColumnFormula>
    </tableColumn>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E56BD61-AB28-418B-A7E4-9C2421B91B8B}" name="TableIncome" displayName="TableIncome" ref="B2:F53" totalsRowShown="0" headerRowDxfId="56" dataDxfId="55">
  <autoFilter ref="B2:F53" xr:uid="{FCF7B272-2B0E-4976-9393-E73F3487686E}"/>
  <tableColumns count="5">
    <tableColumn id="2" xr3:uid="{0498A719-AEC9-446E-8B8E-0AB0C44DDED3}" name="Year" dataDxfId="54"/>
    <tableColumn id="5" xr3:uid="{CC8B1647-0351-43F5-A9B1-47A7C65801F2}" name="SalaryP1" dataDxfId="53">
      <calculatedColumnFormula>(TableIncomeCalculations[[#This Row],[NetMonthlySalaryP1]]*12)</calculatedColumnFormula>
    </tableColumn>
    <tableColumn id="6" xr3:uid="{D9247035-5056-46B8-9FE0-90DD69539CD9}" name="SalaryP2" dataDxfId="52" dataCellStyle="Comma">
      <calculatedColumnFormula>(TableIncomeCalculations[[#This Row],[NetMonthlySalaryP2]]*12)</calculatedColumnFormula>
    </tableColumn>
    <tableColumn id="1" xr3:uid="{00C8C4D5-91FF-46B4-A492-F0182F8DA0F4}" name="InvestmentP1" dataDxfId="51">
      <calculatedColumnFormula>TableIncome[[#This Row],[SalaryP1]]*$I$7</calculatedColumnFormula>
    </tableColumn>
    <tableColumn id="3" xr3:uid="{FB2E9633-4667-4315-B59A-930552C59B31}" name="InvestmentP2" dataDxfId="50">
      <calculatedColumnFormula>TableIncome[[#This Row],[SalaryP2]]*$I$7</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C60019-787B-4EAD-BA34-E0802DDFB733}" name="TableIncomeCalculations" displayName="TableIncomeCalculations" ref="M2:T53" totalsRowShown="0" headerRowDxfId="49" dataDxfId="48">
  <autoFilter ref="M2:T53" xr:uid="{66C60019-787B-4EAD-BA34-E0802DDFB733}"/>
  <tableColumns count="8">
    <tableColumn id="2" xr3:uid="{597EF245-E0B4-45E7-84DC-2E03B8DBE357}" name="NetMonthlySalaryP1" dataDxfId="47">
      <calculatedColumnFormula>'Net Salary P1'!BI2</calculatedColumnFormula>
    </tableColumn>
    <tableColumn id="4" xr3:uid="{8A82F2FC-F2AD-4354-9FB7-60D07BF5DE26}" name="NetMonthlySalaryP2" dataDxfId="46" dataCellStyle="Comma">
      <calculatedColumnFormula>'Net Salary P2'!BI2</calculatedColumnFormula>
    </tableColumn>
    <tableColumn id="8" xr3:uid="{6469E6A3-AC69-4952-9321-8FE8162EAAF5}" name="GrossMonthlyInflationAdjustedP1" dataDxfId="45" dataCellStyle="Comma"/>
    <tableColumn id="7" xr3:uid="{CFDE7FCC-D951-4C66-8933-9D7A2554B969}" name="GrossMonthlyInflationAdjustedP2" dataDxfId="44" dataCellStyle="Comma"/>
    <tableColumn id="1" xr3:uid="{C0C732EC-361A-46E0-89E3-08CAE72DBD66}" name="GrossMonthlySalaryP1" dataDxfId="43" dataCellStyle="Comma"/>
    <tableColumn id="3" xr3:uid="{C5CF3F3B-E102-4C03-AE19-3CC173DDD008}" name="GrossMonthlySalaryP2" dataDxfId="42"/>
    <tableColumn id="5" xr3:uid="{FC28F95D-C1B7-458D-BD0C-E085DE566194}" name="SwitchP1" dataDxfId="41">
      <calculatedColumnFormula>JobHopping[[#This Row],[SwitchP1Static]]</calculatedColumnFormula>
    </tableColumn>
    <tableColumn id="6" xr3:uid="{85FE9DAF-5AA1-4B37-AB45-C3AD3B6E6CC3}" name="SwitchP2" dataDxfId="40">
      <calculatedColumnFormula>JobHopping[[#This Row],[SwitchP2Static]]</calculatedColumnFormula>
    </tableColumn>
  </tableColumns>
  <tableStyleInfo name="TableStyleLight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2FF2D4F-428C-466F-8C40-CD97C53327FB}" name="JobHopping" displayName="JobHopping" ref="B2:G78" totalsRowShown="0" headerRowDxfId="39" dataDxfId="38">
  <autoFilter ref="B2:G78" xr:uid="{F2FF2D4F-428C-466F-8C40-CD97C53327FB}"/>
  <tableColumns count="6">
    <tableColumn id="1" xr3:uid="{693674CC-D425-46E9-84F4-DC2C74DDA885}" name="Age" dataDxfId="37"/>
    <tableColumn id="2" xr3:uid="{0C578F60-3352-4A6E-80A5-4BD450385FDB}" name="Age Group" dataDxfId="36">
      <calculatedColumnFormula>IF(B3&lt;30, "25-29 år", IF(B3&lt;35, "30-34 år", IF(B3&lt;40, "35-39 år", IF(B3&lt;45, "40-44 år", IF(B3&lt;50, "45-49 år", IF(B3&lt;55, "50-54 år", IF(B3&lt;60, "55-59 år", IF(B3&lt;65, "60-64 år", "65+ år"))))))))</calculatedColumnFormula>
    </tableColumn>
    <tableColumn id="5" xr3:uid="{6B84A72A-055D-41E9-BBC7-389E144ADCF3}" name="FH/FW" dataDxfId="35">
      <calculatedColumnFormula>_xlfn.XLOOKUP(C3,S:S,T:T)</calculatedColumnFormula>
    </tableColumn>
    <tableColumn id="6" xr3:uid="{D9FFF900-4664-40B3-8190-EA72525447EA}" name="Switch" dataDxfId="34">
      <calculatedColumnFormula>IF(OR(JobHopping[[#This Row],[Age]]=25,JobHopping[[#This Row],[Age]]&gt;69),"N",IF(AND(E1="N",E2="N", RAND()&lt;=D3), "Y", "N"))</calculatedColumnFormula>
    </tableColumn>
    <tableColumn id="8" xr3:uid="{691319CE-230D-4FBF-BE6A-2D428D532435}" name="SwitchP1Static" dataDxfId="33"/>
    <tableColumn id="9" xr3:uid="{898CE31A-679C-499C-AEA0-26B20AF30FB2}" name="SwitchP2Static" dataDxfId="32"/>
  </tableColumns>
  <tableStyleInfo name="TableStyleLight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0FD3679-1FAE-42ED-9371-E916E1BA67DA}" name="JobHoppingRatios" displayName="JobHoppingRatios" ref="M2:Q101" totalsRowShown="0" headerRowDxfId="31" dataDxfId="30">
  <autoFilter ref="M2:Q101" xr:uid="{B0FD3679-1FAE-42ED-9371-E916E1BA67DA}"/>
  <tableColumns count="5">
    <tableColumn id="1" xr3:uid="{EED2352B-0CD2-49FA-8E8F-B19F866F9084}" name="Year" dataDxfId="29"/>
    <tableColumn id="2" xr3:uid="{125F1890-3292-40A5-B52B-65BC24DCD8A4}" name="Age Group" dataDxfId="28"/>
    <tableColumn id="3" xr3:uid="{ADFD9F1D-95FD-48CF-AAA7-252CEF08E617}" name="Finance Workers" dataDxfId="27">
      <calculatedColumnFormula>_xlfn.XLOOKUP(M3&amp;"-"&amp;N3,'Djøf Finance Workers'!D:D,'Djøf Finance Workers'!C:C,0,1)</calculatedColumnFormula>
    </tableColumn>
    <tableColumn id="4" xr3:uid="{3B11AAA6-9DF8-45E1-AF3C-A28F474CCCE6}" name="Finance Hoppers" dataDxfId="26">
      <calculatedColumnFormula>_xlfn.XLOOKUP(M3&amp;"-"&amp;N3,'Djøf Finance Hoppers'!D:D,'Djøf Finance Hoppers'!C:C,0,1)</calculatedColumnFormula>
    </tableColumn>
    <tableColumn id="5" xr3:uid="{797F4F22-806C-479D-A67E-5B23C5721AD9}" name="FH/FW" dataDxfId="25">
      <calculatedColumnFormula>IF(O3&gt;0, P3/O3, 0)</calculatedColumnFormula>
    </tableColumn>
  </tableColumns>
  <tableStyleInfo name="TableStyleLight1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4F731F5-9A61-4A3C-A0CD-4F447986E27B}" name="JobHoppingAvg" displayName="JobHoppingAvg" ref="S2:T11" totalsRowShown="0" headerRowDxfId="24" dataDxfId="23">
  <autoFilter ref="S2:T11" xr:uid="{B4F731F5-9A61-4A3C-A0CD-4F447986E27B}"/>
  <tableColumns count="2">
    <tableColumn id="1" xr3:uid="{1D4D0898-5851-47E3-97D4-09C98B70723D}" name="Age Group" dataDxfId="22"/>
    <tableColumn id="2" xr3:uid="{966F8474-449D-442D-A7AA-ED23DFA6D69D}" name="FH/FV" dataDxfId="21">
      <calculatedColumnFormula>SUMIFS(Q:Q,N:N,S3)/(MAX($M$3:$M$101)-MIN($M$3:$M$101))</calculatedColumnFormula>
    </tableColumn>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6188FC4-483E-4C27-BFF6-3D5A9BEC7A02}" name="GoalsP1" displayName="GoalsP1" ref="B2:F5" totalsRowShown="0" headerRowDxfId="20" dataDxfId="19">
  <autoFilter ref="B2:F5" xr:uid="{E6188FC4-483E-4C27-BFF6-3D5A9BEC7A02}"/>
  <tableColumns count="5">
    <tableColumn id="1" xr3:uid="{B2C6C0FB-6BCC-4A61-B677-3B10161A53EF}" name="Goal Info" dataDxfId="18"/>
    <tableColumn id="2" xr3:uid="{C536957A-8C0E-4218-9336-E98D68589B96}" name="GOAL A" dataDxfId="17"/>
    <tableColumn id="3" xr3:uid="{119B5EE3-3581-4D04-BB55-BCC2E702193C}" name="GOAL B" dataDxfId="16"/>
    <tableColumn id="4" xr3:uid="{6D7BF2C5-D2EB-4CDD-A1E3-639A94B04FB3}" name="GOAL C" dataDxfId="15"/>
    <tableColumn id="5" xr3:uid="{FC141F07-39CA-4E36-BE88-AE8259A28409}" name="GOAL D" dataDxfId="14"/>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296D22-18E1-44D3-A59A-E5E6D672089D}" name="GoalsP2" displayName="GoalsP2" ref="B7:F10" totalsRowShown="0" headerRowDxfId="13" dataDxfId="12">
  <autoFilter ref="B7:F10" xr:uid="{06296D22-18E1-44D3-A59A-E5E6D672089D}"/>
  <tableColumns count="5">
    <tableColumn id="1" xr3:uid="{B3C79FB9-971E-4621-BADB-62E0B6C842D7}" name="Goal Info" dataDxfId="11"/>
    <tableColumn id="2" xr3:uid="{08F0C2B6-02D7-4431-924D-D9E7C41049B7}" name="GOAL A" dataDxfId="10"/>
    <tableColumn id="3" xr3:uid="{7D5C117D-0D45-489D-81E8-DBEB6FE69CF3}" name="GOAL B" dataDxfId="9"/>
    <tableColumn id="4" xr3:uid="{900DE77F-2D16-4E30-8E7F-638FF98F2CDB}" name="GOAL C" dataDxfId="8"/>
    <tableColumn id="5" xr3:uid="{B0C50B12-C738-4419-9074-3A1A9E37C8AC}" name="GOAL D" dataDxfId="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783A5-8F67-4AB2-BD42-18DDAE7F363D}" name="TableLoop" displayName="TableLoop" ref="B2:F53" totalsRowShown="0" headerRowDxfId="6" dataDxfId="5">
  <autoFilter ref="B2:F53" xr:uid="{FCF7B272-2B0E-4976-9393-E73F3487686E}"/>
  <tableColumns count="5">
    <tableColumn id="1" xr3:uid="{D58C7B30-A492-4B74-BDE4-021BA5FDD463}" name="N" dataDxfId="4"/>
    <tableColumn id="2" xr3:uid="{9476476E-39E2-48A9-976E-32DDB37BA54B}" name="Year" dataDxfId="3"/>
    <tableColumn id="3" xr3:uid="{32E1CBDE-916A-4A47-B5C5-B62DE0AFD6F2}" name="AgeP1" dataDxfId="2">
      <calculatedColumnFormula>D2+1</calculatedColumnFormula>
    </tableColumn>
    <tableColumn id="4" xr3:uid="{6AC3787E-719B-482A-96B1-472E58822CE9}" name="AgeP2" dataDxfId="1">
      <calculatedColumnFormula>E2+1</calculatedColumnFormula>
    </tableColumn>
    <tableColumn id="5" xr3:uid="{5A11FA80-8E16-4604-BB85-0D6642EE67E7}" name="LoopStatu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businessindenmark.virk.dk/guidance/atp-livslang-pension-bid/atp-employer/atp-contribution-rates2024/"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CF78F-1C0D-4BC5-A49C-ED9FDDBB5B8B}">
  <sheetPr>
    <tabColor theme="7" tint="0.79998168889431442"/>
  </sheetPr>
  <dimension ref="B1:B53"/>
  <sheetViews>
    <sheetView workbookViewId="0"/>
  </sheetViews>
  <sheetFormatPr defaultColWidth="8.7265625" defaultRowHeight="14.5" x14ac:dyDescent="0.35"/>
  <cols>
    <col min="1" max="1" width="3.26953125" style="2" customWidth="1"/>
    <col min="2" max="2" width="49.1796875" style="2" customWidth="1"/>
    <col min="3" max="3" width="9.453125" style="2" customWidth="1"/>
    <col min="4" max="16384" width="8.7265625" style="2"/>
  </cols>
  <sheetData>
    <row r="1" spans="2:2" ht="23.5" x14ac:dyDescent="0.55000000000000004">
      <c r="B1" s="10" t="s">
        <v>208</v>
      </c>
    </row>
    <row r="5" spans="2:2" ht="23.5" x14ac:dyDescent="0.55000000000000004">
      <c r="B5" s="10" t="s">
        <v>237</v>
      </c>
    </row>
    <row r="6" spans="2:2" x14ac:dyDescent="0.35">
      <c r="B6" s="64" t="s">
        <v>242</v>
      </c>
    </row>
    <row r="7" spans="2:2" x14ac:dyDescent="0.35">
      <c r="B7" s="65" t="s">
        <v>47</v>
      </c>
    </row>
    <row r="8" spans="2:2" x14ac:dyDescent="0.35">
      <c r="B8" s="74" t="s">
        <v>46</v>
      </c>
    </row>
    <row r="9" spans="2:2" x14ac:dyDescent="0.35">
      <c r="B9" s="66" t="s">
        <v>55</v>
      </c>
    </row>
    <row r="11" spans="2:2" ht="23.5" x14ac:dyDescent="0.55000000000000004">
      <c r="B11" s="10" t="s">
        <v>44</v>
      </c>
    </row>
    <row r="12" spans="2:2" x14ac:dyDescent="0.35">
      <c r="B12" s="11" t="s">
        <v>45</v>
      </c>
    </row>
    <row r="13" spans="2:2" x14ac:dyDescent="0.35">
      <c r="B13" s="12" t="s">
        <v>48</v>
      </c>
    </row>
    <row r="16" spans="2:2" ht="27" customHeight="1" x14ac:dyDescent="0.35">
      <c r="B16" s="55" t="s">
        <v>209</v>
      </c>
    </row>
    <row r="17" spans="2:2" ht="16" x14ac:dyDescent="0.4">
      <c r="B17" s="75" t="s">
        <v>210</v>
      </c>
    </row>
    <row r="18" spans="2:2" x14ac:dyDescent="0.35">
      <c r="B18" s="77" t="s">
        <v>228</v>
      </c>
    </row>
    <row r="19" spans="2:2" x14ac:dyDescent="0.35">
      <c r="B19" s="78" t="s">
        <v>227</v>
      </c>
    </row>
    <row r="20" spans="2:2" x14ac:dyDescent="0.35">
      <c r="B20" s="78" t="s">
        <v>225</v>
      </c>
    </row>
    <row r="21" spans="2:2" x14ac:dyDescent="0.35">
      <c r="B21" s="78" t="s">
        <v>226</v>
      </c>
    </row>
    <row r="22" spans="2:2" x14ac:dyDescent="0.35">
      <c r="B22" s="78" t="s">
        <v>223</v>
      </c>
    </row>
    <row r="23" spans="2:2" x14ac:dyDescent="0.35">
      <c r="B23" s="78" t="s">
        <v>224</v>
      </c>
    </row>
    <row r="24" spans="2:2" x14ac:dyDescent="0.35">
      <c r="B24" s="78" t="s">
        <v>239</v>
      </c>
    </row>
    <row r="25" spans="2:2" x14ac:dyDescent="0.35">
      <c r="B25" s="79" t="s">
        <v>240</v>
      </c>
    </row>
    <row r="26" spans="2:2" x14ac:dyDescent="0.35">
      <c r="B26" s="80" t="s">
        <v>241</v>
      </c>
    </row>
    <row r="27" spans="2:2" ht="16" x14ac:dyDescent="0.4">
      <c r="B27" s="76" t="s">
        <v>211</v>
      </c>
    </row>
    <row r="28" spans="2:2" x14ac:dyDescent="0.35">
      <c r="B28" s="77" t="s">
        <v>276</v>
      </c>
    </row>
    <row r="29" spans="2:2" x14ac:dyDescent="0.35">
      <c r="B29" s="78" t="s">
        <v>238</v>
      </c>
    </row>
    <row r="30" spans="2:2" x14ac:dyDescent="0.35">
      <c r="B30" s="81"/>
    </row>
    <row r="31" spans="2:2" x14ac:dyDescent="0.35">
      <c r="B31" s="81"/>
    </row>
    <row r="32" spans="2:2" x14ac:dyDescent="0.35">
      <c r="B32" s="82"/>
    </row>
    <row r="33" spans="2:2" x14ac:dyDescent="0.35">
      <c r="B33" s="82"/>
    </row>
    <row r="34" spans="2:2" x14ac:dyDescent="0.35">
      <c r="B34" s="82"/>
    </row>
    <row r="35" spans="2:2" x14ac:dyDescent="0.35">
      <c r="B35" s="82"/>
    </row>
    <row r="36" spans="2:2" x14ac:dyDescent="0.35">
      <c r="B36" s="82"/>
    </row>
    <row r="37" spans="2:2" x14ac:dyDescent="0.35">
      <c r="B37" s="82"/>
    </row>
    <row r="38" spans="2:2" x14ac:dyDescent="0.35">
      <c r="B38" s="82"/>
    </row>
    <row r="39" spans="2:2" x14ac:dyDescent="0.35">
      <c r="B39" s="82"/>
    </row>
    <row r="40" spans="2:2" x14ac:dyDescent="0.35">
      <c r="B40" s="82"/>
    </row>
    <row r="41" spans="2:2" x14ac:dyDescent="0.35">
      <c r="B41" s="82"/>
    </row>
    <row r="42" spans="2:2" x14ac:dyDescent="0.35">
      <c r="B42" s="82"/>
    </row>
    <row r="43" spans="2:2" x14ac:dyDescent="0.35">
      <c r="B43" s="82"/>
    </row>
    <row r="44" spans="2:2" x14ac:dyDescent="0.35">
      <c r="B44" s="82"/>
    </row>
    <row r="45" spans="2:2" x14ac:dyDescent="0.35">
      <c r="B45" s="82"/>
    </row>
    <row r="46" spans="2:2" x14ac:dyDescent="0.35">
      <c r="B46" s="82"/>
    </row>
    <row r="47" spans="2:2" x14ac:dyDescent="0.35">
      <c r="B47" s="82"/>
    </row>
    <row r="48" spans="2:2" x14ac:dyDescent="0.35">
      <c r="B48" s="82"/>
    </row>
    <row r="49" spans="2:2" x14ac:dyDescent="0.35">
      <c r="B49" s="82"/>
    </row>
    <row r="50" spans="2:2" x14ac:dyDescent="0.35">
      <c r="B50" s="82"/>
    </row>
    <row r="51" spans="2:2" x14ac:dyDescent="0.35">
      <c r="B51" s="82"/>
    </row>
    <row r="52" spans="2:2" x14ac:dyDescent="0.35">
      <c r="B52" s="82"/>
    </row>
    <row r="53" spans="2:2" x14ac:dyDescent="0.35">
      <c r="B53" s="83"/>
    </row>
  </sheetData>
  <hyperlinks>
    <hyperlink ref="B18" location="'Salary Variables'!A1" display="Model Variables" xr:uid="{CBCFE5AC-C884-4B15-A05C-DA0633EF868A}"/>
    <hyperlink ref="B19" location="Income!A1" display="Salary Path" xr:uid="{62D1B8F4-0B65-4D3C-8D4A-1549252A0CCF}"/>
    <hyperlink ref="B20" location="'Pensions P1'!A1" display="Pension P1" xr:uid="{CEDA4F7B-E391-46BE-9D78-A8C787711148}"/>
    <hyperlink ref="B21" location="'Pensions P2'!A1" display="Pension P2" xr:uid="{2E446C46-371C-4D1D-91DE-C71E0756999C}"/>
    <hyperlink ref="B22" location="'Net Salary P1'!A1" display="Net Salary P1" xr:uid="{CD8E412B-B57E-4590-BF7B-98673A33DCCE}"/>
    <hyperlink ref="B23" location="'Net Salary P2'!A1" display="Net Salary P2" xr:uid="{3C8368B8-97CD-4F03-98FB-61E2D79F0324}"/>
    <hyperlink ref="B24" location="'Job Hopping'!A1" display="Job hopping modelled" xr:uid="{D23FA289-BBD2-431F-8D9E-0DE89F327767}"/>
    <hyperlink ref="B25" location="'Djøf Finance Hoppers'!A1" display="Data on job hopping" xr:uid="{68700D83-799A-40CF-97F4-061D1E1002B4}"/>
    <hyperlink ref="B26" location="'Djøf Finance Workers'!A1" display="Data on employment based on age groups" xr:uid="{D83E8D81-B969-4573-9DC3-1DCBF483AEDB}"/>
    <hyperlink ref="B28" location="Goals!A1" display="Goal Details" xr:uid="{EEA8037E-BCCB-4F88-B8EA-52D29C158128}"/>
    <hyperlink ref="B29" location="Loop!A1" display="Loop used when executing the python script" xr:uid="{155DB5B2-8065-460A-9090-A6B19C2220E1}"/>
  </hyperlink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89F4-783B-4801-BDF0-93ADCACF1D75}">
  <sheetPr>
    <tabColor theme="8" tint="0.79998168889431442"/>
  </sheetPr>
  <dimension ref="B2:C24"/>
  <sheetViews>
    <sheetView showGridLines="0" workbookViewId="0">
      <selection activeCell="C3" sqref="C3"/>
    </sheetView>
  </sheetViews>
  <sheetFormatPr defaultColWidth="8.81640625" defaultRowHeight="14.5" x14ac:dyDescent="0.35"/>
  <cols>
    <col min="1" max="1" width="3.1796875" customWidth="1"/>
    <col min="2" max="2" width="38.453125" bestFit="1" customWidth="1"/>
    <col min="3" max="3" width="12.1796875" style="32" bestFit="1" customWidth="1"/>
  </cols>
  <sheetData>
    <row r="2" spans="2:3" x14ac:dyDescent="0.35">
      <c r="B2" s="39" t="s">
        <v>62</v>
      </c>
      <c r="C2" s="42">
        <v>0.03</v>
      </c>
    </row>
    <row r="3" spans="2:3" x14ac:dyDescent="0.35">
      <c r="B3" s="40" t="s">
        <v>217</v>
      </c>
      <c r="C3" s="43"/>
    </row>
    <row r="4" spans="2:3" x14ac:dyDescent="0.35">
      <c r="B4" s="45" t="s">
        <v>63</v>
      </c>
      <c r="C4" s="46">
        <v>0.03</v>
      </c>
    </row>
    <row r="5" spans="2:3" x14ac:dyDescent="0.35">
      <c r="B5" s="47" t="s">
        <v>65</v>
      </c>
      <c r="C5" s="48">
        <f>C4-C2</f>
        <v>0</v>
      </c>
    </row>
    <row r="6" spans="2:3" x14ac:dyDescent="0.35">
      <c r="B6" s="47" t="s">
        <v>64</v>
      </c>
      <c r="C6" s="48">
        <v>0.06</v>
      </c>
    </row>
    <row r="7" spans="2:3" x14ac:dyDescent="0.35">
      <c r="B7" s="47" t="s">
        <v>175</v>
      </c>
      <c r="C7" s="48">
        <f>C6-C2</f>
        <v>0.03</v>
      </c>
    </row>
    <row r="8" spans="2:3" x14ac:dyDescent="0.35">
      <c r="B8" s="47" t="s">
        <v>76</v>
      </c>
      <c r="C8" s="48">
        <v>0.2</v>
      </c>
    </row>
    <row r="9" spans="2:3" x14ac:dyDescent="0.35">
      <c r="B9" s="47" t="s">
        <v>221</v>
      </c>
      <c r="C9" s="49">
        <v>43871</v>
      </c>
    </row>
    <row r="10" spans="2:3" x14ac:dyDescent="0.35">
      <c r="B10" s="41" t="s">
        <v>222</v>
      </c>
      <c r="C10" s="44">
        <v>72000</v>
      </c>
    </row>
    <row r="11" spans="2:3" x14ac:dyDescent="0.35">
      <c r="B11" s="40" t="s">
        <v>212</v>
      </c>
      <c r="C11" s="43"/>
    </row>
    <row r="12" spans="2:3" x14ac:dyDescent="0.35">
      <c r="B12" s="45" t="s">
        <v>213</v>
      </c>
      <c r="C12" s="46">
        <v>0.05</v>
      </c>
    </row>
    <row r="13" spans="2:3" x14ac:dyDescent="0.35">
      <c r="B13" s="47" t="s">
        <v>214</v>
      </c>
      <c r="C13" s="48">
        <v>0.1</v>
      </c>
    </row>
    <row r="14" spans="2:3" x14ac:dyDescent="0.35">
      <c r="B14" s="41" t="s">
        <v>216</v>
      </c>
      <c r="C14" s="44">
        <v>9400</v>
      </c>
    </row>
    <row r="15" spans="2:3" x14ac:dyDescent="0.35">
      <c r="B15" s="40" t="s">
        <v>215</v>
      </c>
      <c r="C15" s="43"/>
    </row>
    <row r="16" spans="2:3" x14ac:dyDescent="0.35">
      <c r="B16" s="45" t="s">
        <v>188</v>
      </c>
      <c r="C16" s="46">
        <v>0.08</v>
      </c>
    </row>
    <row r="17" spans="2:3" x14ac:dyDescent="0.35">
      <c r="B17" s="45" t="s">
        <v>229</v>
      </c>
      <c r="C17" s="52">
        <v>51600</v>
      </c>
    </row>
    <row r="18" spans="2:3" x14ac:dyDescent="0.35">
      <c r="B18" s="47" t="s">
        <v>230</v>
      </c>
      <c r="C18" s="48">
        <v>0.1201</v>
      </c>
    </row>
    <row r="19" spans="2:3" x14ac:dyDescent="0.35">
      <c r="B19" s="47" t="s">
        <v>231</v>
      </c>
      <c r="C19" s="48">
        <v>0.15</v>
      </c>
    </row>
    <row r="20" spans="2:3" x14ac:dyDescent="0.35">
      <c r="B20" s="47" t="s">
        <v>232</v>
      </c>
      <c r="C20" s="50">
        <v>618400</v>
      </c>
    </row>
    <row r="21" spans="2:3" x14ac:dyDescent="0.35">
      <c r="B21" s="47" t="s">
        <v>233</v>
      </c>
      <c r="C21" s="48">
        <v>0.25</v>
      </c>
    </row>
    <row r="22" spans="2:3" x14ac:dyDescent="0.35">
      <c r="B22" s="47" t="s">
        <v>218</v>
      </c>
      <c r="C22" s="51">
        <v>0.27</v>
      </c>
    </row>
    <row r="23" spans="2:3" x14ac:dyDescent="0.35">
      <c r="B23" s="47" t="s">
        <v>219</v>
      </c>
      <c r="C23" s="51">
        <v>0.42</v>
      </c>
    </row>
    <row r="24" spans="2:3" x14ac:dyDescent="0.35">
      <c r="B24" s="41" t="s">
        <v>220</v>
      </c>
      <c r="C24" s="44">
        <v>67500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DFFD-8819-4F8E-B6DD-3DD6BDAFCC7E}">
  <sheetPr>
    <tabColor theme="8" tint="0.79998168889431442"/>
  </sheetPr>
  <dimension ref="A2:Q48"/>
  <sheetViews>
    <sheetView topLeftCell="L1" zoomScale="65" workbookViewId="0"/>
  </sheetViews>
  <sheetFormatPr defaultColWidth="15.26953125" defaultRowHeight="14.5" x14ac:dyDescent="0.35"/>
  <cols>
    <col min="1" max="1" width="4.453125" style="2" customWidth="1"/>
    <col min="2" max="2" width="34.81640625" style="2" bestFit="1" customWidth="1"/>
    <col min="3" max="6" width="15.26953125" style="2"/>
    <col min="7" max="7" width="50.453125" style="2" bestFit="1" customWidth="1"/>
    <col min="8" max="8" width="27.7265625" style="2" bestFit="1" customWidth="1"/>
    <col min="9" max="9" width="15.453125" style="2" bestFit="1" customWidth="1"/>
    <col min="10" max="13" width="15.26953125" style="2"/>
    <col min="14" max="14" width="44" style="2" customWidth="1"/>
    <col min="15" max="15" width="31" style="2" customWidth="1"/>
    <col min="16" max="16384" width="15.26953125" style="2"/>
  </cols>
  <sheetData>
    <row r="2" spans="1:17" x14ac:dyDescent="0.35">
      <c r="A2" s="16"/>
      <c r="B2" s="14" t="s">
        <v>62</v>
      </c>
      <c r="C2" s="15">
        <f>Income!I2</f>
        <v>0.03</v>
      </c>
      <c r="G2" s="4" t="s">
        <v>173</v>
      </c>
      <c r="H2" s="4" t="s">
        <v>5</v>
      </c>
      <c r="I2" s="4" t="s">
        <v>57</v>
      </c>
      <c r="J2" s="59" t="s">
        <v>263</v>
      </c>
      <c r="K2" s="4" t="s">
        <v>1</v>
      </c>
      <c r="M2" s="60" t="s">
        <v>1</v>
      </c>
      <c r="N2" s="60" t="s">
        <v>173</v>
      </c>
      <c r="O2" s="60" t="s">
        <v>5</v>
      </c>
    </row>
    <row r="3" spans="1:17" x14ac:dyDescent="0.35">
      <c r="A3" s="16"/>
      <c r="B3" s="14" t="s">
        <v>63</v>
      </c>
      <c r="C3" s="15">
        <f>Income!I3</f>
        <v>0.03</v>
      </c>
      <c r="G3" s="31">
        <f>TableIncomeCalculations11[[#This Row],[GrossMonthlySalaryP2]]/(1+C2)</f>
        <v>72167</v>
      </c>
      <c r="H3" s="31">
        <f>TableIncomeCalculations[[#This Row],[GrossMonthlySalaryP2]]</f>
        <v>74332.009999999995</v>
      </c>
      <c r="I3" t="str">
        <f>JobHopping[[#This Row],[SwitchP2Static]]</f>
        <v>N</v>
      </c>
      <c r="J3" t="str" cm="1">
        <f t="array" ref="J3">INDEX($I$3:$I$18,ROWS($I$3:$I$18)+ROW($I$3)-ROW())</f>
        <v>N</v>
      </c>
      <c r="K3">
        <v>2025</v>
      </c>
      <c r="M3" s="61" cm="1">
        <f t="array" ref="M3">INDEX($K$3:$K$18,ROWS($K$3:$K$18)+ROW($K$3)-ROW())</f>
        <v>2010</v>
      </c>
      <c r="N3" s="60" cm="1">
        <f t="array" ref="N3">INDEX($G$3:$G$18,ROWS($G$3:$G$18)+ROW($G$3)-ROW())</f>
        <v>63888.926219270012</v>
      </c>
      <c r="O3" s="60" cm="1">
        <f t="array" ref="O3">INDEX($H$3:$H$18,ROWS($H$3:$H$18)+ROW($H$3)-ROW())</f>
        <v>36965.72433477857</v>
      </c>
      <c r="Q3" s="63">
        <f>Table11[[#This Row],[GrossMonthlyInflationAdjustedP2]]*0.2</f>
        <v>12777.785243854003</v>
      </c>
    </row>
    <row r="4" spans="1:17" x14ac:dyDescent="0.35">
      <c r="A4" s="16"/>
      <c r="B4" s="14" t="s">
        <v>65</v>
      </c>
      <c r="C4" s="15">
        <f>Income!I4</f>
        <v>0</v>
      </c>
      <c r="G4" s="35">
        <f>(G3/(1+$C$4))-IF(TableIncomeCalculations11[[#This Row],[Inverse]]="Y",G3*$C$6,0)</f>
        <v>72167</v>
      </c>
      <c r="H4" s="35">
        <f>(H3/(1+$C$3))-IF(TableIncomeCalculations11[[#This Row],[Inverse]]="Y",H3*$C$5,0)</f>
        <v>72167</v>
      </c>
      <c r="I4" t="str">
        <f>JobHopping[[#This Row],[SwitchP2Static]]</f>
        <v>N</v>
      </c>
      <c r="J4" t="str" cm="1">
        <f t="array" ref="J4">INDEX($I$3:$I$18,ROWS($I$3:$I$18)+ROW($I$3)-ROW())</f>
        <v>N</v>
      </c>
      <c r="K4">
        <v>2024</v>
      </c>
      <c r="M4" s="61" cm="1">
        <f t="array" ref="M4">INDEX($K$3:$K$18,ROWS($K$3:$K$18)+ROW($K$3)-ROW())</f>
        <v>2011</v>
      </c>
      <c r="N4" s="60" cm="1">
        <f t="array" ref="N4">INDEX($G$3:$G$18,ROWS($G$3:$G$18)+ROW($G$3)-ROW())</f>
        <v>63888.926219270012</v>
      </c>
      <c r="O4" s="60" cm="1">
        <f t="array" ref="O4">INDEX($H$3:$H$18,ROWS($H$3:$H$18)+ROW($H$3)-ROW())</f>
        <v>38074.696064821925</v>
      </c>
      <c r="Q4" s="63">
        <f>Table11[[#This Row],[GrossMonthlyInflationAdjustedP2]]*0.2</f>
        <v>12777.785243854003</v>
      </c>
    </row>
    <row r="5" spans="1:17" x14ac:dyDescent="0.35">
      <c r="A5" s="16"/>
      <c r="B5" s="14" t="s">
        <v>64</v>
      </c>
      <c r="C5" s="15">
        <f>Income!I5</f>
        <v>0.06</v>
      </c>
      <c r="G5" s="35">
        <f>(G4/(1+$C$4))-IF(TableIncomeCalculations11[[#This Row],[Inverse]]="Y",G4*$C$6,0)</f>
        <v>70001.990000000005</v>
      </c>
      <c r="H5" s="35">
        <f>(H4/(1+$C$3))-IF(TableIncomeCalculations11[[#This Row],[Inverse]]="Y",H4*$C$5,0)</f>
        <v>65735.028543689317</v>
      </c>
      <c r="I5" t="str">
        <f>JobHopping[[#This Row],[SwitchP2Static]]</f>
        <v>Y</v>
      </c>
      <c r="J5" t="str" cm="1">
        <f t="array" ref="J5">INDEX($I$3:$I$18,ROWS($I$3:$I$18)+ROW($I$3)-ROW())</f>
        <v>Y</v>
      </c>
      <c r="K5">
        <v>2023</v>
      </c>
      <c r="M5" s="61" cm="1">
        <f t="array" ref="M5">INDEX($K$3:$K$18,ROWS($K$3:$K$18)+ROW($K$3)-ROW())</f>
        <v>2012</v>
      </c>
      <c r="N5" s="60" cm="1">
        <f t="array" ref="N5">INDEX($G$3:$G$18,ROWS($G$3:$G$18)+ROW($G$3)-ROW())</f>
        <v>63888.926219270012</v>
      </c>
      <c r="O5" s="60" cm="1">
        <f t="array" ref="O5">INDEX($H$3:$H$18,ROWS($H$3:$H$18)+ROW($H$3)-ROW())</f>
        <v>39216.936946766582</v>
      </c>
      <c r="Q5" s="63">
        <f>Table11[[#This Row],[GrossMonthlyInflationAdjustedP2]]*0.2</f>
        <v>12777.785243854003</v>
      </c>
    </row>
    <row r="6" spans="1:17" x14ac:dyDescent="0.35">
      <c r="A6" s="16"/>
      <c r="B6" s="14" t="s">
        <v>175</v>
      </c>
      <c r="C6" s="15">
        <f>Income!I6</f>
        <v>0.03</v>
      </c>
      <c r="G6" s="35">
        <f>(G5/(1+$C$4))-IF(TableIncomeCalculations11[[#This Row],[Inverse]]="Y",G5*$C$6,0)</f>
        <v>70001.990000000005</v>
      </c>
      <c r="H6" s="35">
        <f>(H5/(1+$C$3))-IF(TableIncomeCalculations11[[#This Row],[Inverse]]="Y",H5*$C$5,0)</f>
        <v>63820.416061834287</v>
      </c>
      <c r="I6" t="str">
        <f>JobHopping[[#This Row],[SwitchP2Static]]</f>
        <v>N</v>
      </c>
      <c r="J6" t="str" cm="1">
        <f t="array" ref="J6">INDEX($I$3:$I$18,ROWS($I$3:$I$18)+ROW($I$3)-ROW())</f>
        <v>N</v>
      </c>
      <c r="K6">
        <v>2022</v>
      </c>
      <c r="M6" s="61" cm="1">
        <f t="array" ref="M6">INDEX($K$3:$K$18,ROWS($K$3:$K$18)+ROW($K$3)-ROW())</f>
        <v>2013</v>
      </c>
      <c r="N6" s="60" cm="1">
        <f t="array" ref="N6">INDEX($G$3:$G$18,ROWS($G$3:$G$18)+ROW($G$3)-ROW())</f>
        <v>65864.872391000012</v>
      </c>
      <c r="O6" s="60" cm="1">
        <f t="array" ref="O6">INDEX($H$3:$H$18,ROWS($H$3:$H$18)+ROW($H$3)-ROW())</f>
        <v>43054.194260466407</v>
      </c>
      <c r="Q6" s="63">
        <f>Table11[[#This Row],[GrossMonthlyInflationAdjustedP2]]*0.2</f>
        <v>13172.974478200003</v>
      </c>
    </row>
    <row r="7" spans="1:17" x14ac:dyDescent="0.35">
      <c r="A7" s="16"/>
      <c r="B7" s="14" t="s">
        <v>76</v>
      </c>
      <c r="C7" s="15">
        <f>Income!I7</f>
        <v>0.2</v>
      </c>
      <c r="G7" s="35">
        <f>(G6/(1+$C$4))-IF(TableIncomeCalculations11[[#This Row],[Inverse]]="Y",G6*$C$6,0)</f>
        <v>70001.990000000005</v>
      </c>
      <c r="H7" s="35">
        <f>(H6/(1+$C$3))-IF(TableIncomeCalculations11[[#This Row],[Inverse]]="Y",H6*$C$5,0)</f>
        <v>61961.56899207212</v>
      </c>
      <c r="I7" t="str">
        <f>JobHopping[[#This Row],[SwitchP2Static]]</f>
        <v>N</v>
      </c>
      <c r="J7" t="str" cm="1">
        <f t="array" ref="J7">INDEX($I$3:$I$18,ROWS($I$3:$I$18)+ROW($I$3)-ROW())</f>
        <v>N</v>
      </c>
      <c r="K7">
        <v>2021</v>
      </c>
      <c r="M7" s="61" cm="1">
        <f t="array" ref="M7">INDEX($K$3:$K$18,ROWS($K$3:$K$18)+ROW($K$3)-ROW())</f>
        <v>2014</v>
      </c>
      <c r="N7" s="60" cm="1">
        <f t="array" ref="N7">INDEX($G$3:$G$18,ROWS($G$3:$G$18)+ROW($G$3)-ROW())</f>
        <v>65864.872391000012</v>
      </c>
      <c r="O7" s="60" cm="1">
        <f t="array" ref="O7">INDEX($H$3:$H$18,ROWS($H$3:$H$18)+ROW($H$3)-ROW())</f>
        <v>44345.820088280401</v>
      </c>
      <c r="Q7" s="63">
        <f>Table11[[#This Row],[GrossMonthlyInflationAdjustedP2]]*0.2</f>
        <v>13172.974478200003</v>
      </c>
    </row>
    <row r="8" spans="1:17" x14ac:dyDescent="0.35">
      <c r="A8" s="16"/>
      <c r="C8" s="17"/>
      <c r="G8" s="35">
        <f>(G7/(1+$C$4))-IF(TableIncomeCalculations11[[#This Row],[Inverse]]="Y",G7*$C$6,0)</f>
        <v>67901.930300000007</v>
      </c>
      <c r="H8" s="35">
        <f>(H7/(1+$C$3))-IF(TableIncomeCalculations11[[#This Row],[Inverse]]="Y",H7*$C$5,0)</f>
        <v>56439.168959574818</v>
      </c>
      <c r="I8" t="str">
        <f>JobHopping[[#This Row],[SwitchP2Static]]</f>
        <v>N</v>
      </c>
      <c r="J8" t="str" cm="1">
        <f t="array" ref="J8">INDEX($I$3:$I$18,ROWS($I$3:$I$18)+ROW($I$3)-ROW())</f>
        <v>Y</v>
      </c>
      <c r="K8">
        <v>2020</v>
      </c>
      <c r="M8" s="61" cm="1">
        <f t="array" ref="M8">INDEX($K$3:$K$18,ROWS($K$3:$K$18)+ROW($K$3)-ROW())</f>
        <v>2015</v>
      </c>
      <c r="N8" s="60" cm="1">
        <f t="array" ref="N8">INDEX($G$3:$G$18,ROWS($G$3:$G$18)+ROW($G$3)-ROW())</f>
        <v>65864.872391000012</v>
      </c>
      <c r="O8" s="60" cm="1">
        <f t="array" ref="O8">INDEX($H$3:$H$18,ROWS($H$3:$H$18)+ROW($H$3)-ROW())</f>
        <v>45676.194690928816</v>
      </c>
      <c r="Q8" s="63">
        <f>Table11[[#This Row],[GrossMonthlyInflationAdjustedP2]]*0.2</f>
        <v>13172.974478200003</v>
      </c>
    </row>
    <row r="9" spans="1:17" x14ac:dyDescent="0.35">
      <c r="A9" s="16"/>
      <c r="G9" s="35">
        <f>(G8/(1+$C$4))-IF(TableIncomeCalculations11[[#This Row],[Inverse]]="Y",G8*$C$6,0)</f>
        <v>67901.930300000007</v>
      </c>
      <c r="H9" s="35">
        <f>(H8/(1+$C$3))-IF(TableIncomeCalculations11[[#This Row],[Inverse]]="Y",H8*$C$5,0)</f>
        <v>54795.309669490111</v>
      </c>
      <c r="I9" t="str">
        <f>JobHopping[[#This Row],[SwitchP2Static]]</f>
        <v>Y</v>
      </c>
      <c r="J9" t="str" cm="1">
        <f t="array" ref="J9">INDEX($I$3:$I$18,ROWS($I$3:$I$18)+ROW($I$3)-ROW())</f>
        <v>N</v>
      </c>
      <c r="K9">
        <v>2019</v>
      </c>
      <c r="M9" s="61" cm="1">
        <f t="array" ref="M9">INDEX($K$3:$K$18,ROWS($K$3:$K$18)+ROW($K$3)-ROW())</f>
        <v>2016</v>
      </c>
      <c r="N9" s="60" cm="1">
        <f t="array" ref="N9">INDEX($G$3:$G$18,ROWS($G$3:$G$18)+ROW($G$3)-ROW())</f>
        <v>65864.872391000012</v>
      </c>
      <c r="O9" s="60" cm="1">
        <f t="array" ref="O9">INDEX($H$3:$H$18,ROWS($H$3:$H$18)+ROW($H$3)-ROW())</f>
        <v>47046.480531656685</v>
      </c>
      <c r="Q9" s="63">
        <f>Table11[[#This Row],[GrossMonthlyInflationAdjustedP2]]*0.2</f>
        <v>13172.974478200003</v>
      </c>
    </row>
    <row r="10" spans="1:17" x14ac:dyDescent="0.35">
      <c r="A10" s="16"/>
      <c r="G10" s="35">
        <f>(G9/(1+$C$4))-IF(TableIncomeCalculations11[[#This Row],[Inverse]]="Y",G9*$C$6,0)</f>
        <v>67901.930300000007</v>
      </c>
      <c r="H10" s="35">
        <f>(H9/(1+$C$3))-IF(TableIncomeCalculations11[[#This Row],[Inverse]]="Y",H9*$C$5,0)</f>
        <v>53199.329776203987</v>
      </c>
      <c r="I10" t="str">
        <f>JobHopping[[#This Row],[SwitchP2Static]]</f>
        <v>N</v>
      </c>
      <c r="J10" t="str" cm="1">
        <f t="array" ref="J10">INDEX($I$3:$I$18,ROWS($I$3:$I$18)+ROW($I$3)-ROW())</f>
        <v>N</v>
      </c>
      <c r="K10">
        <v>2018</v>
      </c>
      <c r="M10" s="61" cm="1">
        <f t="array" ref="M10">INDEX($K$3:$K$18,ROWS($K$3:$K$18)+ROW($K$3)-ROW())</f>
        <v>2017</v>
      </c>
      <c r="N10" s="60" cm="1">
        <f t="array" ref="N10">INDEX($G$3:$G$18,ROWS($G$3:$G$18)+ROW($G$3)-ROW())</f>
        <v>67901.930300000007</v>
      </c>
      <c r="O10" s="60" cm="1">
        <f t="array" ref="O10">INDEX($H$3:$H$18,ROWS($H$3:$H$18)+ROW($H$3)-ROW())</f>
        <v>51649.834734178628</v>
      </c>
      <c r="Q10" s="63">
        <f>Table11[[#This Row],[GrossMonthlyInflationAdjustedP2]]*0.2</f>
        <v>13580.386060000003</v>
      </c>
    </row>
    <row r="11" spans="1:17" x14ac:dyDescent="0.35">
      <c r="A11" s="16"/>
      <c r="G11" s="35">
        <f>(G10/(1+$C$4))-IF(TableIncomeCalculations11[[#This Row],[Inverse]]="Y",G10*$C$6,0)</f>
        <v>67901.930300000007</v>
      </c>
      <c r="H11" s="35">
        <f>(H10/(1+$C$3))-IF(TableIncomeCalculations11[[#This Row],[Inverse]]="Y",H10*$C$5,0)</f>
        <v>51649.834734178628</v>
      </c>
      <c r="I11" t="str">
        <f>JobHopping[[#This Row],[SwitchP2Static]]</f>
        <v>N</v>
      </c>
      <c r="J11" t="str" cm="1">
        <f t="array" ref="J11">INDEX($I$3:$I$18,ROWS($I$3:$I$18)+ROW($I$3)-ROW())</f>
        <v>N</v>
      </c>
      <c r="K11">
        <v>2017</v>
      </c>
      <c r="M11" s="61" cm="1">
        <f t="array" ref="M11">INDEX($K$3:$K$18,ROWS($K$3:$K$18)+ROW($K$3)-ROW())</f>
        <v>2018</v>
      </c>
      <c r="N11" s="60" cm="1">
        <f t="array" ref="N11">INDEX($G$3:$G$18,ROWS($G$3:$G$18)+ROW($G$3)-ROW())</f>
        <v>67901.930300000007</v>
      </c>
      <c r="O11" s="60" cm="1">
        <f t="array" ref="O11">INDEX($H$3:$H$18,ROWS($H$3:$H$18)+ROW($H$3)-ROW())</f>
        <v>53199.329776203987</v>
      </c>
      <c r="Q11" s="63">
        <f>Table11[[#This Row],[GrossMonthlyInflationAdjustedP2]]*0.2</f>
        <v>13580.386060000003</v>
      </c>
    </row>
    <row r="12" spans="1:17" x14ac:dyDescent="0.35">
      <c r="A12" s="16"/>
      <c r="G12" s="35">
        <f>(G11/(1+$C$4))-IF(TableIncomeCalculations11[[#This Row],[Inverse]]="Y",G11*$C$6,0)</f>
        <v>65864.872391000012</v>
      </c>
      <c r="H12" s="35">
        <f>(H11/(1+$C$3))-IF(TableIncomeCalculations11[[#This Row],[Inverse]]="Y",H11*$C$5,0)</f>
        <v>47046.480531656685</v>
      </c>
      <c r="I12" t="str">
        <f>JobHopping[[#This Row],[SwitchP2Static]]</f>
        <v>N</v>
      </c>
      <c r="J12" t="str" cm="1">
        <f t="array" ref="J12">INDEX($I$3:$I$18,ROWS($I$3:$I$18)+ROW($I$3)-ROW())</f>
        <v>Y</v>
      </c>
      <c r="K12">
        <v>2016</v>
      </c>
      <c r="M12" s="61" cm="1">
        <f t="array" ref="M12">INDEX($K$3:$K$18,ROWS($K$3:$K$18)+ROW($K$3)-ROW())</f>
        <v>2019</v>
      </c>
      <c r="N12" s="60" cm="1">
        <f t="array" ref="N12">INDEX($G$3:$G$18,ROWS($G$3:$G$18)+ROW($G$3)-ROW())</f>
        <v>67901.930300000007</v>
      </c>
      <c r="O12" s="60" cm="1">
        <f t="array" ref="O12">INDEX($H$3:$H$18,ROWS($H$3:$H$18)+ROW($H$3)-ROW())</f>
        <v>54795.309669490111</v>
      </c>
      <c r="Q12" s="63">
        <f>Table11[[#This Row],[GrossMonthlyInflationAdjustedP2]]*0.2</f>
        <v>13580.386060000003</v>
      </c>
    </row>
    <row r="13" spans="1:17" x14ac:dyDescent="0.35">
      <c r="A13" s="16"/>
      <c r="G13" s="35">
        <f>(G12/(1+$C$4))-IF(TableIncomeCalculations11[[#This Row],[Inverse]]="Y",G12*$C$6,0)</f>
        <v>65864.872391000012</v>
      </c>
      <c r="H13" s="35">
        <f>(H12/(1+$C$3))-IF(TableIncomeCalculations11[[#This Row],[Inverse]]="Y",H12*$C$5,0)</f>
        <v>45676.194690928816</v>
      </c>
      <c r="I13" t="str">
        <f>JobHopping[[#This Row],[SwitchP2Static]]</f>
        <v>Y</v>
      </c>
      <c r="J13" t="str" cm="1">
        <f t="array" ref="J13">INDEX($I$3:$I$18,ROWS($I$3:$I$18)+ROW($I$3)-ROW())</f>
        <v>N</v>
      </c>
      <c r="K13">
        <v>2015</v>
      </c>
      <c r="M13" s="61" cm="1">
        <f t="array" ref="M13">INDEX($K$3:$K$18,ROWS($K$3:$K$18)+ROW($K$3)-ROW())</f>
        <v>2020</v>
      </c>
      <c r="N13" s="60" cm="1">
        <f t="array" ref="N13">INDEX($G$3:$G$18,ROWS($G$3:$G$18)+ROW($G$3)-ROW())</f>
        <v>67901.930300000007</v>
      </c>
      <c r="O13" s="60" cm="1">
        <f t="array" ref="O13">INDEX($H$3:$H$18,ROWS($H$3:$H$18)+ROW($H$3)-ROW())</f>
        <v>56439.168959574818</v>
      </c>
      <c r="Q13" s="63">
        <f>Table11[[#This Row],[GrossMonthlyInflationAdjustedP2]]*0.2</f>
        <v>13580.386060000003</v>
      </c>
    </row>
    <row r="14" spans="1:17" x14ac:dyDescent="0.35">
      <c r="A14" s="16"/>
      <c r="G14" s="35">
        <f>(G13/(1+$C$4))-IF(TableIncomeCalculations11[[#This Row],[Inverse]]="Y",G13*$C$6,0)</f>
        <v>65864.872391000012</v>
      </c>
      <c r="H14" s="35">
        <f>(H13/(1+$C$3))-IF(TableIncomeCalculations11[[#This Row],[Inverse]]="Y",H13*$C$5,0)</f>
        <v>44345.820088280401</v>
      </c>
      <c r="I14" t="str">
        <f>JobHopping[[#This Row],[SwitchP2Static]]</f>
        <v>N</v>
      </c>
      <c r="J14" t="str" cm="1">
        <f t="array" ref="J14">INDEX($I$3:$I$18,ROWS($I$3:$I$18)+ROW($I$3)-ROW())</f>
        <v>N</v>
      </c>
      <c r="K14">
        <v>2014</v>
      </c>
      <c r="M14" s="61" cm="1">
        <f t="array" ref="M14">INDEX($K$3:$K$18,ROWS($K$3:$K$18)+ROW($K$3)-ROW())</f>
        <v>2021</v>
      </c>
      <c r="N14" s="60" cm="1">
        <f t="array" ref="N14">INDEX($G$3:$G$18,ROWS($G$3:$G$18)+ROW($G$3)-ROW())</f>
        <v>70001.990000000005</v>
      </c>
      <c r="O14" s="60" cm="1">
        <f t="array" ref="O14">INDEX($H$3:$H$18,ROWS($H$3:$H$18)+ROW($H$3)-ROW())</f>
        <v>61961.56899207212</v>
      </c>
      <c r="Q14" s="63">
        <f>Table11[[#This Row],[GrossMonthlyInflationAdjustedP2]]*0.2</f>
        <v>14000.398000000001</v>
      </c>
    </row>
    <row r="15" spans="1:17" x14ac:dyDescent="0.35">
      <c r="A15" s="16"/>
      <c r="G15" s="35">
        <f>(G14/(1+$C$4))-IF(TableIncomeCalculations11[[#This Row],[Inverse]]="Y",G14*$C$6,0)</f>
        <v>65864.872391000012</v>
      </c>
      <c r="H15" s="35">
        <f>(H14/(1+$C$3))-IF(TableIncomeCalculations11[[#This Row],[Inverse]]="Y",H14*$C$5,0)</f>
        <v>43054.194260466407</v>
      </c>
      <c r="I15" t="str">
        <f>JobHopping[[#This Row],[SwitchP2Static]]</f>
        <v>N</v>
      </c>
      <c r="J15" t="str" cm="1">
        <f t="array" ref="J15">INDEX($I$3:$I$18,ROWS($I$3:$I$18)+ROW($I$3)-ROW())</f>
        <v>N</v>
      </c>
      <c r="K15">
        <v>2013</v>
      </c>
      <c r="M15" s="61" cm="1">
        <f t="array" ref="M15">INDEX($K$3:$K$18,ROWS($K$3:$K$18)+ROW($K$3)-ROW())</f>
        <v>2022</v>
      </c>
      <c r="N15" s="60" cm="1">
        <f t="array" ref="N15">INDEX($G$3:$G$18,ROWS($G$3:$G$18)+ROW($G$3)-ROW())</f>
        <v>70001.990000000005</v>
      </c>
      <c r="O15" s="60" cm="1">
        <f t="array" ref="O15">INDEX($H$3:$H$18,ROWS($H$3:$H$18)+ROW($H$3)-ROW())</f>
        <v>63820.416061834287</v>
      </c>
      <c r="Q15" s="63">
        <f>Table11[[#This Row],[GrossMonthlyInflationAdjustedP2]]*0.2</f>
        <v>14000.398000000001</v>
      </c>
    </row>
    <row r="16" spans="1:17" x14ac:dyDescent="0.35">
      <c r="A16" s="16"/>
      <c r="G16" s="35">
        <f>(G15/(1+$C$4))-IF(TableIncomeCalculations11[[#This Row],[Inverse]]="Y",G15*$C$6,0)</f>
        <v>63888.926219270012</v>
      </c>
      <c r="H16" s="35">
        <f>(H15/(1+$C$3))-IF(TableIncomeCalculations11[[#This Row],[Inverse]]="Y",H15*$C$5,0)</f>
        <v>39216.936946766582</v>
      </c>
      <c r="I16" t="str">
        <f>JobHopping[[#This Row],[SwitchP2Static]]</f>
        <v>Y</v>
      </c>
      <c r="J16" t="str" cm="1">
        <f t="array" ref="J16">INDEX($I$3:$I$18,ROWS($I$3:$I$18)+ROW($I$3)-ROW())</f>
        <v>Y</v>
      </c>
      <c r="K16">
        <v>2012</v>
      </c>
      <c r="M16" s="61" cm="1">
        <f t="array" ref="M16">INDEX($K$3:$K$18,ROWS($K$3:$K$18)+ROW($K$3)-ROW())</f>
        <v>2023</v>
      </c>
      <c r="N16" s="60" cm="1">
        <f t="array" ref="N16">INDEX($G$3:$G$18,ROWS($G$3:$G$18)+ROW($G$3)-ROW())</f>
        <v>70001.990000000005</v>
      </c>
      <c r="O16" s="60" cm="1">
        <f t="array" ref="O16">INDEX($H$3:$H$18,ROWS($H$3:$H$18)+ROW($H$3)-ROW())</f>
        <v>65735.028543689317</v>
      </c>
      <c r="Q16" s="63">
        <f>Table11[[#This Row],[GrossMonthlyInflationAdjustedP2]]*0.2</f>
        <v>14000.398000000001</v>
      </c>
    </row>
    <row r="17" spans="1:17" x14ac:dyDescent="0.35">
      <c r="A17" s="16"/>
      <c r="G17" s="35">
        <f>(G16/(1+$C$4))-IF(TableIncomeCalculations11[[#This Row],[Inverse]]="Y",G16*$C$6,0)</f>
        <v>63888.926219270012</v>
      </c>
      <c r="H17" s="35">
        <f>(H16/(1+$C$3))-IF(TableIncomeCalculations11[[#This Row],[Inverse]]="Y",H16*$C$5,0)</f>
        <v>38074.696064821925</v>
      </c>
      <c r="I17" t="str">
        <f>JobHopping[[#This Row],[SwitchP2Static]]</f>
        <v>N</v>
      </c>
      <c r="J17" t="str" cm="1">
        <f t="array" ref="J17">INDEX($I$3:$I$18,ROWS($I$3:$I$18)+ROW($I$3)-ROW())</f>
        <v>N</v>
      </c>
      <c r="K17">
        <v>2011</v>
      </c>
      <c r="M17" s="61" cm="1">
        <f t="array" ref="M17">INDEX($K$3:$K$18,ROWS($K$3:$K$18)+ROW($K$3)-ROW())</f>
        <v>2024</v>
      </c>
      <c r="N17" s="60" cm="1">
        <f t="array" ref="N17">INDEX($G$3:$G$18,ROWS($G$3:$G$18)+ROW($G$3)-ROW())</f>
        <v>72167</v>
      </c>
      <c r="O17" s="60" cm="1">
        <f t="array" ref="O17">INDEX($H$3:$H$18,ROWS($H$3:$H$18)+ROW($H$3)-ROW())</f>
        <v>72167</v>
      </c>
      <c r="Q17" s="63">
        <f>Table11[[#This Row],[GrossMonthlyInflationAdjustedP2]]*0.2</f>
        <v>14433.400000000001</v>
      </c>
    </row>
    <row r="18" spans="1:17" x14ac:dyDescent="0.35">
      <c r="A18" s="16"/>
      <c r="G18" s="35">
        <f>(G17/(1+$C$4))-IF(TableIncomeCalculations11[[#This Row],[Inverse]]="Y",G17*$C$6,0)</f>
        <v>63888.926219270012</v>
      </c>
      <c r="H18" s="35">
        <f>(H17/(1+$C$3))-IF(TableIncomeCalculations11[[#This Row],[Inverse]]="Y",H17*$C$5,0)</f>
        <v>36965.72433477857</v>
      </c>
      <c r="I18" t="str">
        <f>JobHopping[[#This Row],[SwitchP2Static]]</f>
        <v>N</v>
      </c>
      <c r="J18" t="str" cm="1">
        <f t="array" ref="J18">INDEX($I$3:$I$18,ROWS($I$3:$I$18)+ROW($I$3)-ROW())</f>
        <v>N</v>
      </c>
      <c r="K18">
        <v>2010</v>
      </c>
      <c r="M18" s="61" cm="1">
        <f t="array" ref="M18">INDEX($K$3:$K$18,ROWS($K$3:$K$18)+ROW($K$3)-ROW())</f>
        <v>2025</v>
      </c>
      <c r="N18" s="60" cm="1">
        <f t="array" ref="N18">INDEX($G$3:$G$18,ROWS($G$3:$G$18)+ROW($G$3)-ROW())</f>
        <v>72167</v>
      </c>
      <c r="O18" s="60" cm="1">
        <f t="array" ref="O18">INDEX($H$3:$H$18,ROWS($H$3:$H$18)+ROW($H$3)-ROW())</f>
        <v>74332.009999999995</v>
      </c>
      <c r="Q18" s="63">
        <f>Table11[[#This Row],[GrossMonthlyInflationAdjustedP2]]*0.2</f>
        <v>14433.400000000001</v>
      </c>
    </row>
    <row r="19" spans="1:17" x14ac:dyDescent="0.35">
      <c r="A19" s="16"/>
      <c r="M19" s="62"/>
    </row>
    <row r="20" spans="1:17" x14ac:dyDescent="0.35">
      <c r="A20" s="16"/>
    </row>
    <row r="21" spans="1:17" x14ac:dyDescent="0.35">
      <c r="A21" s="16"/>
      <c r="Q21" s="63">
        <f>SUM(Q3:Q18)</f>
        <v>216214.791884362</v>
      </c>
    </row>
    <row r="22" spans="1:17" x14ac:dyDescent="0.35">
      <c r="A22" s="16"/>
    </row>
    <row r="23" spans="1:17" x14ac:dyDescent="0.35">
      <c r="A23" s="16"/>
    </row>
    <row r="24" spans="1:17" x14ac:dyDescent="0.35">
      <c r="A24" s="16"/>
    </row>
    <row r="25" spans="1:17" x14ac:dyDescent="0.35">
      <c r="A25" s="16"/>
    </row>
    <row r="26" spans="1:17" x14ac:dyDescent="0.35">
      <c r="A26" s="16"/>
    </row>
    <row r="27" spans="1:17" x14ac:dyDescent="0.35">
      <c r="A27" s="16"/>
    </row>
    <row r="28" spans="1:17" x14ac:dyDescent="0.35">
      <c r="A28" s="16"/>
    </row>
    <row r="29" spans="1:17" x14ac:dyDescent="0.35">
      <c r="A29" s="16"/>
    </row>
    <row r="30" spans="1:17" x14ac:dyDescent="0.35">
      <c r="A30" s="16"/>
    </row>
    <row r="31" spans="1:17" x14ac:dyDescent="0.35">
      <c r="A31" s="16"/>
    </row>
    <row r="32" spans="1:17" x14ac:dyDescent="0.35">
      <c r="A32" s="16"/>
    </row>
    <row r="33" spans="1:1" x14ac:dyDescent="0.35">
      <c r="A33" s="16"/>
    </row>
    <row r="34" spans="1:1" x14ac:dyDescent="0.35">
      <c r="A34" s="16"/>
    </row>
    <row r="35" spans="1:1" x14ac:dyDescent="0.35">
      <c r="A35" s="16"/>
    </row>
    <row r="36" spans="1:1" x14ac:dyDescent="0.35">
      <c r="A36" s="16"/>
    </row>
    <row r="37" spans="1:1" x14ac:dyDescent="0.35">
      <c r="A37" s="16"/>
    </row>
    <row r="38" spans="1:1" x14ac:dyDescent="0.35">
      <c r="A38" s="16"/>
    </row>
    <row r="39" spans="1:1" x14ac:dyDescent="0.35">
      <c r="A39" s="16"/>
    </row>
    <row r="40" spans="1:1" x14ac:dyDescent="0.35">
      <c r="A40" s="16"/>
    </row>
    <row r="41" spans="1:1" x14ac:dyDescent="0.35">
      <c r="A41" s="16"/>
    </row>
    <row r="42" spans="1:1" x14ac:dyDescent="0.35">
      <c r="A42" s="16"/>
    </row>
    <row r="43" spans="1:1" x14ac:dyDescent="0.35">
      <c r="A43" s="16"/>
    </row>
    <row r="44" spans="1:1" x14ac:dyDescent="0.35">
      <c r="A44" s="16"/>
    </row>
    <row r="45" spans="1:1" x14ac:dyDescent="0.35">
      <c r="A45" s="16"/>
    </row>
    <row r="46" spans="1:1" x14ac:dyDescent="0.35">
      <c r="A46" s="16"/>
    </row>
    <row r="47" spans="1:1" x14ac:dyDescent="0.35">
      <c r="A47" s="16"/>
    </row>
    <row r="48" spans="1:1" x14ac:dyDescent="0.35">
      <c r="A48" s="16"/>
    </row>
  </sheetData>
  <pageMargins left="0.7" right="0.7" top="0.75" bottom="0.75" header="0.3" footer="0.3"/>
  <drawing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D19F4-A05D-45D0-B8F0-DC7FDC307651}">
  <sheetPr>
    <tabColor theme="8" tint="0.79998168889431442"/>
  </sheetPr>
  <dimension ref="A1:T53"/>
  <sheetViews>
    <sheetView tabSelected="1" topLeftCell="B29" zoomScale="65" workbookViewId="0">
      <selection activeCell="H11" sqref="H11"/>
    </sheetView>
  </sheetViews>
  <sheetFormatPr defaultColWidth="15.26953125" defaultRowHeight="14.5" x14ac:dyDescent="0.35"/>
  <cols>
    <col min="1" max="1" width="3.81640625" style="2" customWidth="1"/>
    <col min="2" max="2" width="11.453125" style="2" bestFit="1" customWidth="1"/>
    <col min="3" max="3" width="19.453125" style="2" bestFit="1" customWidth="1"/>
    <col min="4" max="4" width="19.81640625" style="2" bestFit="1" customWidth="1"/>
    <col min="5" max="6" width="20" style="2" bestFit="1" customWidth="1"/>
    <col min="7" max="7" width="4.453125" style="2" customWidth="1"/>
    <col min="8" max="8" width="34.81640625" style="2" bestFit="1" customWidth="1"/>
    <col min="9" max="12" width="15.26953125" style="2"/>
    <col min="13" max="14" width="25.7265625" style="2" bestFit="1" customWidth="1"/>
    <col min="15" max="16" width="38.26953125" style="2" bestFit="1" customWidth="1"/>
    <col min="17" max="18" width="27.7265625" style="2" bestFit="1" customWidth="1"/>
    <col min="19" max="20" width="15.453125" style="2" bestFit="1" customWidth="1"/>
    <col min="21" max="16384" width="15.26953125" style="2"/>
  </cols>
  <sheetData>
    <row r="1" spans="1:20" x14ac:dyDescent="0.35">
      <c r="A1" s="54" t="s">
        <v>236</v>
      </c>
    </row>
    <row r="2" spans="1:20" x14ac:dyDescent="0.35">
      <c r="B2" s="3" t="s">
        <v>1</v>
      </c>
      <c r="C2" s="3" t="s">
        <v>2</v>
      </c>
      <c r="D2" s="3" t="s">
        <v>3</v>
      </c>
      <c r="E2" s="3" t="s">
        <v>77</v>
      </c>
      <c r="F2" s="3" t="s">
        <v>78</v>
      </c>
      <c r="G2" s="16"/>
      <c r="H2" s="14" t="s">
        <v>62</v>
      </c>
      <c r="I2" s="15">
        <f>'Salary Variables'!$C$2</f>
        <v>0.03</v>
      </c>
      <c r="K2" s="2" t="s">
        <v>275</v>
      </c>
      <c r="L2" s="2" t="s">
        <v>275</v>
      </c>
      <c r="M2" s="4" t="s">
        <v>171</v>
      </c>
      <c r="N2" s="4" t="s">
        <v>172</v>
      </c>
      <c r="O2" s="4" t="s">
        <v>174</v>
      </c>
      <c r="P2" s="4" t="s">
        <v>173</v>
      </c>
      <c r="Q2" s="4" t="s">
        <v>4</v>
      </c>
      <c r="R2" s="4" t="s">
        <v>5</v>
      </c>
      <c r="S2" s="4" t="s">
        <v>56</v>
      </c>
      <c r="T2" s="4" t="s">
        <v>57</v>
      </c>
    </row>
    <row r="3" spans="1:20" x14ac:dyDescent="0.35">
      <c r="B3" s="3">
        <v>2025</v>
      </c>
      <c r="C3" s="36">
        <f>(TableIncomeCalculations[[#This Row],[NetMonthlySalaryP1]]*12)</f>
        <v>280183.52609599999</v>
      </c>
      <c r="D3" s="37">
        <f>(TableIncomeCalculations[[#This Row],[NetMonthlySalaryP2]]*12)</f>
        <v>460002.95782640006</v>
      </c>
      <c r="E3" s="36">
        <f>TableIncome[[#This Row],[SalaryP1]]*$I$7</f>
        <v>56036.705219199997</v>
      </c>
      <c r="F3" s="36">
        <f>TableIncome[[#This Row],[SalaryP2]]*$I$7</f>
        <v>92000.591565280018</v>
      </c>
      <c r="G3" s="16"/>
      <c r="H3" s="14" t="s">
        <v>63</v>
      </c>
      <c r="I3" s="15" cm="1">
        <f t="array" ref="I3:I7">'Salary Variables'!$C$4:$C$8</f>
        <v>0.03</v>
      </c>
      <c r="K3" s="57">
        <f>(TableIncome[[#This Row],[SalaryP1]]-TableIncome[[#This Row],[InvestmentP1]])/12</f>
        <v>18678.901739733334</v>
      </c>
      <c r="L3" s="57">
        <f>(TableIncome[[#This Row],[SalaryP2]]-TableIncome[[#This Row],[InvestmentP2]])/12</f>
        <v>30666.863855093339</v>
      </c>
      <c r="M3" s="34">
        <f>'Net Salary P1'!BI2</f>
        <v>23348.627174666664</v>
      </c>
      <c r="N3" s="35">
        <f>'Net Salary P2'!BI2</f>
        <v>38333.579818866674</v>
      </c>
      <c r="O3" s="35">
        <f>TableIncomeCalculations[[#This Row],[GrossMonthlySalaryP1]]/(1+I2)</f>
        <v>43000</v>
      </c>
      <c r="P3" s="31">
        <f>TableIncomeCalculations[[#This Row],[GrossMonthlySalaryP2]]/(1+I2)</f>
        <v>72167</v>
      </c>
      <c r="Q3" s="35">
        <f>43000*(1+I3)</f>
        <v>44290</v>
      </c>
      <c r="R3" s="31">
        <f>72167*(1+I3)</f>
        <v>74332.009999999995</v>
      </c>
      <c r="S3" t="str">
        <f>JobHopping[[#This Row],[SwitchP1Static]]</f>
        <v>N</v>
      </c>
      <c r="T3" t="str">
        <f>JobHopping[[#This Row],[SwitchP2Static]]</f>
        <v>N</v>
      </c>
    </row>
    <row r="4" spans="1:20" x14ac:dyDescent="0.35">
      <c r="B4" s="3">
        <v>2026</v>
      </c>
      <c r="C4" s="38">
        <f>(TableIncomeCalculations[[#This Row],[NetMonthlySalaryP1]]*12)</f>
        <v>280183.52609599999</v>
      </c>
      <c r="D4" s="37">
        <f>(TableIncomeCalculations[[#This Row],[NetMonthlySalaryP2]]*12)</f>
        <v>460002.95782640006</v>
      </c>
      <c r="E4" s="36">
        <f>TableIncome[[#This Row],[SalaryP1]]*$I$7</f>
        <v>56036.705219199997</v>
      </c>
      <c r="F4" s="36">
        <f>TableIncome[[#This Row],[SalaryP2]]*$I$7</f>
        <v>92000.591565280018</v>
      </c>
      <c r="G4" s="16"/>
      <c r="H4" s="14" t="s">
        <v>65</v>
      </c>
      <c r="I4" s="15">
        <v>0</v>
      </c>
      <c r="K4" s="57">
        <f>(TableIncome[[#This Row],[SalaryP1]]-TableIncome[[#This Row],[InvestmentP1]])/12</f>
        <v>18678.901739733334</v>
      </c>
      <c r="L4" s="57">
        <f>(TableIncome[[#This Row],[SalaryP2]]-TableIncome[[#This Row],[InvestmentP2]])/12</f>
        <v>30666.863855093339</v>
      </c>
      <c r="M4" s="34">
        <f>'Net Salary P1'!BI3</f>
        <v>23348.627174666664</v>
      </c>
      <c r="N4" s="35">
        <f>'Net Salary P2'!BI3</f>
        <v>38333.579818866674</v>
      </c>
      <c r="O4" s="35">
        <f>IF(_xlfn.XLOOKUP(TableIncome[[#This Row],[Year]],Loop!C:C,Loop!D:D)&lt;75,(O3*(1+$I$4))+IF(TableIncomeCalculations[[#This Row],[SwitchP1]]="Y",O3*$I$6,0),0)</f>
        <v>43000</v>
      </c>
      <c r="P4" s="35">
        <f>IF(_xlfn.XLOOKUP(TableIncome[[#This Row],[Year]],Loop!C:C,Loop!E:E)&lt;75,(P3*(1+$I$4))+IF(TableIncomeCalculations[[#This Row],[SwitchP2]]="Y",P3*$I$6,0),0)</f>
        <v>72167</v>
      </c>
      <c r="Q4" s="35">
        <f>IF(_xlfn.XLOOKUP(TableIncome[[#This Row],[Year]],Loop!C:C,Loop!D:D)&lt;75,(Q3*(1+$I$3))+IF(TableIncomeCalculations[[#This Row],[SwitchP1]]="Y",Q3*$I$5,0),0)</f>
        <v>45618.700000000004</v>
      </c>
      <c r="R4" s="35">
        <f>IF(_xlfn.XLOOKUP(TableIncome[[#This Row],[Year]],Loop!C:C,Loop!E:E)&lt;75,(R3*(1+$I$3))+IF(TableIncomeCalculations[[#This Row],[SwitchP2]]="Y",R3*$I$5,0),0)</f>
        <v>76561.970300000001</v>
      </c>
      <c r="S4" t="str">
        <f>JobHopping[[#This Row],[SwitchP1Static]]</f>
        <v>N</v>
      </c>
      <c r="T4" t="str">
        <f>JobHopping[[#This Row],[SwitchP2Static]]</f>
        <v>N</v>
      </c>
    </row>
    <row r="5" spans="1:20" x14ac:dyDescent="0.35">
      <c r="B5" s="3">
        <v>2027</v>
      </c>
      <c r="C5" s="38">
        <f>(TableIncomeCalculations[[#This Row],[NetMonthlySalaryP1]]*12)</f>
        <v>288705.77074399998</v>
      </c>
      <c r="D5" s="37">
        <f>(TableIncomeCalculations[[#This Row],[NetMonthlySalaryP2]]*12)</f>
        <v>470899.86710631195</v>
      </c>
      <c r="E5" s="36">
        <f>TableIncome[[#This Row],[SalaryP1]]*$I$7</f>
        <v>57741.1541488</v>
      </c>
      <c r="F5" s="36">
        <f>TableIncome[[#This Row],[SalaryP2]]*$I$7</f>
        <v>94179.973421262403</v>
      </c>
      <c r="G5" s="16"/>
      <c r="H5" s="14" t="s">
        <v>64</v>
      </c>
      <c r="I5" s="15">
        <v>0.06</v>
      </c>
      <c r="K5" s="57">
        <f>(TableIncome[[#This Row],[SalaryP1]]-TableIncome[[#This Row],[InvestmentP1]])/12</f>
        <v>19247.051382933332</v>
      </c>
      <c r="L5" s="57">
        <f>(TableIncome[[#This Row],[SalaryP2]]-TableIncome[[#This Row],[InvestmentP2]])/12</f>
        <v>31393.324473754128</v>
      </c>
      <c r="M5" s="34">
        <f>'Net Salary P1'!BI4</f>
        <v>24058.814228666666</v>
      </c>
      <c r="N5" s="35">
        <f>'Net Salary P2'!BI4</f>
        <v>39241.655592192663</v>
      </c>
      <c r="O5" s="35">
        <f>IF(_xlfn.XLOOKUP(TableIncome[[#This Row],[Year]],Loop!C:C,Loop!D:D)&lt;75,(O4*(1+$I$4))+IF(TableIncomeCalculations[[#This Row],[SwitchP1]]="Y",O4*$I$6,0),0)</f>
        <v>44290</v>
      </c>
      <c r="P5" s="35">
        <f>IF(_xlfn.XLOOKUP(TableIncome[[#This Row],[Year]],Loop!C:C,Loop!E:E)&lt;75,(P4*(1+$I$4))+IF(TableIncomeCalculations[[#This Row],[SwitchP2]]="Y",P4*$I$6,0),0)</f>
        <v>74332.009999999995</v>
      </c>
      <c r="Q5" s="35">
        <f>IF(_xlfn.XLOOKUP(TableIncome[[#This Row],[Year]],Loop!C:C,Loop!D:D)&lt;75,(Q4*(1+$I$3))+IF(TableIncomeCalculations[[#This Row],[SwitchP1]]="Y",Q4*$I$5,0),0)</f>
        <v>49724.383000000009</v>
      </c>
      <c r="R5" s="35">
        <f>IF(_xlfn.XLOOKUP(TableIncome[[#This Row],[Year]],Loop!C:C,Loop!E:E)&lt;75,(R4*(1+$I$3))+IF(TableIncomeCalculations[[#This Row],[SwitchP2]]="Y",R4*$I$5,0),0)</f>
        <v>83452.547626999993</v>
      </c>
      <c r="S5" t="str">
        <f>JobHopping[[#This Row],[SwitchP1Static]]</f>
        <v>Y</v>
      </c>
      <c r="T5" t="str">
        <f>JobHopping[[#This Row],[SwitchP2Static]]</f>
        <v>Y</v>
      </c>
    </row>
    <row r="6" spans="1:20" x14ac:dyDescent="0.35">
      <c r="B6" s="3">
        <v>2028</v>
      </c>
      <c r="C6" s="38">
        <f>(TableIncomeCalculations[[#This Row],[NetMonthlySalaryP1]]*12)</f>
        <v>288705.77074399998</v>
      </c>
      <c r="D6" s="37">
        <f>(TableIncomeCalculations[[#This Row],[NetMonthlySalaryP2]]*12)</f>
        <v>470899.86710631195</v>
      </c>
      <c r="E6" s="36">
        <f>TableIncome[[#This Row],[SalaryP1]]*$I$7</f>
        <v>57741.1541488</v>
      </c>
      <c r="F6" s="36">
        <f>TableIncome[[#This Row],[SalaryP2]]*$I$7</f>
        <v>94179.973421262403</v>
      </c>
      <c r="G6" s="16"/>
      <c r="H6" s="14" t="s">
        <v>175</v>
      </c>
      <c r="I6" s="15">
        <v>0.03</v>
      </c>
      <c r="K6" s="57">
        <f>(TableIncome[[#This Row],[SalaryP1]]-TableIncome[[#This Row],[InvestmentP1]])/12</f>
        <v>19247.051382933332</v>
      </c>
      <c r="L6" s="57">
        <f>(TableIncome[[#This Row],[SalaryP2]]-TableIncome[[#This Row],[InvestmentP2]])/12</f>
        <v>31393.324473754128</v>
      </c>
      <c r="M6" s="34">
        <f>'Net Salary P1'!BI5</f>
        <v>24058.814228666666</v>
      </c>
      <c r="N6" s="35">
        <f>'Net Salary P2'!BI5</f>
        <v>39241.655592192663</v>
      </c>
      <c r="O6" s="35">
        <f>IF(_xlfn.XLOOKUP(TableIncome[[#This Row],[Year]],Loop!C:C,Loop!D:D)&lt;75,(O5*(1+$I$4))+IF(TableIncomeCalculations[[#This Row],[SwitchP1]]="Y",O5*$I$6,0),0)</f>
        <v>44290</v>
      </c>
      <c r="P6" s="35">
        <f>IF(_xlfn.XLOOKUP(TableIncome[[#This Row],[Year]],Loop!C:C,Loop!E:E)&lt;75,(P5*(1+$I$4))+IF(TableIncomeCalculations[[#This Row],[SwitchP2]]="Y",P5*$I$6,0),0)</f>
        <v>74332.009999999995</v>
      </c>
      <c r="Q6" s="35">
        <f>IF(_xlfn.XLOOKUP(TableIncome[[#This Row],[Year]],Loop!C:C,Loop!D:D)&lt;75,(Q5*(1+$I$3))+IF(TableIncomeCalculations[[#This Row],[SwitchP1]]="Y",Q5*$I$5,0),0)</f>
        <v>51216.114490000007</v>
      </c>
      <c r="R6" s="35">
        <f>IF(_xlfn.XLOOKUP(TableIncome[[#This Row],[Year]],Loop!C:C,Loop!E:E)&lt;75,(R5*(1+$I$3))+IF(TableIncomeCalculations[[#This Row],[SwitchP2]]="Y",R5*$I$5,0),0)</f>
        <v>85956.124055809996</v>
      </c>
      <c r="S6" t="str">
        <f>JobHopping[[#This Row],[SwitchP1Static]]</f>
        <v>N</v>
      </c>
      <c r="T6" t="str">
        <f>JobHopping[[#This Row],[SwitchP2Static]]</f>
        <v>N</v>
      </c>
    </row>
    <row r="7" spans="1:20" x14ac:dyDescent="0.35">
      <c r="B7" s="3">
        <v>2029</v>
      </c>
      <c r="C7" s="38">
        <f>(TableIncomeCalculations[[#This Row],[NetMonthlySalaryP1]]*12)</f>
        <v>288705.77074399998</v>
      </c>
      <c r="D7" s="37">
        <f>(TableIncomeCalculations[[#This Row],[NetMonthlySalaryP2]]*12)</f>
        <v>470899.86710631195</v>
      </c>
      <c r="E7" s="36">
        <f>TableIncome[[#This Row],[SalaryP1]]*$I$7</f>
        <v>57741.1541488</v>
      </c>
      <c r="F7" s="36">
        <f>TableIncome[[#This Row],[SalaryP2]]*$I$7</f>
        <v>94179.973421262403</v>
      </c>
      <c r="G7" s="16"/>
      <c r="H7" s="14" t="s">
        <v>76</v>
      </c>
      <c r="I7" s="15">
        <v>0.2</v>
      </c>
      <c r="K7" s="57">
        <f>(TableIncome[[#This Row],[SalaryP1]]-TableIncome[[#This Row],[InvestmentP1]])/12</f>
        <v>19247.051382933332</v>
      </c>
      <c r="L7" s="57">
        <f>(TableIncome[[#This Row],[SalaryP2]]-TableIncome[[#This Row],[InvestmentP2]])/12</f>
        <v>31393.324473754128</v>
      </c>
      <c r="M7" s="34">
        <f>'Net Salary P1'!BI6</f>
        <v>24058.814228666666</v>
      </c>
      <c r="N7" s="35">
        <f>'Net Salary P2'!BI6</f>
        <v>39241.655592192663</v>
      </c>
      <c r="O7" s="35">
        <f>IF(_xlfn.XLOOKUP(TableIncome[[#This Row],[Year]],Loop!C:C,Loop!D:D)&lt;75,(O6*(1+$I$4))+IF(TableIncomeCalculations[[#This Row],[SwitchP1]]="Y",O6*$I$6,0),0)</f>
        <v>44290</v>
      </c>
      <c r="P7" s="35">
        <f>IF(_xlfn.XLOOKUP(TableIncome[[#This Row],[Year]],Loop!C:C,Loop!E:E)&lt;75,(P6*(1+$I$4))+IF(TableIncomeCalculations[[#This Row],[SwitchP2]]="Y",P6*$I$6,0),0)</f>
        <v>74332.009999999995</v>
      </c>
      <c r="Q7" s="35">
        <f>IF(_xlfn.XLOOKUP(TableIncome[[#This Row],[Year]],Loop!C:C,Loop!D:D)&lt;75,(Q6*(1+$I$3))+IF(TableIncomeCalculations[[#This Row],[SwitchP1]]="Y",Q6*$I$5,0),0)</f>
        <v>52752.597924700007</v>
      </c>
      <c r="R7" s="35">
        <f>IF(_xlfn.XLOOKUP(TableIncome[[#This Row],[Year]],Loop!C:C,Loop!E:E)&lt;75,(R6*(1+$I$3))+IF(TableIncomeCalculations[[#This Row],[SwitchP2]]="Y",R6*$I$5,0),0)</f>
        <v>88534.807777484297</v>
      </c>
      <c r="S7" t="str">
        <f>JobHopping[[#This Row],[SwitchP1Static]]</f>
        <v>N</v>
      </c>
      <c r="T7" t="str">
        <f>JobHopping[[#This Row],[SwitchP2Static]]</f>
        <v>N</v>
      </c>
    </row>
    <row r="8" spans="1:20" x14ac:dyDescent="0.35">
      <c r="B8" s="3">
        <v>2030</v>
      </c>
      <c r="C8" s="38">
        <f>(TableIncomeCalculations[[#This Row],[NetMonthlySalaryP1]]*12)</f>
        <v>288705.77074399998</v>
      </c>
      <c r="D8" s="37">
        <f>(TableIncomeCalculations[[#This Row],[NetMonthlySalaryP2]]*12)</f>
        <v>470899.86710631195</v>
      </c>
      <c r="E8" s="36">
        <f>TableIncome[[#This Row],[SalaryP1]]*$I$7</f>
        <v>57741.1541488</v>
      </c>
      <c r="F8" s="36">
        <f>TableIncome[[#This Row],[SalaryP2]]*$I$7</f>
        <v>94179.973421262403</v>
      </c>
      <c r="G8" s="16"/>
      <c r="I8" s="17"/>
      <c r="K8" s="57">
        <f>(TableIncome[[#This Row],[SalaryP1]]-TableIncome[[#This Row],[InvestmentP1]])/12</f>
        <v>19247.051382933332</v>
      </c>
      <c r="L8" s="57">
        <f>(TableIncome[[#This Row],[SalaryP2]]-TableIncome[[#This Row],[InvestmentP2]])/12</f>
        <v>31393.324473754128</v>
      </c>
      <c r="M8" s="34">
        <f>'Net Salary P1'!BI7</f>
        <v>24058.814228666666</v>
      </c>
      <c r="N8" s="35">
        <f>'Net Salary P2'!BI7</f>
        <v>39241.655592192663</v>
      </c>
      <c r="O8" s="35">
        <f>IF(_xlfn.XLOOKUP(TableIncome[[#This Row],[Year]],Loop!C:C,Loop!D:D)&lt;75,(O7*(1+$I$4))+IF(TableIncomeCalculations[[#This Row],[SwitchP1]]="Y",O7*$I$6,0),0)</f>
        <v>44290</v>
      </c>
      <c r="P8" s="35">
        <f>IF(_xlfn.XLOOKUP(TableIncome[[#This Row],[Year]],Loop!C:C,Loop!E:E)&lt;75,(P7*(1+$I$4))+IF(TableIncomeCalculations[[#This Row],[SwitchP2]]="Y",P7*$I$6,0),0)</f>
        <v>74332.009999999995</v>
      </c>
      <c r="Q8" s="35">
        <f>IF(_xlfn.XLOOKUP(TableIncome[[#This Row],[Year]],Loop!C:C,Loop!D:D)&lt;75,(Q7*(1+$I$3))+IF(TableIncomeCalculations[[#This Row],[SwitchP1]]="Y",Q7*$I$5,0),0)</f>
        <v>54335.175862441007</v>
      </c>
      <c r="R8" s="35">
        <f>IF(_xlfn.XLOOKUP(TableIncome[[#This Row],[Year]],Loop!C:C,Loop!E:E)&lt;75,(R7*(1+$I$3))+IF(TableIncomeCalculations[[#This Row],[SwitchP2]]="Y",R7*$I$5,0),0)</f>
        <v>91190.852010808827</v>
      </c>
      <c r="S8" t="str">
        <f>JobHopping[[#This Row],[SwitchP1Static]]</f>
        <v>N</v>
      </c>
      <c r="T8" t="str">
        <f>JobHopping[[#This Row],[SwitchP2Static]]</f>
        <v>N</v>
      </c>
    </row>
    <row r="9" spans="1:20" x14ac:dyDescent="0.35">
      <c r="B9" s="3">
        <v>2031</v>
      </c>
      <c r="C9" s="38">
        <f>(TableIncomeCalculations[[#This Row],[NetMonthlySalaryP1]]*12)</f>
        <v>297483.68273143994</v>
      </c>
      <c r="D9" s="37">
        <f>(TableIncomeCalculations[[#This Row],[NetMonthlySalaryP2]]*12)</f>
        <v>482123.68366462132</v>
      </c>
      <c r="E9" s="36">
        <f>TableIncome[[#This Row],[SalaryP1]]*$I$7</f>
        <v>59496.73654628799</v>
      </c>
      <c r="F9" s="36">
        <f>TableIncome[[#This Row],[SalaryP2]]*$I$7</f>
        <v>96424.73673292427</v>
      </c>
      <c r="G9" s="16"/>
      <c r="K9" s="57">
        <f>(TableIncome[[#This Row],[SalaryP1]]-TableIncome[[#This Row],[InvestmentP1]])/12</f>
        <v>19832.245515429331</v>
      </c>
      <c r="L9" s="57">
        <f>(TableIncome[[#This Row],[SalaryP2]]-TableIncome[[#This Row],[InvestmentP2]])/12</f>
        <v>32141.578910974757</v>
      </c>
      <c r="M9" s="34">
        <f>'Net Salary P1'!BI8</f>
        <v>24790.306894286663</v>
      </c>
      <c r="N9" s="35">
        <f>'Net Salary P2'!BI8</f>
        <v>40176.973638718446</v>
      </c>
      <c r="O9" s="35">
        <f>IF(_xlfn.XLOOKUP(TableIncome[[#This Row],[Year]],Loop!C:C,Loop!D:D)&lt;75,(O8*(1+$I$4))+IF(TableIncomeCalculations[[#This Row],[SwitchP1]]="Y",O8*$I$6,0),0)</f>
        <v>45618.7</v>
      </c>
      <c r="P9" s="35">
        <f>IF(_xlfn.XLOOKUP(TableIncome[[#This Row],[Year]],Loop!C:C,Loop!E:E)&lt;75,(P8*(1+$I$4))+IF(TableIncomeCalculations[[#This Row],[SwitchP2]]="Y",P8*$I$6,0),0)</f>
        <v>76561.970300000001</v>
      </c>
      <c r="Q9" s="35">
        <f>IF(_xlfn.XLOOKUP(TableIncome[[#This Row],[Year]],Loop!C:C,Loop!D:D)&lt;75,(Q8*(1+$I$3))+IF(TableIncomeCalculations[[#This Row],[SwitchP1]]="Y",Q8*$I$5,0),0)</f>
        <v>59225.341690060697</v>
      </c>
      <c r="R9" s="35">
        <f>IF(_xlfn.XLOOKUP(TableIncome[[#This Row],[Year]],Loop!C:C,Loop!E:E)&lt;75,(R8*(1+$I$3))+IF(TableIncomeCalculations[[#This Row],[SwitchP2]]="Y",R8*$I$5,0),0)</f>
        <v>99398.028691781627</v>
      </c>
      <c r="S9" t="str">
        <f>JobHopping[[#This Row],[SwitchP1Static]]</f>
        <v>Y</v>
      </c>
      <c r="T9" t="str">
        <f>JobHopping[[#This Row],[SwitchP2Static]]</f>
        <v>Y</v>
      </c>
    </row>
    <row r="10" spans="1:20" x14ac:dyDescent="0.35">
      <c r="B10" s="3">
        <v>2032</v>
      </c>
      <c r="C10" s="38">
        <f>(TableIncomeCalculations[[#This Row],[NetMonthlySalaryP1]]*12)</f>
        <v>297483.68273143994</v>
      </c>
      <c r="D10" s="37">
        <f>(TableIncomeCalculations[[#This Row],[NetMonthlySalaryP2]]*12)</f>
        <v>482123.68366462132</v>
      </c>
      <c r="E10" s="36">
        <f>TableIncome[[#This Row],[SalaryP1]]*$I$7</f>
        <v>59496.73654628799</v>
      </c>
      <c r="F10" s="36">
        <f>TableIncome[[#This Row],[SalaryP2]]*$I$7</f>
        <v>96424.73673292427</v>
      </c>
      <c r="G10" s="16"/>
      <c r="H10" s="28"/>
      <c r="K10" s="57">
        <f>(TableIncome[[#This Row],[SalaryP1]]-TableIncome[[#This Row],[InvestmentP1]])/12</f>
        <v>19832.245515429331</v>
      </c>
      <c r="L10" s="57">
        <f>(TableIncome[[#This Row],[SalaryP2]]-TableIncome[[#This Row],[InvestmentP2]])/12</f>
        <v>32141.578910974757</v>
      </c>
      <c r="M10" s="34">
        <f>'Net Salary P1'!BI9</f>
        <v>24790.306894286663</v>
      </c>
      <c r="N10" s="35">
        <f>'Net Salary P2'!BI9</f>
        <v>40176.973638718446</v>
      </c>
      <c r="O10" s="35">
        <f>IF(_xlfn.XLOOKUP(TableIncome[[#This Row],[Year]],Loop!C:C,Loop!D:D)&lt;75,(O9*(1+$I$4))+IF(TableIncomeCalculations[[#This Row],[SwitchP1]]="Y",O9*$I$6,0),0)</f>
        <v>45618.7</v>
      </c>
      <c r="P10" s="35">
        <f>IF(_xlfn.XLOOKUP(TableIncome[[#This Row],[Year]],Loop!C:C,Loop!E:E)&lt;75,(P9*(1+$I$4))+IF(TableIncomeCalculations[[#This Row],[SwitchP2]]="Y",P9*$I$6,0),0)</f>
        <v>76561.970300000001</v>
      </c>
      <c r="Q10" s="35">
        <f>IF(_xlfn.XLOOKUP(TableIncome[[#This Row],[Year]],Loop!C:C,Loop!D:D)&lt;75,(Q9*(1+$I$3))+IF(TableIncomeCalculations[[#This Row],[SwitchP1]]="Y",Q9*$I$5,0),0)</f>
        <v>61002.101940762521</v>
      </c>
      <c r="R10" s="35">
        <f>IF(_xlfn.XLOOKUP(TableIncome[[#This Row],[Year]],Loop!C:C,Loop!E:E)&lt;75,(R9*(1+$I$3))+IF(TableIncomeCalculations[[#This Row],[SwitchP2]]="Y",R9*$I$5,0),0)</f>
        <v>102379.96955253508</v>
      </c>
      <c r="S10" t="str">
        <f>JobHopping[[#This Row],[SwitchP1Static]]</f>
        <v>N</v>
      </c>
      <c r="T10" t="str">
        <f>JobHopping[[#This Row],[SwitchP2Static]]</f>
        <v>N</v>
      </c>
    </row>
    <row r="11" spans="1:20" x14ac:dyDescent="0.35">
      <c r="B11" s="3">
        <v>2033</v>
      </c>
      <c r="C11" s="38">
        <f>(TableIncomeCalculations[[#This Row],[NetMonthlySalaryP1]]*12)</f>
        <v>297483.68273143994</v>
      </c>
      <c r="D11" s="37">
        <f>(TableIncomeCalculations[[#This Row],[NetMonthlySalaryP2]]*12)</f>
        <v>482123.68366462132</v>
      </c>
      <c r="E11" s="36">
        <f>TableIncome[[#This Row],[SalaryP1]]*$I$7</f>
        <v>59496.73654628799</v>
      </c>
      <c r="F11" s="36">
        <f>TableIncome[[#This Row],[SalaryP2]]*$I$7</f>
        <v>96424.73673292427</v>
      </c>
      <c r="G11" s="16"/>
      <c r="K11" s="57">
        <f>(TableIncome[[#This Row],[SalaryP1]]-TableIncome[[#This Row],[InvestmentP1]])/12</f>
        <v>19832.245515429331</v>
      </c>
      <c r="L11" s="57">
        <f>(TableIncome[[#This Row],[SalaryP2]]-TableIncome[[#This Row],[InvestmentP2]])/12</f>
        <v>32141.578910974757</v>
      </c>
      <c r="M11" s="34">
        <f>'Net Salary P1'!BI10</f>
        <v>24790.306894286663</v>
      </c>
      <c r="N11" s="35">
        <f>'Net Salary P2'!BI10</f>
        <v>40176.973638718446</v>
      </c>
      <c r="O11" s="35">
        <f>IF(_xlfn.XLOOKUP(TableIncome[[#This Row],[Year]],Loop!C:C,Loop!D:D)&lt;75,(O10*(1+$I$4))+IF(TableIncomeCalculations[[#This Row],[SwitchP1]]="Y",O10*$I$6,0),0)</f>
        <v>45618.7</v>
      </c>
      <c r="P11" s="35">
        <f>IF(_xlfn.XLOOKUP(TableIncome[[#This Row],[Year]],Loop!C:C,Loop!E:E)&lt;75,(P10*(1+$I$4))+IF(TableIncomeCalculations[[#This Row],[SwitchP2]]="Y",P10*$I$6,0),0)</f>
        <v>76561.970300000001</v>
      </c>
      <c r="Q11" s="35">
        <f>IF(_xlfn.XLOOKUP(TableIncome[[#This Row],[Year]],Loop!C:C,Loop!D:D)&lt;75,(Q10*(1+$I$3))+IF(TableIncomeCalculations[[#This Row],[SwitchP1]]="Y",Q10*$I$5,0),0)</f>
        <v>62832.164998985398</v>
      </c>
      <c r="R11" s="35">
        <f>IF(_xlfn.XLOOKUP(TableIncome[[#This Row],[Year]],Loop!C:C,Loop!E:E)&lt;75,(R10*(1+$I$3))+IF(TableIncomeCalculations[[#This Row],[SwitchP2]]="Y",R10*$I$5,0),0)</f>
        <v>105451.36863911114</v>
      </c>
      <c r="S11" t="str">
        <f>JobHopping[[#This Row],[SwitchP1Static]]</f>
        <v>N</v>
      </c>
      <c r="T11" t="str">
        <f>JobHopping[[#This Row],[SwitchP2Static]]</f>
        <v>N</v>
      </c>
    </row>
    <row r="12" spans="1:20" x14ac:dyDescent="0.35">
      <c r="B12" s="3">
        <v>2034</v>
      </c>
      <c r="C12" s="38">
        <f>(TableIncomeCalculations[[#This Row],[NetMonthlySalaryP1]]*12)</f>
        <v>297483.68273143994</v>
      </c>
      <c r="D12" s="37">
        <f>(TableIncomeCalculations[[#This Row],[NetMonthlySalaryP2]]*12)</f>
        <v>482123.68366462132</v>
      </c>
      <c r="E12" s="36">
        <f>TableIncome[[#This Row],[SalaryP1]]*$I$7</f>
        <v>59496.73654628799</v>
      </c>
      <c r="F12" s="36">
        <f>TableIncome[[#This Row],[SalaryP2]]*$I$7</f>
        <v>96424.73673292427</v>
      </c>
      <c r="G12" s="16"/>
      <c r="K12" s="57">
        <f>(TableIncome[[#This Row],[SalaryP1]]-TableIncome[[#This Row],[InvestmentP1]])/12</f>
        <v>19832.245515429331</v>
      </c>
      <c r="L12" s="57">
        <f>(TableIncome[[#This Row],[SalaryP2]]-TableIncome[[#This Row],[InvestmentP2]])/12</f>
        <v>32141.578910974757</v>
      </c>
      <c r="M12" s="34">
        <f>'Net Salary P1'!BI11</f>
        <v>24790.306894286663</v>
      </c>
      <c r="N12" s="35">
        <f>'Net Salary P2'!BI11</f>
        <v>40176.973638718446</v>
      </c>
      <c r="O12" s="35">
        <f>IF(_xlfn.XLOOKUP(TableIncome[[#This Row],[Year]],Loop!C:C,Loop!D:D)&lt;75,(O11*(1+$I$4))+IF(TableIncomeCalculations[[#This Row],[SwitchP1]]="Y",O11*$I$6,0),0)</f>
        <v>45618.7</v>
      </c>
      <c r="P12" s="35">
        <f>IF(_xlfn.XLOOKUP(TableIncome[[#This Row],[Year]],Loop!C:C,Loop!E:E)&lt;75,(P11*(1+$I$4))+IF(TableIncomeCalculations[[#This Row],[SwitchP2]]="Y",P11*$I$6,0),0)</f>
        <v>76561.970300000001</v>
      </c>
      <c r="Q12" s="35">
        <f>IF(_xlfn.XLOOKUP(TableIncome[[#This Row],[Year]],Loop!C:C,Loop!D:D)&lt;75,(Q11*(1+$I$3))+IF(TableIncomeCalculations[[#This Row],[SwitchP1]]="Y",Q11*$I$5,0),0)</f>
        <v>64717.129948954964</v>
      </c>
      <c r="R12" s="35">
        <f>IF(_xlfn.XLOOKUP(TableIncome[[#This Row],[Year]],Loop!C:C,Loop!E:E)&lt;75,(R11*(1+$I$3))+IF(TableIncomeCalculations[[#This Row],[SwitchP2]]="Y",R11*$I$5,0),0)</f>
        <v>108614.90969828448</v>
      </c>
      <c r="S12" t="str">
        <f>JobHopping[[#This Row],[SwitchP1Static]]</f>
        <v>N</v>
      </c>
      <c r="T12" t="str">
        <f>JobHopping[[#This Row],[SwitchP2Static]]</f>
        <v>N</v>
      </c>
    </row>
    <row r="13" spans="1:20" x14ac:dyDescent="0.35">
      <c r="B13" s="3">
        <v>2035</v>
      </c>
      <c r="C13" s="38">
        <f>(TableIncomeCalculations[[#This Row],[NetMonthlySalaryP1]]*12)</f>
        <v>306524.93207850319</v>
      </c>
      <c r="D13" s="37">
        <f>(TableIncomeCalculations[[#This Row],[NetMonthlySalaryP2]]*12)</f>
        <v>493684.21471968002</v>
      </c>
      <c r="E13" s="36">
        <f>TableIncome[[#This Row],[SalaryP1]]*$I$7</f>
        <v>61304.986415700638</v>
      </c>
      <c r="F13" s="36">
        <f>TableIncome[[#This Row],[SalaryP2]]*$I$7</f>
        <v>98736.842943936004</v>
      </c>
      <c r="G13" s="16"/>
      <c r="K13" s="57">
        <f>(TableIncome[[#This Row],[SalaryP1]]-TableIncome[[#This Row],[InvestmentP1]])/12</f>
        <v>20434.995471900213</v>
      </c>
      <c r="L13" s="57">
        <f>(TableIncome[[#This Row],[SalaryP2]]-TableIncome[[#This Row],[InvestmentP2]])/12</f>
        <v>32912.280981312004</v>
      </c>
      <c r="M13" s="34">
        <f>'Net Salary P1'!BI12</f>
        <v>25543.744339875266</v>
      </c>
      <c r="N13" s="35">
        <f>'Net Salary P2'!BI12</f>
        <v>41140.351226639999</v>
      </c>
      <c r="O13" s="35">
        <f>IF(_xlfn.XLOOKUP(TableIncome[[#This Row],[Year]],Loop!C:C,Loop!D:D)&lt;75,(O12*(1+$I$4))+IF(TableIncomeCalculations[[#This Row],[SwitchP1]]="Y",O12*$I$6,0),0)</f>
        <v>46987.260999999999</v>
      </c>
      <c r="P13" s="35">
        <f>IF(_xlfn.XLOOKUP(TableIncome[[#This Row],[Year]],Loop!C:C,Loop!E:E)&lt;75,(P12*(1+$I$4))+IF(TableIncomeCalculations[[#This Row],[SwitchP2]]="Y",P12*$I$6,0),0)</f>
        <v>78858.829408999998</v>
      </c>
      <c r="Q13" s="35">
        <f>IF(_xlfn.XLOOKUP(TableIncome[[#This Row],[Year]],Loop!C:C,Loop!D:D)&lt;75,(Q12*(1+$I$3))+IF(TableIncomeCalculations[[#This Row],[SwitchP1]]="Y",Q12*$I$5,0),0)</f>
        <v>70541.671644360918</v>
      </c>
      <c r="R13" s="35">
        <f>IF(_xlfn.XLOOKUP(TableIncome[[#This Row],[Year]],Loop!C:C,Loop!E:E)&lt;75,(R12*(1+$I$3))+IF(TableIncomeCalculations[[#This Row],[SwitchP2]]="Y",R12*$I$5,0),0)</f>
        <v>118390.25157113008</v>
      </c>
      <c r="S13" t="str">
        <f>JobHopping[[#This Row],[SwitchP1Static]]</f>
        <v>Y</v>
      </c>
      <c r="T13" t="str">
        <f>JobHopping[[#This Row],[SwitchP2Static]]</f>
        <v>Y</v>
      </c>
    </row>
    <row r="14" spans="1:20" x14ac:dyDescent="0.35">
      <c r="B14" s="3">
        <v>2036</v>
      </c>
      <c r="C14" s="38">
        <f>(TableIncomeCalculations[[#This Row],[NetMonthlySalaryP1]]*12)</f>
        <v>306524.93207850319</v>
      </c>
      <c r="D14" s="37">
        <f>(TableIncomeCalculations[[#This Row],[NetMonthlySalaryP2]]*12)</f>
        <v>493684.21471968002</v>
      </c>
      <c r="E14" s="36">
        <f>TableIncome[[#This Row],[SalaryP1]]*$I$7</f>
        <v>61304.986415700638</v>
      </c>
      <c r="F14" s="36">
        <f>TableIncome[[#This Row],[SalaryP2]]*$I$7</f>
        <v>98736.842943936004</v>
      </c>
      <c r="G14" s="16"/>
      <c r="K14" s="57">
        <f>(TableIncome[[#This Row],[SalaryP1]]-TableIncome[[#This Row],[InvestmentP1]])/12</f>
        <v>20434.995471900213</v>
      </c>
      <c r="L14" s="57">
        <f>(TableIncome[[#This Row],[SalaryP2]]-TableIncome[[#This Row],[InvestmentP2]])/12</f>
        <v>32912.280981312004</v>
      </c>
      <c r="M14" s="34">
        <f>'Net Salary P1'!BI13</f>
        <v>25543.744339875266</v>
      </c>
      <c r="N14" s="35">
        <f>'Net Salary P2'!BI13</f>
        <v>41140.351226639999</v>
      </c>
      <c r="O14" s="35">
        <f>IF(_xlfn.XLOOKUP(TableIncome[[#This Row],[Year]],Loop!C:C,Loop!D:D)&lt;75,(O13*(1+$I$4))+IF(TableIncomeCalculations[[#This Row],[SwitchP1]]="Y",O13*$I$6,0),0)</f>
        <v>46987.260999999999</v>
      </c>
      <c r="P14" s="35">
        <f>IF(_xlfn.XLOOKUP(TableIncome[[#This Row],[Year]],Loop!C:C,Loop!E:E)&lt;75,(P13*(1+$I$4))+IF(TableIncomeCalculations[[#This Row],[SwitchP2]]="Y",P13*$I$6,0),0)</f>
        <v>78858.829408999998</v>
      </c>
      <c r="Q14" s="35">
        <f>IF(_xlfn.XLOOKUP(TableIncome[[#This Row],[Year]],Loop!C:C,Loop!D:D)&lt;75,(Q13*(1+$I$3))+IF(TableIncomeCalculations[[#This Row],[SwitchP1]]="Y",Q13*$I$5,0),0)</f>
        <v>72657.921793691741</v>
      </c>
      <c r="R14" s="35">
        <f>IF(_xlfn.XLOOKUP(TableIncome[[#This Row],[Year]],Loop!C:C,Loop!E:E)&lt;75,(R13*(1+$I$3))+IF(TableIncomeCalculations[[#This Row],[SwitchP2]]="Y",R13*$I$5,0),0)</f>
        <v>121941.95911826399</v>
      </c>
      <c r="S14" t="str">
        <f>JobHopping[[#This Row],[SwitchP1Static]]</f>
        <v>N</v>
      </c>
      <c r="T14" t="str">
        <f>JobHopping[[#This Row],[SwitchP2Static]]</f>
        <v>N</v>
      </c>
    </row>
    <row r="15" spans="1:20" x14ac:dyDescent="0.35">
      <c r="B15" s="3">
        <v>2037</v>
      </c>
      <c r="C15" s="38">
        <f>(TableIncomeCalculations[[#This Row],[NetMonthlySalaryP1]]*12)</f>
        <v>306524.93207850319</v>
      </c>
      <c r="D15" s="37">
        <f>(TableIncomeCalculations[[#This Row],[NetMonthlySalaryP2]]*12)</f>
        <v>493684.21471968002</v>
      </c>
      <c r="E15" s="36">
        <f>TableIncome[[#This Row],[SalaryP1]]*$I$7</f>
        <v>61304.986415700638</v>
      </c>
      <c r="F15" s="36">
        <f>TableIncome[[#This Row],[SalaryP2]]*$I$7</f>
        <v>98736.842943936004</v>
      </c>
      <c r="G15" s="16"/>
      <c r="K15" s="57">
        <f>(TableIncome[[#This Row],[SalaryP1]]-TableIncome[[#This Row],[InvestmentP1]])/12</f>
        <v>20434.995471900213</v>
      </c>
      <c r="L15" s="57">
        <f>(TableIncome[[#This Row],[SalaryP2]]-TableIncome[[#This Row],[InvestmentP2]])/12</f>
        <v>32912.280981312004</v>
      </c>
      <c r="M15" s="34">
        <f>'Net Salary P1'!BI14</f>
        <v>25543.744339875266</v>
      </c>
      <c r="N15" s="35">
        <f>'Net Salary P2'!BI14</f>
        <v>41140.351226639999</v>
      </c>
      <c r="O15" s="35">
        <f>IF(_xlfn.XLOOKUP(TableIncome[[#This Row],[Year]],Loop!C:C,Loop!D:D)&lt;75,(O14*(1+$I$4))+IF(TableIncomeCalculations[[#This Row],[SwitchP1]]="Y",O14*$I$6,0),0)</f>
        <v>46987.260999999999</v>
      </c>
      <c r="P15" s="35">
        <f>IF(_xlfn.XLOOKUP(TableIncome[[#This Row],[Year]],Loop!C:C,Loop!E:E)&lt;75,(P14*(1+$I$4))+IF(TableIncomeCalculations[[#This Row],[SwitchP2]]="Y",P14*$I$6,0),0)</f>
        <v>78858.829408999998</v>
      </c>
      <c r="Q15" s="35">
        <f>IF(_xlfn.XLOOKUP(TableIncome[[#This Row],[Year]],Loop!C:C,Loop!D:D)&lt;75,(Q14*(1+$I$3))+IF(TableIncomeCalculations[[#This Row],[SwitchP1]]="Y",Q14*$I$5,0),0)</f>
        <v>74837.65944750249</v>
      </c>
      <c r="R15" s="35">
        <f>IF(_xlfn.XLOOKUP(TableIncome[[#This Row],[Year]],Loop!C:C,Loop!E:E)&lt;75,(R14*(1+$I$3))+IF(TableIncomeCalculations[[#This Row],[SwitchP2]]="Y",R14*$I$5,0),0)</f>
        <v>125600.2178918119</v>
      </c>
      <c r="S15" t="str">
        <f>JobHopping[[#This Row],[SwitchP1Static]]</f>
        <v>N</v>
      </c>
      <c r="T15" t="str">
        <f>JobHopping[[#This Row],[SwitchP2Static]]</f>
        <v>N</v>
      </c>
    </row>
    <row r="16" spans="1:20" x14ac:dyDescent="0.35">
      <c r="B16" s="3">
        <v>2038</v>
      </c>
      <c r="C16" s="38">
        <f>(TableIncomeCalculations[[#This Row],[NetMonthlySalaryP1]]*12)</f>
        <v>315837.41890597832</v>
      </c>
      <c r="D16" s="37">
        <f>(TableIncomeCalculations[[#This Row],[NetMonthlySalaryP2]]*12)</f>
        <v>505591.56170639035</v>
      </c>
      <c r="E16" s="36">
        <f>TableIncome[[#This Row],[SalaryP1]]*$I$7</f>
        <v>63167.483781195668</v>
      </c>
      <c r="F16" s="36">
        <f>TableIncome[[#This Row],[SalaryP2]]*$I$7</f>
        <v>101118.31234127807</v>
      </c>
      <c r="G16" s="16"/>
      <c r="K16" s="57">
        <f>(TableIncome[[#This Row],[SalaryP1]]-TableIncome[[#This Row],[InvestmentP1]])/12</f>
        <v>21055.827927065224</v>
      </c>
      <c r="L16" s="57">
        <f>(TableIncome[[#This Row],[SalaryP2]]-TableIncome[[#This Row],[InvestmentP2]])/12</f>
        <v>33706.104113759357</v>
      </c>
      <c r="M16" s="34">
        <f>'Net Salary P1'!BI15</f>
        <v>26319.784908831527</v>
      </c>
      <c r="N16" s="35">
        <f>'Net Salary P2'!BI15</f>
        <v>42132.630142199196</v>
      </c>
      <c r="O16" s="35">
        <f>IF(_xlfn.XLOOKUP(TableIncome[[#This Row],[Year]],Loop!C:C,Loop!D:D)&lt;75,(O15*(1+$I$4))+IF(TableIncomeCalculations[[#This Row],[SwitchP1]]="Y",O15*$I$6,0),0)</f>
        <v>48396.878830000001</v>
      </c>
      <c r="P16" s="35">
        <f>IF(_xlfn.XLOOKUP(TableIncome[[#This Row],[Year]],Loop!C:C,Loop!E:E)&lt;75,(P15*(1+$I$4))+IF(TableIncomeCalculations[[#This Row],[SwitchP2]]="Y",P15*$I$6,0),0)</f>
        <v>81224.594291269997</v>
      </c>
      <c r="Q16" s="35">
        <f>IF(_xlfn.XLOOKUP(TableIncome[[#This Row],[Year]],Loop!C:C,Loop!D:D)&lt;75,(Q15*(1+$I$3))+IF(TableIncomeCalculations[[#This Row],[SwitchP1]]="Y",Q15*$I$5,0),0)</f>
        <v>81573.048797777708</v>
      </c>
      <c r="R16" s="35">
        <f>IF(_xlfn.XLOOKUP(TableIncome[[#This Row],[Year]],Loop!C:C,Loop!E:E)&lt;75,(R15*(1+$I$3))+IF(TableIncomeCalculations[[#This Row],[SwitchP2]]="Y",R15*$I$5,0),0)</f>
        <v>136904.23750207498</v>
      </c>
      <c r="S16" t="str">
        <f>JobHopping[[#This Row],[SwitchP1Static]]</f>
        <v>Y</v>
      </c>
      <c r="T16" t="str">
        <f>JobHopping[[#This Row],[SwitchP2Static]]</f>
        <v>Y</v>
      </c>
    </row>
    <row r="17" spans="2:20" x14ac:dyDescent="0.35">
      <c r="B17" s="3">
        <v>2039</v>
      </c>
      <c r="C17" s="38">
        <f>(TableIncomeCalculations[[#This Row],[NetMonthlySalaryP1]]*12)</f>
        <v>315837.41890597832</v>
      </c>
      <c r="D17" s="37">
        <f>(TableIncomeCalculations[[#This Row],[NetMonthlySalaryP2]]*12)</f>
        <v>505591.56170639035</v>
      </c>
      <c r="E17" s="36">
        <f>TableIncome[[#This Row],[SalaryP1]]*$I$7</f>
        <v>63167.483781195668</v>
      </c>
      <c r="F17" s="36">
        <f>TableIncome[[#This Row],[SalaryP2]]*$I$7</f>
        <v>101118.31234127807</v>
      </c>
      <c r="G17" s="16"/>
      <c r="K17" s="57">
        <f>(TableIncome[[#This Row],[SalaryP1]]-TableIncome[[#This Row],[InvestmentP1]])/12</f>
        <v>21055.827927065224</v>
      </c>
      <c r="L17" s="57">
        <f>(TableIncome[[#This Row],[SalaryP2]]-TableIncome[[#This Row],[InvestmentP2]])/12</f>
        <v>33706.104113759357</v>
      </c>
      <c r="M17" s="34">
        <f>'Net Salary P1'!BI16</f>
        <v>26319.784908831527</v>
      </c>
      <c r="N17" s="35">
        <f>'Net Salary P2'!BI16</f>
        <v>42132.630142199196</v>
      </c>
      <c r="O17" s="35">
        <f>IF(_xlfn.XLOOKUP(TableIncome[[#This Row],[Year]],Loop!C:C,Loop!D:D)&lt;75,(O16*(1+$I$4))+IF(TableIncomeCalculations[[#This Row],[SwitchP1]]="Y",O16*$I$6,0),0)</f>
        <v>48396.878830000001</v>
      </c>
      <c r="P17" s="35">
        <f>IF(_xlfn.XLOOKUP(TableIncome[[#This Row],[Year]],Loop!C:C,Loop!E:E)&lt;75,(P16*(1+$I$4))+IF(TableIncomeCalculations[[#This Row],[SwitchP2]]="Y",P16*$I$6,0),0)</f>
        <v>81224.594291269997</v>
      </c>
      <c r="Q17" s="35">
        <f>IF(_xlfn.XLOOKUP(TableIncome[[#This Row],[Year]],Loop!C:C,Loop!D:D)&lt;75,(Q16*(1+$I$3))+IF(TableIncomeCalculations[[#This Row],[SwitchP1]]="Y",Q16*$I$5,0),0)</f>
        <v>84020.240261711035</v>
      </c>
      <c r="R17" s="35">
        <f>IF(_xlfn.XLOOKUP(TableIncome[[#This Row],[Year]],Loop!C:C,Loop!E:E)&lt;75,(R16*(1+$I$3))+IF(TableIncomeCalculations[[#This Row],[SwitchP2]]="Y",R16*$I$5,0),0)</f>
        <v>141011.36462713723</v>
      </c>
      <c r="S17" t="str">
        <f>JobHopping[[#This Row],[SwitchP1Static]]</f>
        <v>N</v>
      </c>
      <c r="T17" t="str">
        <f>JobHopping[[#This Row],[SwitchP2Static]]</f>
        <v>N</v>
      </c>
    </row>
    <row r="18" spans="2:20" x14ac:dyDescent="0.35">
      <c r="B18" s="3">
        <v>2040</v>
      </c>
      <c r="C18" s="38">
        <f>(TableIncomeCalculations[[#This Row],[NetMonthlySalaryP1]]*12)</f>
        <v>315837.41890597832</v>
      </c>
      <c r="D18" s="37">
        <f>(TableIncomeCalculations[[#This Row],[NetMonthlySalaryP2]]*12)</f>
        <v>505591.56170639035</v>
      </c>
      <c r="E18" s="36">
        <f>TableIncome[[#This Row],[SalaryP1]]*$I$7</f>
        <v>63167.483781195668</v>
      </c>
      <c r="F18" s="36">
        <f>TableIncome[[#This Row],[SalaryP2]]*$I$7</f>
        <v>101118.31234127807</v>
      </c>
      <c r="G18" s="16"/>
      <c r="K18" s="57">
        <f>(TableIncome[[#This Row],[SalaryP1]]-TableIncome[[#This Row],[InvestmentP1]])/12</f>
        <v>21055.827927065224</v>
      </c>
      <c r="L18" s="57">
        <f>(TableIncome[[#This Row],[SalaryP2]]-TableIncome[[#This Row],[InvestmentP2]])/12</f>
        <v>33706.104113759357</v>
      </c>
      <c r="M18" s="34">
        <f>'Net Salary P1'!BI17</f>
        <v>26319.784908831527</v>
      </c>
      <c r="N18" s="35">
        <f>'Net Salary P2'!BI17</f>
        <v>42132.630142199196</v>
      </c>
      <c r="O18" s="35">
        <f>IF(_xlfn.XLOOKUP(TableIncome[[#This Row],[Year]],Loop!C:C,Loop!D:D)&lt;75,(O17*(1+$I$4))+IF(TableIncomeCalculations[[#This Row],[SwitchP1]]="Y",O17*$I$6,0),0)</f>
        <v>48396.878830000001</v>
      </c>
      <c r="P18" s="35">
        <f>IF(_xlfn.XLOOKUP(TableIncome[[#This Row],[Year]],Loop!C:C,Loop!E:E)&lt;75,(P17*(1+$I$4))+IF(TableIncomeCalculations[[#This Row],[SwitchP2]]="Y",P17*$I$6,0),0)</f>
        <v>81224.594291269997</v>
      </c>
      <c r="Q18" s="35">
        <f>IF(_xlfn.XLOOKUP(TableIncome[[#This Row],[Year]],Loop!C:C,Loop!D:D)&lt;75,(Q17*(1+$I$3))+IF(TableIncomeCalculations[[#This Row],[SwitchP1]]="Y",Q17*$I$5,0),0)</f>
        <v>86540.847469562374</v>
      </c>
      <c r="R18" s="35">
        <f>IF(_xlfn.XLOOKUP(TableIncome[[#This Row],[Year]],Loop!C:C,Loop!E:E)&lt;75,(R17*(1+$I$3))+IF(TableIncomeCalculations[[#This Row],[SwitchP2]]="Y",R17*$I$5,0),0)</f>
        <v>145241.70556595136</v>
      </c>
      <c r="S18" t="str">
        <f>JobHopping[[#This Row],[SwitchP1Static]]</f>
        <v>N</v>
      </c>
      <c r="T18" t="str">
        <f>JobHopping[[#This Row],[SwitchP2Static]]</f>
        <v>N</v>
      </c>
    </row>
    <row r="19" spans="2:20" x14ac:dyDescent="0.35">
      <c r="B19" s="3">
        <v>2041</v>
      </c>
      <c r="C19" s="38">
        <f>(TableIncomeCalculations[[#This Row],[NetMonthlySalaryP1]]*12)</f>
        <v>315837.41890597832</v>
      </c>
      <c r="D19" s="37">
        <f>(TableIncomeCalculations[[#This Row],[NetMonthlySalaryP2]]*12)</f>
        <v>505591.56170639035</v>
      </c>
      <c r="E19" s="36">
        <f>TableIncome[[#This Row],[SalaryP1]]*$I$7</f>
        <v>63167.483781195668</v>
      </c>
      <c r="F19" s="36">
        <f>TableIncome[[#This Row],[SalaryP2]]*$I$7</f>
        <v>101118.31234127807</v>
      </c>
      <c r="G19" s="16"/>
      <c r="K19" s="57">
        <f>(TableIncome[[#This Row],[SalaryP1]]-TableIncome[[#This Row],[InvestmentP1]])/12</f>
        <v>21055.827927065224</v>
      </c>
      <c r="L19" s="57">
        <f>(TableIncome[[#This Row],[SalaryP2]]-TableIncome[[#This Row],[InvestmentP2]])/12</f>
        <v>33706.104113759357</v>
      </c>
      <c r="M19" s="34">
        <f>'Net Salary P1'!BI18</f>
        <v>26319.784908831527</v>
      </c>
      <c r="N19" s="35">
        <f>'Net Salary P2'!BI18</f>
        <v>42132.630142199196</v>
      </c>
      <c r="O19" s="35">
        <f>IF(_xlfn.XLOOKUP(TableIncome[[#This Row],[Year]],Loop!C:C,Loop!D:D)&lt;75,(O18*(1+$I$4))+IF(TableIncomeCalculations[[#This Row],[SwitchP1]]="Y",O18*$I$6,0),0)</f>
        <v>48396.878830000001</v>
      </c>
      <c r="P19" s="35">
        <f>IF(_xlfn.XLOOKUP(TableIncome[[#This Row],[Year]],Loop!C:C,Loop!E:E)&lt;75,(P18*(1+$I$4))+IF(TableIncomeCalculations[[#This Row],[SwitchP2]]="Y",P18*$I$6,0),0)</f>
        <v>81224.594291269997</v>
      </c>
      <c r="Q19" s="35">
        <f>IF(_xlfn.XLOOKUP(TableIncome[[#This Row],[Year]],Loop!C:C,Loop!D:D)&lt;75,(Q18*(1+$I$3))+IF(TableIncomeCalculations[[#This Row],[SwitchP1]]="Y",Q18*$I$5,0),0)</f>
        <v>89137.072893649252</v>
      </c>
      <c r="R19" s="35">
        <f>IF(_xlfn.XLOOKUP(TableIncome[[#This Row],[Year]],Loop!C:C,Loop!E:E)&lt;75,(R18*(1+$I$3))+IF(TableIncomeCalculations[[#This Row],[SwitchP2]]="Y",R18*$I$5,0),0)</f>
        <v>149598.95673292989</v>
      </c>
      <c r="S19" t="str">
        <f>JobHopping[[#This Row],[SwitchP1Static]]</f>
        <v>N</v>
      </c>
      <c r="T19" t="str">
        <f>JobHopping[[#This Row],[SwitchP2Static]]</f>
        <v>N</v>
      </c>
    </row>
    <row r="20" spans="2:20" x14ac:dyDescent="0.35">
      <c r="B20" s="3">
        <v>2042</v>
      </c>
      <c r="C20" s="38">
        <f>(TableIncomeCalculations[[#This Row],[NetMonthlySalaryP1]]*12)</f>
        <v>315837.41890597832</v>
      </c>
      <c r="D20" s="37">
        <f>(TableIncomeCalculations[[#This Row],[NetMonthlySalaryP2]]*12)</f>
        <v>505591.56170639035</v>
      </c>
      <c r="E20" s="36">
        <f>TableIncome[[#This Row],[SalaryP1]]*$I$7</f>
        <v>63167.483781195668</v>
      </c>
      <c r="F20" s="36">
        <f>TableIncome[[#This Row],[SalaryP2]]*$I$7</f>
        <v>101118.31234127807</v>
      </c>
      <c r="G20" s="16"/>
      <c r="K20" s="57">
        <f>(TableIncome[[#This Row],[SalaryP1]]-TableIncome[[#This Row],[InvestmentP1]])/12</f>
        <v>21055.827927065224</v>
      </c>
      <c r="L20" s="57">
        <f>(TableIncome[[#This Row],[SalaryP2]]-TableIncome[[#This Row],[InvestmentP2]])/12</f>
        <v>33706.104113759357</v>
      </c>
      <c r="M20" s="34">
        <f>'Net Salary P1'!BI19</f>
        <v>26319.784908831527</v>
      </c>
      <c r="N20" s="35">
        <f>'Net Salary P2'!BI19</f>
        <v>42132.630142199196</v>
      </c>
      <c r="O20" s="35">
        <f>IF(_xlfn.XLOOKUP(TableIncome[[#This Row],[Year]],Loop!C:C,Loop!D:D)&lt;75,(O19*(1+$I$4))+IF(TableIncomeCalculations[[#This Row],[SwitchP1]]="Y",O19*$I$6,0),0)</f>
        <v>48396.878830000001</v>
      </c>
      <c r="P20" s="35">
        <f>IF(_xlfn.XLOOKUP(TableIncome[[#This Row],[Year]],Loop!C:C,Loop!E:E)&lt;75,(P19*(1+$I$4))+IF(TableIncomeCalculations[[#This Row],[SwitchP2]]="Y",P19*$I$6,0),0)</f>
        <v>81224.594291269997</v>
      </c>
      <c r="Q20" s="35">
        <f>IF(_xlfn.XLOOKUP(TableIncome[[#This Row],[Year]],Loop!C:C,Loop!D:D)&lt;75,(Q19*(1+$I$3))+IF(TableIncomeCalculations[[#This Row],[SwitchP1]]="Y",Q19*$I$5,0),0)</f>
        <v>91811.18508045873</v>
      </c>
      <c r="R20" s="35">
        <f>IF(_xlfn.XLOOKUP(TableIncome[[#This Row],[Year]],Loop!C:C,Loop!E:E)&lt;75,(R19*(1+$I$3))+IF(TableIncomeCalculations[[#This Row],[SwitchP2]]="Y",R19*$I$5,0),0)</f>
        <v>154086.92543491779</v>
      </c>
      <c r="S20" t="str">
        <f>JobHopping[[#This Row],[SwitchP1Static]]</f>
        <v>N</v>
      </c>
      <c r="T20" t="str">
        <f>JobHopping[[#This Row],[SwitchP2Static]]</f>
        <v>N</v>
      </c>
    </row>
    <row r="21" spans="2:20" x14ac:dyDescent="0.35">
      <c r="B21" s="3">
        <v>2043</v>
      </c>
      <c r="C21" s="38">
        <f>(TableIncomeCalculations[[#This Row],[NetMonthlySalaryP1]]*12)</f>
        <v>325429.28033827769</v>
      </c>
      <c r="D21" s="37">
        <f>(TableIncomeCalculations[[#This Row],[NetMonthlySalaryP2]]*12)</f>
        <v>517856.12910270214</v>
      </c>
      <c r="E21" s="36">
        <f>TableIncome[[#This Row],[SalaryP1]]*$I$7</f>
        <v>65085.856067655543</v>
      </c>
      <c r="F21" s="36">
        <f>TableIncome[[#This Row],[SalaryP2]]*$I$7</f>
        <v>103571.22582054044</v>
      </c>
      <c r="G21" s="16"/>
      <c r="K21" s="57">
        <f>(TableIncome[[#This Row],[SalaryP1]]-TableIncome[[#This Row],[InvestmentP1]])/12</f>
        <v>21695.285355885178</v>
      </c>
      <c r="L21" s="57">
        <f>(TableIncome[[#This Row],[SalaryP2]]-TableIncome[[#This Row],[InvestmentP2]])/12</f>
        <v>34523.741940180138</v>
      </c>
      <c r="M21" s="34">
        <f>'Net Salary P1'!BI20</f>
        <v>27119.106694856473</v>
      </c>
      <c r="N21" s="35">
        <f>'Net Salary P2'!BI20</f>
        <v>43154.677425225178</v>
      </c>
      <c r="O21" s="35">
        <f>IF(_xlfn.XLOOKUP(TableIncome[[#This Row],[Year]],Loop!C:C,Loop!D:D)&lt;75,(O20*(1+$I$4))+IF(TableIncomeCalculations[[#This Row],[SwitchP1]]="Y",O20*$I$6,0),0)</f>
        <v>49848.785194900003</v>
      </c>
      <c r="P21" s="35">
        <f>IF(_xlfn.XLOOKUP(TableIncome[[#This Row],[Year]],Loop!C:C,Loop!E:E)&lt;75,(P20*(1+$I$4))+IF(TableIncomeCalculations[[#This Row],[SwitchP2]]="Y",P20*$I$6,0),0)</f>
        <v>83661.332120008097</v>
      </c>
      <c r="Q21" s="35">
        <f>IF(_xlfn.XLOOKUP(TableIncome[[#This Row],[Year]],Loop!C:C,Loop!D:D)&lt;75,(Q20*(1+$I$3))+IF(TableIncomeCalculations[[#This Row],[SwitchP1]]="Y",Q20*$I$5,0),0)</f>
        <v>100074.19173770001</v>
      </c>
      <c r="R21" s="35">
        <f>IF(_xlfn.XLOOKUP(TableIncome[[#This Row],[Year]],Loop!C:C,Loop!E:E)&lt;75,(R20*(1+$I$3))+IF(TableIncomeCalculations[[#This Row],[SwitchP2]]="Y",R20*$I$5,0),0)</f>
        <v>167954.7487240604</v>
      </c>
      <c r="S21" t="str">
        <f>JobHopping[[#This Row],[SwitchP1Static]]</f>
        <v>Y</v>
      </c>
      <c r="T21" t="str">
        <f>JobHopping[[#This Row],[SwitchP2Static]]</f>
        <v>Y</v>
      </c>
    </row>
    <row r="22" spans="2:20" x14ac:dyDescent="0.35">
      <c r="B22" s="3">
        <v>2044</v>
      </c>
      <c r="C22" s="38">
        <f>(TableIncomeCalculations[[#This Row],[NetMonthlySalaryP1]]*12)</f>
        <v>325429.28033827769</v>
      </c>
      <c r="D22" s="37">
        <f>(TableIncomeCalculations[[#This Row],[NetMonthlySalaryP2]]*12)</f>
        <v>517856.12910270214</v>
      </c>
      <c r="E22" s="36">
        <f>TableIncome[[#This Row],[SalaryP1]]*$I$7</f>
        <v>65085.856067655543</v>
      </c>
      <c r="F22" s="36">
        <f>TableIncome[[#This Row],[SalaryP2]]*$I$7</f>
        <v>103571.22582054044</v>
      </c>
      <c r="G22" s="16"/>
      <c r="K22" s="57">
        <f>(TableIncome[[#This Row],[SalaryP1]]-TableIncome[[#This Row],[InvestmentP1]])/12</f>
        <v>21695.285355885178</v>
      </c>
      <c r="L22" s="57">
        <f>(TableIncome[[#This Row],[SalaryP2]]-TableIncome[[#This Row],[InvestmentP2]])/12</f>
        <v>34523.741940180138</v>
      </c>
      <c r="M22" s="34">
        <f>'Net Salary P1'!BI21</f>
        <v>27119.106694856473</v>
      </c>
      <c r="N22" s="35">
        <f>'Net Salary P2'!BI21</f>
        <v>43154.677425225178</v>
      </c>
      <c r="O22" s="35">
        <f>IF(_xlfn.XLOOKUP(TableIncome[[#This Row],[Year]],Loop!C:C,Loop!D:D)&lt;75,(O21*(1+$I$4))+IF(TableIncomeCalculations[[#This Row],[SwitchP1]]="Y",O21*$I$6,0),0)</f>
        <v>49848.785194900003</v>
      </c>
      <c r="P22" s="35">
        <f>IF(_xlfn.XLOOKUP(TableIncome[[#This Row],[Year]],Loop!C:C,Loop!E:E)&lt;75,(P21*(1+$I$4))+IF(TableIncomeCalculations[[#This Row],[SwitchP2]]="Y",P21*$I$6,0),0)</f>
        <v>83661.332120008097</v>
      </c>
      <c r="Q22" s="35">
        <f>IF(_xlfn.XLOOKUP(TableIncome[[#This Row],[Year]],Loop!C:C,Loop!D:D)&lt;75,(Q21*(1+$I$3))+IF(TableIncomeCalculations[[#This Row],[SwitchP1]]="Y",Q21*$I$5,0),0)</f>
        <v>103076.41748983102</v>
      </c>
      <c r="R22" s="35">
        <f>IF(_xlfn.XLOOKUP(TableIncome[[#This Row],[Year]],Loop!C:C,Loop!E:E)&lt;75,(R21*(1+$I$3))+IF(TableIncomeCalculations[[#This Row],[SwitchP2]]="Y",R21*$I$5,0),0)</f>
        <v>172993.39118578221</v>
      </c>
      <c r="S22" t="str">
        <f>JobHopping[[#This Row],[SwitchP1Static]]</f>
        <v>N</v>
      </c>
      <c r="T22" t="str">
        <f>JobHopping[[#This Row],[SwitchP2Static]]</f>
        <v>N</v>
      </c>
    </row>
    <row r="23" spans="2:20" x14ac:dyDescent="0.35">
      <c r="B23" s="3">
        <v>2045</v>
      </c>
      <c r="C23" s="38">
        <f>(TableIncomeCalculations[[#This Row],[NetMonthlySalaryP1]]*12)</f>
        <v>325429.28033827769</v>
      </c>
      <c r="D23" s="37">
        <f>(TableIncomeCalculations[[#This Row],[NetMonthlySalaryP2]]*12)</f>
        <v>517856.12910270214</v>
      </c>
      <c r="E23" s="36">
        <f>TableIncome[[#This Row],[SalaryP1]]*$I$7</f>
        <v>65085.856067655543</v>
      </c>
      <c r="F23" s="36">
        <f>TableIncome[[#This Row],[SalaryP2]]*$I$7</f>
        <v>103571.22582054044</v>
      </c>
      <c r="G23" s="16"/>
      <c r="K23" s="57">
        <f>(TableIncome[[#This Row],[SalaryP1]]-TableIncome[[#This Row],[InvestmentP1]])/12</f>
        <v>21695.285355885178</v>
      </c>
      <c r="L23" s="57">
        <f>(TableIncome[[#This Row],[SalaryP2]]-TableIncome[[#This Row],[InvestmentP2]])/12</f>
        <v>34523.741940180138</v>
      </c>
      <c r="M23" s="34">
        <f>'Net Salary P1'!BI22</f>
        <v>27119.106694856473</v>
      </c>
      <c r="N23" s="35">
        <f>'Net Salary P2'!BI22</f>
        <v>43154.677425225178</v>
      </c>
      <c r="O23" s="35">
        <f>IF(_xlfn.XLOOKUP(TableIncome[[#This Row],[Year]],Loop!C:C,Loop!D:D)&lt;75,(O22*(1+$I$4))+IF(TableIncomeCalculations[[#This Row],[SwitchP1]]="Y",O22*$I$6,0),0)</f>
        <v>49848.785194900003</v>
      </c>
      <c r="P23" s="35">
        <f>IF(_xlfn.XLOOKUP(TableIncome[[#This Row],[Year]],Loop!C:C,Loop!E:E)&lt;75,(P22*(1+$I$4))+IF(TableIncomeCalculations[[#This Row],[SwitchP2]]="Y",P22*$I$6,0),0)</f>
        <v>83661.332120008097</v>
      </c>
      <c r="Q23" s="35">
        <f>IF(_xlfn.XLOOKUP(TableIncome[[#This Row],[Year]],Loop!C:C,Loop!D:D)&lt;75,(Q22*(1+$I$3))+IF(TableIncomeCalculations[[#This Row],[SwitchP1]]="Y",Q22*$I$5,0),0)</f>
        <v>106168.71001452595</v>
      </c>
      <c r="R23" s="35">
        <f>IF(_xlfn.XLOOKUP(TableIncome[[#This Row],[Year]],Loop!C:C,Loop!E:E)&lt;75,(R22*(1+$I$3))+IF(TableIncomeCalculations[[#This Row],[SwitchP2]]="Y",R22*$I$5,0),0)</f>
        <v>178183.19292135569</v>
      </c>
      <c r="S23" t="str">
        <f>JobHopping[[#This Row],[SwitchP1Static]]</f>
        <v>N</v>
      </c>
      <c r="T23" t="str">
        <f>JobHopping[[#This Row],[SwitchP2Static]]</f>
        <v>N</v>
      </c>
    </row>
    <row r="24" spans="2:20" x14ac:dyDescent="0.35">
      <c r="B24" s="3">
        <v>2046</v>
      </c>
      <c r="C24" s="38">
        <f>(TableIncomeCalculations[[#This Row],[NetMonthlySalaryP1]]*12)</f>
        <v>325429.28033827769</v>
      </c>
      <c r="D24" s="37">
        <f>(TableIncomeCalculations[[#This Row],[NetMonthlySalaryP2]]*12)</f>
        <v>517856.12910270214</v>
      </c>
      <c r="E24" s="36">
        <f>TableIncome[[#This Row],[SalaryP1]]*$I$7</f>
        <v>65085.856067655543</v>
      </c>
      <c r="F24" s="36">
        <f>TableIncome[[#This Row],[SalaryP2]]*$I$7</f>
        <v>103571.22582054044</v>
      </c>
      <c r="G24" s="16"/>
      <c r="K24" s="57">
        <f>(TableIncome[[#This Row],[SalaryP1]]-TableIncome[[#This Row],[InvestmentP1]])/12</f>
        <v>21695.285355885178</v>
      </c>
      <c r="L24" s="57">
        <f>(TableIncome[[#This Row],[SalaryP2]]-TableIncome[[#This Row],[InvestmentP2]])/12</f>
        <v>34523.741940180138</v>
      </c>
      <c r="M24" s="34">
        <f>'Net Salary P1'!BI23</f>
        <v>27119.106694856473</v>
      </c>
      <c r="N24" s="35">
        <f>'Net Salary P2'!BI23</f>
        <v>43154.677425225178</v>
      </c>
      <c r="O24" s="35">
        <f>IF(_xlfn.XLOOKUP(TableIncome[[#This Row],[Year]],Loop!C:C,Loop!D:D)&lt;75,(O23*(1+$I$4))+IF(TableIncomeCalculations[[#This Row],[SwitchP1]]="Y",O23*$I$6,0),0)</f>
        <v>49848.785194900003</v>
      </c>
      <c r="P24" s="35">
        <f>IF(_xlfn.XLOOKUP(TableIncome[[#This Row],[Year]],Loop!C:C,Loop!E:E)&lt;75,(P23*(1+$I$4))+IF(TableIncomeCalculations[[#This Row],[SwitchP2]]="Y",P23*$I$6,0),0)</f>
        <v>83661.332120008097</v>
      </c>
      <c r="Q24" s="35">
        <f>IF(_xlfn.XLOOKUP(TableIncome[[#This Row],[Year]],Loop!C:C,Loop!D:D)&lt;75,(Q23*(1+$I$3))+IF(TableIncomeCalculations[[#This Row],[SwitchP1]]="Y",Q23*$I$5,0),0)</f>
        <v>109353.77131496173</v>
      </c>
      <c r="R24" s="35">
        <f>IF(_xlfn.XLOOKUP(TableIncome[[#This Row],[Year]],Loop!C:C,Loop!E:E)&lt;75,(R23*(1+$I$3))+IF(TableIncomeCalculations[[#This Row],[SwitchP2]]="Y",R23*$I$5,0),0)</f>
        <v>183528.68870899637</v>
      </c>
      <c r="S24" t="str">
        <f>JobHopping[[#This Row],[SwitchP1Static]]</f>
        <v>N</v>
      </c>
      <c r="T24" t="str">
        <f>JobHopping[[#This Row],[SwitchP2Static]]</f>
        <v>N</v>
      </c>
    </row>
    <row r="25" spans="2:20" x14ac:dyDescent="0.35">
      <c r="B25" s="3">
        <v>2047</v>
      </c>
      <c r="C25" s="38">
        <f>(TableIncomeCalculations[[#This Row],[NetMonthlySalaryP1]]*12)</f>
        <v>335308.897613546</v>
      </c>
      <c r="D25" s="37">
        <f>(TableIncomeCalculations[[#This Row],[NetMonthlySalaryP2]]*12)</f>
        <v>530488.63352090318</v>
      </c>
      <c r="E25" s="36">
        <f>TableIncome[[#This Row],[SalaryP1]]*$I$7</f>
        <v>67061.779522709199</v>
      </c>
      <c r="F25" s="36">
        <f>TableIncome[[#This Row],[SalaryP2]]*$I$7</f>
        <v>106097.72670418065</v>
      </c>
      <c r="G25" s="16"/>
      <c r="K25" s="57">
        <f>(TableIncome[[#This Row],[SalaryP1]]-TableIncome[[#This Row],[InvestmentP1]])/12</f>
        <v>22353.926507569733</v>
      </c>
      <c r="L25" s="57">
        <f>(TableIncome[[#This Row],[SalaryP2]]-TableIncome[[#This Row],[InvestmentP2]])/12</f>
        <v>35365.908901393545</v>
      </c>
      <c r="M25" s="34">
        <f>'Net Salary P1'!BI24</f>
        <v>27942.408134462166</v>
      </c>
      <c r="N25" s="35">
        <f>'Net Salary P2'!BI24</f>
        <v>44207.386126741934</v>
      </c>
      <c r="O25" s="35">
        <f>IF(_xlfn.XLOOKUP(TableIncome[[#This Row],[Year]],Loop!C:C,Loop!D:D)&lt;75,(O24*(1+$I$4))+IF(TableIncomeCalculations[[#This Row],[SwitchP1]]="Y",O24*$I$6,0),0)</f>
        <v>51344.248750747007</v>
      </c>
      <c r="P25" s="35">
        <f>IF(_xlfn.XLOOKUP(TableIncome[[#This Row],[Year]],Loop!C:C,Loop!E:E)&lt;75,(P24*(1+$I$4))+IF(TableIncomeCalculations[[#This Row],[SwitchP2]]="Y",P24*$I$6,0),0)</f>
        <v>86171.17208360834</v>
      </c>
      <c r="Q25" s="35">
        <f>IF(_xlfn.XLOOKUP(TableIncome[[#This Row],[Year]],Loop!C:C,Loop!D:D)&lt;75,(Q24*(1+$I$3))+IF(TableIncomeCalculations[[#This Row],[SwitchP1]]="Y",Q24*$I$5,0),0)</f>
        <v>119195.61073330831</v>
      </c>
      <c r="R25" s="35">
        <f>IF(_xlfn.XLOOKUP(TableIncome[[#This Row],[Year]],Loop!C:C,Loop!E:E)&lt;75,(R24*(1+$I$3))+IF(TableIncomeCalculations[[#This Row],[SwitchP2]]="Y",R24*$I$5,0),0)</f>
        <v>200046.27069280605</v>
      </c>
      <c r="S25" t="str">
        <f>JobHopping[[#This Row],[SwitchP1Static]]</f>
        <v>Y</v>
      </c>
      <c r="T25" t="str">
        <f>JobHopping[[#This Row],[SwitchP2Static]]</f>
        <v>Y</v>
      </c>
    </row>
    <row r="26" spans="2:20" x14ac:dyDescent="0.35">
      <c r="B26" s="3">
        <v>2048</v>
      </c>
      <c r="C26" s="38">
        <f>(TableIncomeCalculations[[#This Row],[NetMonthlySalaryP1]]*12)</f>
        <v>335308.897613546</v>
      </c>
      <c r="D26" s="37">
        <f>(TableIncomeCalculations[[#This Row],[NetMonthlySalaryP2]]*12)</f>
        <v>530488.63352090318</v>
      </c>
      <c r="E26" s="36">
        <f>TableIncome[[#This Row],[SalaryP1]]*$I$7</f>
        <v>67061.779522709199</v>
      </c>
      <c r="F26" s="36">
        <f>TableIncome[[#This Row],[SalaryP2]]*$I$7</f>
        <v>106097.72670418065</v>
      </c>
      <c r="G26" s="16"/>
      <c r="K26" s="57">
        <f>(TableIncome[[#This Row],[SalaryP1]]-TableIncome[[#This Row],[InvestmentP1]])/12</f>
        <v>22353.926507569733</v>
      </c>
      <c r="L26" s="57">
        <f>(TableIncome[[#This Row],[SalaryP2]]-TableIncome[[#This Row],[InvestmentP2]])/12</f>
        <v>35365.908901393545</v>
      </c>
      <c r="M26" s="34">
        <f>'Net Salary P1'!BI25</f>
        <v>27942.408134462166</v>
      </c>
      <c r="N26" s="35">
        <f>'Net Salary P2'!BI25</f>
        <v>44207.386126741934</v>
      </c>
      <c r="O26" s="35">
        <f>IF(_xlfn.XLOOKUP(TableIncome[[#This Row],[Year]],Loop!C:C,Loop!D:D)&lt;75,(O25*(1+$I$4))+IF(TableIncomeCalculations[[#This Row],[SwitchP1]]="Y",O25*$I$6,0),0)</f>
        <v>51344.248750747007</v>
      </c>
      <c r="P26" s="35">
        <f>IF(_xlfn.XLOOKUP(TableIncome[[#This Row],[Year]],Loop!C:C,Loop!E:E)&lt;75,(P25*(1+$I$4))+IF(TableIncomeCalculations[[#This Row],[SwitchP2]]="Y",P25*$I$6,0),0)</f>
        <v>86171.17208360834</v>
      </c>
      <c r="Q26" s="35">
        <f>IF(_xlfn.XLOOKUP(TableIncome[[#This Row],[Year]],Loop!C:C,Loop!D:D)&lt;75,(Q25*(1+$I$3))+IF(TableIncomeCalculations[[#This Row],[SwitchP1]]="Y",Q25*$I$5,0),0)</f>
        <v>122771.47905530756</v>
      </c>
      <c r="R26" s="35">
        <f>IF(_xlfn.XLOOKUP(TableIncome[[#This Row],[Year]],Loop!C:C,Loop!E:E)&lt;75,(R25*(1+$I$3))+IF(TableIncomeCalculations[[#This Row],[SwitchP2]]="Y",R25*$I$5,0),0)</f>
        <v>206047.65881359024</v>
      </c>
      <c r="S26" t="str">
        <f>JobHopping[[#This Row],[SwitchP1Static]]</f>
        <v>N</v>
      </c>
      <c r="T26" t="str">
        <f>JobHopping[[#This Row],[SwitchP2Static]]</f>
        <v>N</v>
      </c>
    </row>
    <row r="27" spans="2:20" x14ac:dyDescent="0.35">
      <c r="B27" s="3">
        <v>2049</v>
      </c>
      <c r="C27" s="38">
        <f>(TableIncomeCalculations[[#This Row],[NetMonthlySalaryP1]]*12)</f>
        <v>335308.897613546</v>
      </c>
      <c r="D27" s="37">
        <f>(TableIncomeCalculations[[#This Row],[NetMonthlySalaryP2]]*12)</f>
        <v>530488.63352090318</v>
      </c>
      <c r="E27" s="36">
        <f>TableIncome[[#This Row],[SalaryP1]]*$I$7</f>
        <v>67061.779522709199</v>
      </c>
      <c r="F27" s="36">
        <f>TableIncome[[#This Row],[SalaryP2]]*$I$7</f>
        <v>106097.72670418065</v>
      </c>
      <c r="G27" s="16"/>
      <c r="K27" s="57">
        <f>(TableIncome[[#This Row],[SalaryP1]]-TableIncome[[#This Row],[InvestmentP1]])/12</f>
        <v>22353.926507569733</v>
      </c>
      <c r="L27" s="57">
        <f>(TableIncome[[#This Row],[SalaryP2]]-TableIncome[[#This Row],[InvestmentP2]])/12</f>
        <v>35365.908901393545</v>
      </c>
      <c r="M27" s="34">
        <f>'Net Salary P1'!BI26</f>
        <v>27942.408134462166</v>
      </c>
      <c r="N27" s="35">
        <f>'Net Salary P2'!BI26</f>
        <v>44207.386126741934</v>
      </c>
      <c r="O27" s="35">
        <f>IF(_xlfn.XLOOKUP(TableIncome[[#This Row],[Year]],Loop!C:C,Loop!D:D)&lt;75,(O26*(1+$I$4))+IF(TableIncomeCalculations[[#This Row],[SwitchP1]]="Y",O26*$I$6,0),0)</f>
        <v>51344.248750747007</v>
      </c>
      <c r="P27" s="35">
        <f>IF(_xlfn.XLOOKUP(TableIncome[[#This Row],[Year]],Loop!C:C,Loop!E:E)&lt;75,(P26*(1+$I$4))+IF(TableIncomeCalculations[[#This Row],[SwitchP2]]="Y",P26*$I$6,0),0)</f>
        <v>86171.17208360834</v>
      </c>
      <c r="Q27" s="35">
        <f>IF(_xlfn.XLOOKUP(TableIncome[[#This Row],[Year]],Loop!C:C,Loop!D:D)&lt;75,(Q26*(1+$I$3))+IF(TableIncomeCalculations[[#This Row],[SwitchP1]]="Y",Q26*$I$5,0),0)</f>
        <v>126454.62342696679</v>
      </c>
      <c r="R27" s="35">
        <f>IF(_xlfn.XLOOKUP(TableIncome[[#This Row],[Year]],Loop!C:C,Loop!E:E)&lt;75,(R26*(1+$I$3))+IF(TableIncomeCalculations[[#This Row],[SwitchP2]]="Y",R26*$I$5,0),0)</f>
        <v>212229.08857799796</v>
      </c>
      <c r="S27" t="str">
        <f>JobHopping[[#This Row],[SwitchP1Static]]</f>
        <v>N</v>
      </c>
      <c r="T27" t="str">
        <f>JobHopping[[#This Row],[SwitchP2Static]]</f>
        <v>N</v>
      </c>
    </row>
    <row r="28" spans="2:20" x14ac:dyDescent="0.35">
      <c r="B28" s="3">
        <v>2050</v>
      </c>
      <c r="C28" s="38">
        <f>(TableIncomeCalculations[[#This Row],[NetMonthlySalaryP1]]*12)</f>
        <v>335308.897613546</v>
      </c>
      <c r="D28" s="37">
        <f>(TableIncomeCalculations[[#This Row],[NetMonthlySalaryP2]]*12)</f>
        <v>530488.63352090318</v>
      </c>
      <c r="E28" s="36">
        <f>TableIncome[[#This Row],[SalaryP1]]*$I$7</f>
        <v>67061.779522709199</v>
      </c>
      <c r="F28" s="36">
        <f>TableIncome[[#This Row],[SalaryP2]]*$I$7</f>
        <v>106097.72670418065</v>
      </c>
      <c r="G28" s="16"/>
      <c r="K28" s="57">
        <f>(TableIncome[[#This Row],[SalaryP1]]-TableIncome[[#This Row],[InvestmentP1]])/12</f>
        <v>22353.926507569733</v>
      </c>
      <c r="L28" s="57">
        <f>(TableIncome[[#This Row],[SalaryP2]]-TableIncome[[#This Row],[InvestmentP2]])/12</f>
        <v>35365.908901393545</v>
      </c>
      <c r="M28" s="34">
        <f>'Net Salary P1'!BI27</f>
        <v>27942.408134462166</v>
      </c>
      <c r="N28" s="35">
        <f>'Net Salary P2'!BI27</f>
        <v>44207.386126741934</v>
      </c>
      <c r="O28" s="35">
        <f>IF(_xlfn.XLOOKUP(TableIncome[[#This Row],[Year]],Loop!C:C,Loop!D:D)&lt;75,(O27*(1+$I$4))+IF(TableIncomeCalculations[[#This Row],[SwitchP1]]="Y",O27*$I$6,0),0)</f>
        <v>51344.248750747007</v>
      </c>
      <c r="P28" s="35">
        <f>IF(_xlfn.XLOOKUP(TableIncome[[#This Row],[Year]],Loop!C:C,Loop!E:E)&lt;75,(P27*(1+$I$4))+IF(TableIncomeCalculations[[#This Row],[SwitchP2]]="Y",P27*$I$6,0),0)</f>
        <v>86171.17208360834</v>
      </c>
      <c r="Q28" s="35">
        <f>IF(_xlfn.XLOOKUP(TableIncome[[#This Row],[Year]],Loop!C:C,Loop!D:D)&lt;75,(Q27*(1+$I$3))+IF(TableIncomeCalculations[[#This Row],[SwitchP1]]="Y",Q27*$I$5,0),0)</f>
        <v>130248.2621297758</v>
      </c>
      <c r="R28" s="35">
        <f>IF(_xlfn.XLOOKUP(TableIncome[[#This Row],[Year]],Loop!C:C,Loop!E:E)&lt;75,(R27*(1+$I$3))+IF(TableIncomeCalculations[[#This Row],[SwitchP2]]="Y",R27*$I$5,0),0)</f>
        <v>218595.96123533789</v>
      </c>
      <c r="S28" t="str">
        <f>JobHopping[[#This Row],[SwitchP1Static]]</f>
        <v>N</v>
      </c>
      <c r="T28" t="str">
        <f>JobHopping[[#This Row],[SwitchP2Static]]</f>
        <v>N</v>
      </c>
    </row>
    <row r="29" spans="2:20" x14ac:dyDescent="0.35">
      <c r="B29" s="3">
        <v>2051</v>
      </c>
      <c r="C29" s="38">
        <f>(TableIncomeCalculations[[#This Row],[NetMonthlySalaryP1]]*12)</f>
        <v>335308.897613546</v>
      </c>
      <c r="D29" s="37">
        <f>(TableIncomeCalculations[[#This Row],[NetMonthlySalaryP2]]*12)</f>
        <v>530488.63352090318</v>
      </c>
      <c r="E29" s="36">
        <f>TableIncome[[#This Row],[SalaryP1]]*$I$7</f>
        <v>67061.779522709199</v>
      </c>
      <c r="F29" s="36">
        <f>TableIncome[[#This Row],[SalaryP2]]*$I$7</f>
        <v>106097.72670418065</v>
      </c>
      <c r="G29" s="16"/>
      <c r="K29" s="57">
        <f>(TableIncome[[#This Row],[SalaryP1]]-TableIncome[[#This Row],[InvestmentP1]])/12</f>
        <v>22353.926507569733</v>
      </c>
      <c r="L29" s="57">
        <f>(TableIncome[[#This Row],[SalaryP2]]-TableIncome[[#This Row],[InvestmentP2]])/12</f>
        <v>35365.908901393545</v>
      </c>
      <c r="M29" s="34">
        <f>'Net Salary P1'!BI28</f>
        <v>27942.408134462166</v>
      </c>
      <c r="N29" s="35">
        <f>'Net Salary P2'!BI28</f>
        <v>44207.386126741934</v>
      </c>
      <c r="O29" s="35">
        <f>IF(_xlfn.XLOOKUP(TableIncome[[#This Row],[Year]],Loop!C:C,Loop!D:D)&lt;75,(O28*(1+$I$4))+IF(TableIncomeCalculations[[#This Row],[SwitchP1]]="Y",O28*$I$6,0),0)</f>
        <v>51344.248750747007</v>
      </c>
      <c r="P29" s="35">
        <f>IF(_xlfn.XLOOKUP(TableIncome[[#This Row],[Year]],Loop!C:C,Loop!E:E)&lt;75,(P28*(1+$I$4))+IF(TableIncomeCalculations[[#This Row],[SwitchP2]]="Y",P28*$I$6,0),0)</f>
        <v>86171.17208360834</v>
      </c>
      <c r="Q29" s="35">
        <f>IF(_xlfn.XLOOKUP(TableIncome[[#This Row],[Year]],Loop!C:C,Loop!D:D)&lt;75,(Q28*(1+$I$3))+IF(TableIncomeCalculations[[#This Row],[SwitchP1]]="Y",Q28*$I$5,0),0)</f>
        <v>134155.70999366906</v>
      </c>
      <c r="R29" s="35">
        <f>IF(_xlfn.XLOOKUP(TableIncome[[#This Row],[Year]],Loop!C:C,Loop!E:E)&lt;75,(R28*(1+$I$3))+IF(TableIncomeCalculations[[#This Row],[SwitchP2]]="Y",R28*$I$5,0),0)</f>
        <v>225153.84007239804</v>
      </c>
      <c r="S29" t="str">
        <f>JobHopping[[#This Row],[SwitchP1Static]]</f>
        <v>N</v>
      </c>
      <c r="T29" t="str">
        <f>JobHopping[[#This Row],[SwitchP2Static]]</f>
        <v>N</v>
      </c>
    </row>
    <row r="30" spans="2:20" x14ac:dyDescent="0.35">
      <c r="B30" s="3">
        <v>2052</v>
      </c>
      <c r="C30" s="38">
        <f>(TableIncomeCalculations[[#This Row],[NetMonthlySalaryP1]]*12)</f>
        <v>335308.897613546</v>
      </c>
      <c r="D30" s="37">
        <f>(TableIncomeCalculations[[#This Row],[NetMonthlySalaryP2]]*12)</f>
        <v>530488.63352090318</v>
      </c>
      <c r="E30" s="36">
        <f>TableIncome[[#This Row],[SalaryP1]]*$I$7</f>
        <v>67061.779522709199</v>
      </c>
      <c r="F30" s="36">
        <f>TableIncome[[#This Row],[SalaryP2]]*$I$7</f>
        <v>106097.72670418065</v>
      </c>
      <c r="G30" s="16"/>
      <c r="K30" s="57">
        <f>(TableIncome[[#This Row],[SalaryP1]]-TableIncome[[#This Row],[InvestmentP1]])/12</f>
        <v>22353.926507569733</v>
      </c>
      <c r="L30" s="57">
        <f>(TableIncome[[#This Row],[SalaryP2]]-TableIncome[[#This Row],[InvestmentP2]])/12</f>
        <v>35365.908901393545</v>
      </c>
      <c r="M30" s="34">
        <f>'Net Salary P1'!BI29</f>
        <v>27942.408134462166</v>
      </c>
      <c r="N30" s="35">
        <f>'Net Salary P2'!BI29</f>
        <v>44207.386126741934</v>
      </c>
      <c r="O30" s="35">
        <f>IF(_xlfn.XLOOKUP(TableIncome[[#This Row],[Year]],Loop!C:C,Loop!D:D)&lt;75,(O29*(1+$I$4))+IF(TableIncomeCalculations[[#This Row],[SwitchP1]]="Y",O29*$I$6,0),0)</f>
        <v>51344.248750747007</v>
      </c>
      <c r="P30" s="35">
        <f>IF(_xlfn.XLOOKUP(TableIncome[[#This Row],[Year]],Loop!C:C,Loop!E:E)&lt;75,(P29*(1+$I$4))+IF(TableIncomeCalculations[[#This Row],[SwitchP2]]="Y",P29*$I$6,0),0)</f>
        <v>86171.17208360834</v>
      </c>
      <c r="Q30" s="35">
        <f>IF(_xlfn.XLOOKUP(TableIncome[[#This Row],[Year]],Loop!C:C,Loop!D:D)&lt;75,(Q29*(1+$I$3))+IF(TableIncomeCalculations[[#This Row],[SwitchP1]]="Y",Q29*$I$5,0),0)</f>
        <v>138180.38129347915</v>
      </c>
      <c r="R30" s="35">
        <f>IF(_xlfn.XLOOKUP(TableIncome[[#This Row],[Year]],Loop!C:C,Loop!E:E)&lt;75,(R29*(1+$I$3))+IF(TableIncomeCalculations[[#This Row],[SwitchP2]]="Y",R29*$I$5,0),0)</f>
        <v>231908.45527457001</v>
      </c>
      <c r="S30" t="str">
        <f>JobHopping[[#This Row],[SwitchP1Static]]</f>
        <v>N</v>
      </c>
      <c r="T30" t="str">
        <f>JobHopping[[#This Row],[SwitchP2Static]]</f>
        <v>N</v>
      </c>
    </row>
    <row r="31" spans="2:20" x14ac:dyDescent="0.35">
      <c r="B31" s="3">
        <v>2053</v>
      </c>
      <c r="C31" s="38">
        <f>(TableIncomeCalculations[[#This Row],[NetMonthlySalaryP1]]*12)</f>
        <v>335308.897613546</v>
      </c>
      <c r="D31" s="37">
        <f>(TableIncomeCalculations[[#This Row],[NetMonthlySalaryP2]]*12)</f>
        <v>530488.63352090318</v>
      </c>
      <c r="E31" s="36">
        <f>TableIncome[[#This Row],[SalaryP1]]*$I$7</f>
        <v>67061.779522709199</v>
      </c>
      <c r="F31" s="36">
        <f>TableIncome[[#This Row],[SalaryP2]]*$I$7</f>
        <v>106097.72670418065</v>
      </c>
      <c r="G31" s="16"/>
      <c r="K31" s="57">
        <f>(TableIncome[[#This Row],[SalaryP1]]-TableIncome[[#This Row],[InvestmentP1]])/12</f>
        <v>22353.926507569733</v>
      </c>
      <c r="L31" s="57">
        <f>(TableIncome[[#This Row],[SalaryP2]]-TableIncome[[#This Row],[InvestmentP2]])/12</f>
        <v>35365.908901393545</v>
      </c>
      <c r="M31" s="34">
        <f>'Net Salary P1'!BI30</f>
        <v>27942.408134462166</v>
      </c>
      <c r="N31" s="35">
        <f>'Net Salary P2'!BI30</f>
        <v>44207.386126741934</v>
      </c>
      <c r="O31" s="35">
        <f>IF(_xlfn.XLOOKUP(TableIncome[[#This Row],[Year]],Loop!C:C,Loop!D:D)&lt;75,(O30*(1+$I$4))+IF(TableIncomeCalculations[[#This Row],[SwitchP1]]="Y",O30*$I$6,0),0)</f>
        <v>51344.248750747007</v>
      </c>
      <c r="P31" s="35">
        <f>IF(_xlfn.XLOOKUP(TableIncome[[#This Row],[Year]],Loop!C:C,Loop!E:E)&lt;75,(P30*(1+$I$4))+IF(TableIncomeCalculations[[#This Row],[SwitchP2]]="Y",P30*$I$6,0),0)</f>
        <v>86171.17208360834</v>
      </c>
      <c r="Q31" s="35">
        <f>IF(_xlfn.XLOOKUP(TableIncome[[#This Row],[Year]],Loop!C:C,Loop!D:D)&lt;75,(Q30*(1+$I$3))+IF(TableIncomeCalculations[[#This Row],[SwitchP1]]="Y",Q30*$I$5,0),0)</f>
        <v>142325.79273228353</v>
      </c>
      <c r="R31" s="35">
        <f>IF(_xlfn.XLOOKUP(TableIncome[[#This Row],[Year]],Loop!C:C,Loop!E:E)&lt;75,(R30*(1+$I$3))+IF(TableIncomeCalculations[[#This Row],[SwitchP2]]="Y",R30*$I$5,0),0)</f>
        <v>238865.70893280712</v>
      </c>
      <c r="S31" t="str">
        <f>JobHopping[[#This Row],[SwitchP1Static]]</f>
        <v>N</v>
      </c>
      <c r="T31" t="str">
        <f>JobHopping[[#This Row],[SwitchP2Static]]</f>
        <v>N</v>
      </c>
    </row>
    <row r="32" spans="2:20" x14ac:dyDescent="0.35">
      <c r="B32" s="3">
        <v>2054</v>
      </c>
      <c r="C32" s="38">
        <f>(TableIncomeCalculations[[#This Row],[NetMonthlySalaryP1]]*12)</f>
        <v>335308.897613546</v>
      </c>
      <c r="D32" s="37">
        <f>(TableIncomeCalculations[[#This Row],[NetMonthlySalaryP2]]*12)</f>
        <v>530488.63352090318</v>
      </c>
      <c r="E32" s="36">
        <f>TableIncome[[#This Row],[SalaryP1]]*$I$7</f>
        <v>67061.779522709199</v>
      </c>
      <c r="F32" s="36">
        <f>TableIncome[[#This Row],[SalaryP2]]*$I$7</f>
        <v>106097.72670418065</v>
      </c>
      <c r="G32" s="16"/>
      <c r="K32" s="57">
        <f>(TableIncome[[#This Row],[SalaryP1]]-TableIncome[[#This Row],[InvestmentP1]])/12</f>
        <v>22353.926507569733</v>
      </c>
      <c r="L32" s="57">
        <f>(TableIncome[[#This Row],[SalaryP2]]-TableIncome[[#This Row],[InvestmentP2]])/12</f>
        <v>35365.908901393545</v>
      </c>
      <c r="M32" s="34">
        <f>'Net Salary P1'!BI31</f>
        <v>27942.408134462166</v>
      </c>
      <c r="N32" s="35">
        <f>'Net Salary P2'!BI31</f>
        <v>44207.386126741934</v>
      </c>
      <c r="O32" s="35">
        <f>IF(_xlfn.XLOOKUP(TableIncome[[#This Row],[Year]],Loop!C:C,Loop!D:D)&lt;75,(O31*(1+$I$4))+IF(TableIncomeCalculations[[#This Row],[SwitchP1]]="Y",O31*$I$6,0),0)</f>
        <v>51344.248750747007</v>
      </c>
      <c r="P32" s="35">
        <f>IF(_xlfn.XLOOKUP(TableIncome[[#This Row],[Year]],Loop!C:C,Loop!E:E)&lt;75,(P31*(1+$I$4))+IF(TableIncomeCalculations[[#This Row],[SwitchP2]]="Y",P31*$I$6,0),0)</f>
        <v>86171.17208360834</v>
      </c>
      <c r="Q32" s="35">
        <f>IF(_xlfn.XLOOKUP(TableIncome[[#This Row],[Year]],Loop!C:C,Loop!D:D)&lt;75,(Q31*(1+$I$3))+IF(TableIncomeCalculations[[#This Row],[SwitchP1]]="Y",Q31*$I$5,0),0)</f>
        <v>146595.56651425204</v>
      </c>
      <c r="R32" s="35">
        <f>IF(_xlfn.XLOOKUP(TableIncome[[#This Row],[Year]],Loop!C:C,Loop!E:E)&lt;75,(R31*(1+$I$3))+IF(TableIncomeCalculations[[#This Row],[SwitchP2]]="Y",R31*$I$5,0),0)</f>
        <v>246031.68020079134</v>
      </c>
      <c r="S32" t="str">
        <f>JobHopping[[#This Row],[SwitchP1Static]]</f>
        <v>N</v>
      </c>
      <c r="T32" t="str">
        <f>JobHopping[[#This Row],[SwitchP2Static]]</f>
        <v>N</v>
      </c>
    </row>
    <row r="33" spans="2:20" x14ac:dyDescent="0.35">
      <c r="B33" s="3">
        <v>2055</v>
      </c>
      <c r="C33" s="38">
        <f>(TableIncomeCalculations[[#This Row],[NetMonthlySalaryP1]]*12)</f>
        <v>335308.897613546</v>
      </c>
      <c r="D33" s="37">
        <f>(TableIncomeCalculations[[#This Row],[NetMonthlySalaryP2]]*12)</f>
        <v>530488.63352090318</v>
      </c>
      <c r="E33" s="36">
        <f>TableIncome[[#This Row],[SalaryP1]]*$I$7</f>
        <v>67061.779522709199</v>
      </c>
      <c r="F33" s="36">
        <f>TableIncome[[#This Row],[SalaryP2]]*$I$7</f>
        <v>106097.72670418065</v>
      </c>
      <c r="G33" s="16"/>
      <c r="K33" s="57">
        <f>(TableIncome[[#This Row],[SalaryP1]]-TableIncome[[#This Row],[InvestmentP1]])/12</f>
        <v>22353.926507569733</v>
      </c>
      <c r="L33" s="57">
        <f>(TableIncome[[#This Row],[SalaryP2]]-TableIncome[[#This Row],[InvestmentP2]])/12</f>
        <v>35365.908901393545</v>
      </c>
      <c r="M33" s="34">
        <f>'Net Salary P1'!BI32</f>
        <v>27942.408134462166</v>
      </c>
      <c r="N33" s="35">
        <f>'Net Salary P2'!BI32</f>
        <v>44207.386126741934</v>
      </c>
      <c r="O33" s="35">
        <f>IF(_xlfn.XLOOKUP(TableIncome[[#This Row],[Year]],Loop!C:C,Loop!D:D)&lt;75,(O32*(1+$I$4))+IF(TableIncomeCalculations[[#This Row],[SwitchP1]]="Y",O32*$I$6,0),0)</f>
        <v>51344.248750747007</v>
      </c>
      <c r="P33" s="35">
        <f>IF(_xlfn.XLOOKUP(TableIncome[[#This Row],[Year]],Loop!C:C,Loop!E:E)&lt;75,(P32*(1+$I$4))+IF(TableIncomeCalculations[[#This Row],[SwitchP2]]="Y",P32*$I$6,0),0)</f>
        <v>86171.17208360834</v>
      </c>
      <c r="Q33" s="35">
        <f>IF(_xlfn.XLOOKUP(TableIncome[[#This Row],[Year]],Loop!C:C,Loop!D:D)&lt;75,(Q32*(1+$I$3))+IF(TableIncomeCalculations[[#This Row],[SwitchP1]]="Y",Q32*$I$5,0),0)</f>
        <v>150993.4335096796</v>
      </c>
      <c r="R33" s="35">
        <f>IF(_xlfn.XLOOKUP(TableIncome[[#This Row],[Year]],Loop!C:C,Loop!E:E)&lt;75,(R32*(1+$I$3))+IF(TableIncomeCalculations[[#This Row],[SwitchP2]]="Y",R32*$I$5,0),0)</f>
        <v>253412.63060681507</v>
      </c>
      <c r="S33" t="str">
        <f>JobHopping[[#This Row],[SwitchP1Static]]</f>
        <v>N</v>
      </c>
      <c r="T33" t="str">
        <f>JobHopping[[#This Row],[SwitchP2Static]]</f>
        <v>N</v>
      </c>
    </row>
    <row r="34" spans="2:20" x14ac:dyDescent="0.35">
      <c r="B34" s="3">
        <v>2056</v>
      </c>
      <c r="C34" s="38">
        <f>(TableIncomeCalculations[[#This Row],[NetMonthlySalaryP1]]*12)</f>
        <v>335308.897613546</v>
      </c>
      <c r="D34" s="37">
        <f>(TableIncomeCalculations[[#This Row],[NetMonthlySalaryP2]]*12)</f>
        <v>530488.63352090318</v>
      </c>
      <c r="E34" s="36">
        <f>TableIncome[[#This Row],[SalaryP1]]*$I$7</f>
        <v>67061.779522709199</v>
      </c>
      <c r="F34" s="36">
        <f>TableIncome[[#This Row],[SalaryP2]]*$I$7</f>
        <v>106097.72670418065</v>
      </c>
      <c r="G34" s="16"/>
      <c r="K34" s="57">
        <f>(TableIncome[[#This Row],[SalaryP1]]-TableIncome[[#This Row],[InvestmentP1]])/12</f>
        <v>22353.926507569733</v>
      </c>
      <c r="L34" s="57">
        <f>(TableIncome[[#This Row],[SalaryP2]]-TableIncome[[#This Row],[InvestmentP2]])/12</f>
        <v>35365.908901393545</v>
      </c>
      <c r="M34" s="34">
        <f>'Net Salary P1'!BI33</f>
        <v>27942.408134462166</v>
      </c>
      <c r="N34" s="35">
        <f>'Net Salary P2'!BI33</f>
        <v>44207.386126741934</v>
      </c>
      <c r="O34" s="35">
        <f>IF(_xlfn.XLOOKUP(TableIncome[[#This Row],[Year]],Loop!C:C,Loop!D:D)&lt;75,(O33*(1+$I$4))+IF(TableIncomeCalculations[[#This Row],[SwitchP1]]="Y",O33*$I$6,0),0)</f>
        <v>51344.248750747007</v>
      </c>
      <c r="P34" s="35">
        <f>IF(_xlfn.XLOOKUP(TableIncome[[#This Row],[Year]],Loop!C:C,Loop!E:E)&lt;75,(P33*(1+$I$4))+IF(TableIncomeCalculations[[#This Row],[SwitchP2]]="Y",P33*$I$6,0),0)</f>
        <v>86171.17208360834</v>
      </c>
      <c r="Q34" s="35">
        <f>IF(_xlfn.XLOOKUP(TableIncome[[#This Row],[Year]],Loop!C:C,Loop!D:D)&lt;75,(Q33*(1+$I$3))+IF(TableIncomeCalculations[[#This Row],[SwitchP1]]="Y",Q33*$I$5,0),0)</f>
        <v>155523.23651496999</v>
      </c>
      <c r="R34" s="35">
        <f>IF(_xlfn.XLOOKUP(TableIncome[[#This Row],[Year]],Loop!C:C,Loop!E:E)&lt;75,(R33*(1+$I$3))+IF(TableIncomeCalculations[[#This Row],[SwitchP2]]="Y",R33*$I$5,0),0)</f>
        <v>261015.00952501953</v>
      </c>
      <c r="S34" t="str">
        <f>JobHopping[[#This Row],[SwitchP1Static]]</f>
        <v>N</v>
      </c>
      <c r="T34" t="str">
        <f>JobHopping[[#This Row],[SwitchP2Static]]</f>
        <v>N</v>
      </c>
    </row>
    <row r="35" spans="2:20" x14ac:dyDescent="0.35">
      <c r="B35" s="3">
        <v>2057</v>
      </c>
      <c r="C35" s="38">
        <f>(TableIncomeCalculations[[#This Row],[NetMonthlySalaryP1]]*12)</f>
        <v>335308.897613546</v>
      </c>
      <c r="D35" s="37">
        <f>(TableIncomeCalculations[[#This Row],[NetMonthlySalaryP2]]*12)</f>
        <v>530488.63352090318</v>
      </c>
      <c r="E35" s="36">
        <f>TableIncome[[#This Row],[SalaryP1]]*$I$7</f>
        <v>67061.779522709199</v>
      </c>
      <c r="F35" s="36">
        <f>TableIncome[[#This Row],[SalaryP2]]*$I$7</f>
        <v>106097.72670418065</v>
      </c>
      <c r="G35" s="16"/>
      <c r="K35" s="57">
        <f>(TableIncome[[#This Row],[SalaryP1]]-TableIncome[[#This Row],[InvestmentP1]])/12</f>
        <v>22353.926507569733</v>
      </c>
      <c r="L35" s="57">
        <f>(TableIncome[[#This Row],[SalaryP2]]-TableIncome[[#This Row],[InvestmentP2]])/12</f>
        <v>35365.908901393545</v>
      </c>
      <c r="M35" s="34">
        <f>'Net Salary P1'!BI34</f>
        <v>27942.408134462166</v>
      </c>
      <c r="N35" s="35">
        <f>'Net Salary P2'!BI34</f>
        <v>44207.386126741934</v>
      </c>
      <c r="O35" s="35">
        <f>IF(_xlfn.XLOOKUP(TableIncome[[#This Row],[Year]],Loop!C:C,Loop!D:D)&lt;75,(O34*(1+$I$4))+IF(TableIncomeCalculations[[#This Row],[SwitchP1]]="Y",O34*$I$6,0),0)</f>
        <v>51344.248750747007</v>
      </c>
      <c r="P35" s="35">
        <f>IF(_xlfn.XLOOKUP(TableIncome[[#This Row],[Year]],Loop!C:C,Loop!E:E)&lt;75,(P34*(1+$I$4))+IF(TableIncomeCalculations[[#This Row],[SwitchP2]]="Y",P34*$I$6,0),0)</f>
        <v>86171.17208360834</v>
      </c>
      <c r="Q35" s="35">
        <f>IF(_xlfn.XLOOKUP(TableIncome[[#This Row],[Year]],Loop!C:C,Loop!D:D)&lt;75,(Q34*(1+$I$3))+IF(TableIncomeCalculations[[#This Row],[SwitchP1]]="Y",Q34*$I$5,0),0)</f>
        <v>160188.9336104191</v>
      </c>
      <c r="R35" s="35">
        <f>IF(_xlfn.XLOOKUP(TableIncome[[#This Row],[Year]],Loop!C:C,Loop!E:E)&lt;75,(R34*(1+$I$3))+IF(TableIncomeCalculations[[#This Row],[SwitchP2]]="Y",R34*$I$5,0),0)</f>
        <v>268845.45981077012</v>
      </c>
      <c r="S35" t="str">
        <f>JobHopping[[#This Row],[SwitchP1Static]]</f>
        <v>N</v>
      </c>
      <c r="T35" t="str">
        <f>JobHopping[[#This Row],[SwitchP2Static]]</f>
        <v>N</v>
      </c>
    </row>
    <row r="36" spans="2:20" x14ac:dyDescent="0.35">
      <c r="B36" s="3">
        <v>2058</v>
      </c>
      <c r="C36" s="38">
        <f>(TableIncomeCalculations[[#This Row],[NetMonthlySalaryP1]]*12)</f>
        <v>335308.897613546</v>
      </c>
      <c r="D36" s="37">
        <f>(TableIncomeCalculations[[#This Row],[NetMonthlySalaryP2]]*12)</f>
        <v>530488.63352090318</v>
      </c>
      <c r="E36" s="36">
        <f>TableIncome[[#This Row],[SalaryP1]]*$I$7</f>
        <v>67061.779522709199</v>
      </c>
      <c r="F36" s="36">
        <f>TableIncome[[#This Row],[SalaryP2]]*$I$7</f>
        <v>106097.72670418065</v>
      </c>
      <c r="G36" s="16"/>
      <c r="K36" s="57">
        <f>(TableIncome[[#This Row],[SalaryP1]]-TableIncome[[#This Row],[InvestmentP1]])/12</f>
        <v>22353.926507569733</v>
      </c>
      <c r="L36" s="57">
        <f>(TableIncome[[#This Row],[SalaryP2]]-TableIncome[[#This Row],[InvestmentP2]])/12</f>
        <v>35365.908901393545</v>
      </c>
      <c r="M36" s="34">
        <f>'Net Salary P1'!BI35</f>
        <v>27942.408134462166</v>
      </c>
      <c r="N36" s="35">
        <f>'Net Salary P2'!BI35</f>
        <v>44207.386126741934</v>
      </c>
      <c r="O36" s="35">
        <f>IF(_xlfn.XLOOKUP(TableIncome[[#This Row],[Year]],Loop!C:C,Loop!D:D)&lt;75,(O35*(1+$I$4))+IF(TableIncomeCalculations[[#This Row],[SwitchP1]]="Y",O35*$I$6,0),0)</f>
        <v>51344.248750747007</v>
      </c>
      <c r="P36" s="35">
        <f>IF(_xlfn.XLOOKUP(TableIncome[[#This Row],[Year]],Loop!C:C,Loop!E:E)&lt;75,(P35*(1+$I$4))+IF(TableIncomeCalculations[[#This Row],[SwitchP2]]="Y",P35*$I$6,0),0)</f>
        <v>86171.17208360834</v>
      </c>
      <c r="Q36" s="35">
        <f>IF(_xlfn.XLOOKUP(TableIncome[[#This Row],[Year]],Loop!C:C,Loop!D:D)&lt;75,(Q35*(1+$I$3))+IF(TableIncomeCalculations[[#This Row],[SwitchP1]]="Y",Q35*$I$5,0),0)</f>
        <v>164994.60161873169</v>
      </c>
      <c r="R36" s="35">
        <f>IF(_xlfn.XLOOKUP(TableIncome[[#This Row],[Year]],Loop!C:C,Loop!E:E)&lt;75,(R35*(1+$I$3))+IF(TableIncomeCalculations[[#This Row],[SwitchP2]]="Y",R35*$I$5,0),0)</f>
        <v>276910.82360509323</v>
      </c>
      <c r="S36" t="str">
        <f>JobHopping[[#This Row],[SwitchP1Static]]</f>
        <v>N</v>
      </c>
      <c r="T36" t="str">
        <f>JobHopping[[#This Row],[SwitchP2Static]]</f>
        <v>N</v>
      </c>
    </row>
    <row r="37" spans="2:20" x14ac:dyDescent="0.35">
      <c r="B37" s="3">
        <v>2059</v>
      </c>
      <c r="C37" s="38">
        <f>(TableIncomeCalculations[[#This Row],[NetMonthlySalaryP1]]*12)</f>
        <v>335308.897613546</v>
      </c>
      <c r="D37" s="37">
        <f>(TableIncomeCalculations[[#This Row],[NetMonthlySalaryP2]]*12)</f>
        <v>530488.63352090318</v>
      </c>
      <c r="E37" s="36">
        <f>TableIncome[[#This Row],[SalaryP1]]*$I$7</f>
        <v>67061.779522709199</v>
      </c>
      <c r="F37" s="36">
        <f>TableIncome[[#This Row],[SalaryP2]]*$I$7</f>
        <v>106097.72670418065</v>
      </c>
      <c r="G37" s="16"/>
      <c r="K37" s="57">
        <f>(TableIncome[[#This Row],[SalaryP1]]-TableIncome[[#This Row],[InvestmentP1]])/12</f>
        <v>22353.926507569733</v>
      </c>
      <c r="L37" s="57">
        <f>(TableIncome[[#This Row],[SalaryP2]]-TableIncome[[#This Row],[InvestmentP2]])/12</f>
        <v>35365.908901393545</v>
      </c>
      <c r="M37" s="34">
        <f>'Net Salary P1'!BI36</f>
        <v>27942.408134462166</v>
      </c>
      <c r="N37" s="35">
        <f>'Net Salary P2'!BI36</f>
        <v>44207.386126741934</v>
      </c>
      <c r="O37" s="35">
        <f>IF(_xlfn.XLOOKUP(TableIncome[[#This Row],[Year]],Loop!C:C,Loop!D:D)&lt;75,(O36*(1+$I$4))+IF(TableIncomeCalculations[[#This Row],[SwitchP1]]="Y",O36*$I$6,0),0)</f>
        <v>51344.248750747007</v>
      </c>
      <c r="P37" s="35">
        <f>IF(_xlfn.XLOOKUP(TableIncome[[#This Row],[Year]],Loop!C:C,Loop!E:E)&lt;75,(P36*(1+$I$4))+IF(TableIncomeCalculations[[#This Row],[SwitchP2]]="Y",P36*$I$6,0),0)</f>
        <v>86171.17208360834</v>
      </c>
      <c r="Q37" s="35">
        <f>IF(_xlfn.XLOOKUP(TableIncome[[#This Row],[Year]],Loop!C:C,Loop!D:D)&lt;75,(Q36*(1+$I$3))+IF(TableIncomeCalculations[[#This Row],[SwitchP1]]="Y",Q36*$I$5,0),0)</f>
        <v>169944.43966729363</v>
      </c>
      <c r="R37" s="35">
        <f>IF(_xlfn.XLOOKUP(TableIncome[[#This Row],[Year]],Loop!C:C,Loop!E:E)&lt;75,(R36*(1+$I$3))+IF(TableIncomeCalculations[[#This Row],[SwitchP2]]="Y",R36*$I$5,0),0)</f>
        <v>285218.14831324603</v>
      </c>
      <c r="S37" t="str">
        <f>JobHopping[[#This Row],[SwitchP1Static]]</f>
        <v>N</v>
      </c>
      <c r="T37" t="str">
        <f>JobHopping[[#This Row],[SwitchP2Static]]</f>
        <v>N</v>
      </c>
    </row>
    <row r="38" spans="2:20" x14ac:dyDescent="0.35">
      <c r="B38" s="3">
        <v>2060</v>
      </c>
      <c r="C38" s="38">
        <f>(TableIncomeCalculations[[#This Row],[NetMonthlySalaryP1]]*12)</f>
        <v>345484.90340707242</v>
      </c>
      <c r="D38" s="37">
        <f>(TableIncomeCalculations[[#This Row],[NetMonthlySalaryP2]]*12)</f>
        <v>0</v>
      </c>
      <c r="E38" s="36">
        <f>TableIncome[[#This Row],[SalaryP1]]*$I$7</f>
        <v>69096.980681414483</v>
      </c>
      <c r="F38" s="36">
        <f>TableIncome[[#This Row],[SalaryP2]]*$I$7</f>
        <v>0</v>
      </c>
      <c r="G38" s="16"/>
      <c r="K38" s="57">
        <f>(TableIncome[[#This Row],[SalaryP1]]-TableIncome[[#This Row],[InvestmentP1]])/12</f>
        <v>23032.326893804828</v>
      </c>
      <c r="L38" s="57">
        <f>(TableIncome[[#This Row],[SalaryP2]]-TableIncome[[#This Row],[InvestmentP2]])/12</f>
        <v>0</v>
      </c>
      <c r="M38" s="34">
        <f>'Net Salary P1'!BI37</f>
        <v>28790.408617256035</v>
      </c>
      <c r="N38" s="35">
        <f>'Net Salary P2'!BI37</f>
        <v>0</v>
      </c>
      <c r="O38" s="35">
        <f>IF(_xlfn.XLOOKUP(TableIncome[[#This Row],[Year]],Loop!C:C,Loop!D:D)&lt;75,(O37*(1+$I$4))+IF(TableIncomeCalculations[[#This Row],[SwitchP1]]="Y",O37*$I$6,0),0)</f>
        <v>52884.576213269414</v>
      </c>
      <c r="P38" s="35">
        <f>IF(_xlfn.XLOOKUP(TableIncome[[#This Row],[Year]],Loop!C:C,Loop!E:E)&lt;75,(P37*(1+$I$4))+IF(TableIncomeCalculations[[#This Row],[SwitchP2]]="Y",P37*$I$6,0),0)</f>
        <v>0</v>
      </c>
      <c r="Q38" s="35">
        <f>IF(_xlfn.XLOOKUP(TableIncome[[#This Row],[Year]],Loop!C:C,Loop!D:D)&lt;75,(Q37*(1+$I$3))+IF(TableIncomeCalculations[[#This Row],[SwitchP1]]="Y",Q37*$I$5,0),0)</f>
        <v>185239.43923735005</v>
      </c>
      <c r="R38" s="35">
        <f>IF(_xlfn.XLOOKUP(TableIncome[[#This Row],[Year]],Loop!C:C,Loop!E:E)&lt;75,(R37*(1+$I$3))+IF(TableIncomeCalculations[[#This Row],[SwitchP2]]="Y",R37*$I$5,0),0)</f>
        <v>0</v>
      </c>
      <c r="S38" t="str">
        <f>JobHopping[[#This Row],[SwitchP1Static]]</f>
        <v>Y</v>
      </c>
      <c r="T38" t="str">
        <f>JobHopping[[#This Row],[SwitchP2Static]]</f>
        <v>Y</v>
      </c>
    </row>
    <row r="39" spans="2:20" x14ac:dyDescent="0.35">
      <c r="B39" s="3">
        <v>2061</v>
      </c>
      <c r="C39" s="38">
        <f>(TableIncomeCalculations[[#This Row],[NetMonthlySalaryP1]]*12)</f>
        <v>345484.90340707242</v>
      </c>
      <c r="D39" s="37">
        <f>(TableIncomeCalculations[[#This Row],[NetMonthlySalaryP2]]*12)</f>
        <v>0</v>
      </c>
      <c r="E39" s="36">
        <f>TableIncome[[#This Row],[SalaryP1]]*$I$7</f>
        <v>69096.980681414483</v>
      </c>
      <c r="F39" s="36">
        <f>TableIncome[[#This Row],[SalaryP2]]*$I$7</f>
        <v>0</v>
      </c>
      <c r="G39" s="16"/>
      <c r="K39" s="57">
        <f>(TableIncome[[#This Row],[SalaryP1]]-TableIncome[[#This Row],[InvestmentP1]])/12</f>
        <v>23032.326893804828</v>
      </c>
      <c r="L39" s="57">
        <f>(TableIncome[[#This Row],[SalaryP2]]-TableIncome[[#This Row],[InvestmentP2]])/12</f>
        <v>0</v>
      </c>
      <c r="M39" s="34">
        <f>'Net Salary P1'!BI38</f>
        <v>28790.408617256035</v>
      </c>
      <c r="N39" s="35">
        <f>'Net Salary P2'!BI38</f>
        <v>0</v>
      </c>
      <c r="O39" s="35">
        <f>IF(_xlfn.XLOOKUP(TableIncome[[#This Row],[Year]],Loop!C:C,Loop!D:D)&lt;75,(O38*(1+$I$4))+IF(TableIncomeCalculations[[#This Row],[SwitchP1]]="Y",O38*$I$6,0),0)</f>
        <v>52884.576213269414</v>
      </c>
      <c r="P39" s="35">
        <f>IF(_xlfn.XLOOKUP(TableIncome[[#This Row],[Year]],Loop!C:C,Loop!E:E)&lt;75,(P38*(1+$I$4))+IF(TableIncomeCalculations[[#This Row],[SwitchP2]]="Y",P38*$I$6,0),0)</f>
        <v>0</v>
      </c>
      <c r="Q39" s="35">
        <f>IF(_xlfn.XLOOKUP(TableIncome[[#This Row],[Year]],Loop!C:C,Loop!D:D)&lt;75,(Q38*(1+$I$3))+IF(TableIncomeCalculations[[#This Row],[SwitchP1]]="Y",Q38*$I$5,0),0)</f>
        <v>190796.62241447056</v>
      </c>
      <c r="R39" s="35">
        <f>IF(_xlfn.XLOOKUP(TableIncome[[#This Row],[Year]],Loop!C:C,Loop!E:E)&lt;75,(R38*(1+$I$3))+IF(TableIncomeCalculations[[#This Row],[SwitchP2]]="Y",R38*$I$5,0),0)</f>
        <v>0</v>
      </c>
      <c r="S39" t="str">
        <f>JobHopping[[#This Row],[SwitchP1Static]]</f>
        <v>N</v>
      </c>
      <c r="T39" t="str">
        <f>JobHopping[[#This Row],[SwitchP2Static]]</f>
        <v>N</v>
      </c>
    </row>
    <row r="40" spans="2:20" x14ac:dyDescent="0.35">
      <c r="B40" s="3">
        <v>2062</v>
      </c>
      <c r="C40" s="38">
        <f>(TableIncomeCalculations[[#This Row],[NetMonthlySalaryP1]]*12)</f>
        <v>345484.90340707242</v>
      </c>
      <c r="D40" s="37">
        <f>(TableIncomeCalculations[[#This Row],[NetMonthlySalaryP2]]*12)</f>
        <v>0</v>
      </c>
      <c r="E40" s="36">
        <f>TableIncome[[#This Row],[SalaryP1]]*$I$7</f>
        <v>69096.980681414483</v>
      </c>
      <c r="F40" s="36">
        <f>TableIncome[[#This Row],[SalaryP2]]*$I$7</f>
        <v>0</v>
      </c>
      <c r="G40" s="16"/>
      <c r="K40" s="57">
        <f>(TableIncome[[#This Row],[SalaryP1]]-TableIncome[[#This Row],[InvestmentP1]])/12</f>
        <v>23032.326893804828</v>
      </c>
      <c r="L40" s="57">
        <f>(TableIncome[[#This Row],[SalaryP2]]-TableIncome[[#This Row],[InvestmentP2]])/12</f>
        <v>0</v>
      </c>
      <c r="M40" s="34">
        <f>'Net Salary P1'!BI39</f>
        <v>28790.408617256035</v>
      </c>
      <c r="N40" s="35">
        <f>'Net Salary P2'!BI39</f>
        <v>0</v>
      </c>
      <c r="O40" s="35">
        <f>IF(_xlfn.XLOOKUP(TableIncome[[#This Row],[Year]],Loop!C:C,Loop!D:D)&lt;75,(O39*(1+$I$4))+IF(TableIncomeCalculations[[#This Row],[SwitchP1]]="Y",O39*$I$6,0),0)</f>
        <v>52884.576213269414</v>
      </c>
      <c r="P40" s="35">
        <f>IF(_xlfn.XLOOKUP(TableIncome[[#This Row],[Year]],Loop!C:C,Loop!E:E)&lt;75,(P39*(1+$I$4))+IF(TableIncomeCalculations[[#This Row],[SwitchP2]]="Y",P39*$I$6,0),0)</f>
        <v>0</v>
      </c>
      <c r="Q40" s="35">
        <f>IF(_xlfn.XLOOKUP(TableIncome[[#This Row],[Year]],Loop!C:C,Loop!D:D)&lt;75,(Q39*(1+$I$3))+IF(TableIncomeCalculations[[#This Row],[SwitchP1]]="Y",Q39*$I$5,0),0)</f>
        <v>196520.52108690469</v>
      </c>
      <c r="R40" s="35">
        <f>IF(_xlfn.XLOOKUP(TableIncome[[#This Row],[Year]],Loop!C:C,Loop!E:E)&lt;75,(R39*(1+$I$3))+IF(TableIncomeCalculations[[#This Row],[SwitchP2]]="Y",R39*$I$5,0),0)</f>
        <v>0</v>
      </c>
      <c r="S40" t="str">
        <f>JobHopping[[#This Row],[SwitchP1Static]]</f>
        <v>N</v>
      </c>
      <c r="T40" t="str">
        <f>JobHopping[[#This Row],[SwitchP2Static]]</f>
        <v>N</v>
      </c>
    </row>
    <row r="41" spans="2:20" x14ac:dyDescent="0.35">
      <c r="B41" s="3">
        <v>2063</v>
      </c>
      <c r="C41" s="38">
        <f>(TableIncomeCalculations[[#This Row],[NetMonthlySalaryP1]]*12)</f>
        <v>345484.90340707242</v>
      </c>
      <c r="D41" s="37">
        <f>(TableIncomeCalculations[[#This Row],[NetMonthlySalaryP2]]*12)</f>
        <v>0</v>
      </c>
      <c r="E41" s="36">
        <f>TableIncome[[#This Row],[SalaryP1]]*$I$7</f>
        <v>69096.980681414483</v>
      </c>
      <c r="F41" s="36">
        <f>TableIncome[[#This Row],[SalaryP2]]*$I$7</f>
        <v>0</v>
      </c>
      <c r="G41" s="16"/>
      <c r="K41" s="57">
        <f>(TableIncome[[#This Row],[SalaryP1]]-TableIncome[[#This Row],[InvestmentP1]])/12</f>
        <v>23032.326893804828</v>
      </c>
      <c r="L41" s="57">
        <f>(TableIncome[[#This Row],[SalaryP2]]-TableIncome[[#This Row],[InvestmentP2]])/12</f>
        <v>0</v>
      </c>
      <c r="M41" s="34">
        <f>'Net Salary P1'!BI40</f>
        <v>28790.408617256035</v>
      </c>
      <c r="N41" s="35">
        <f>'Net Salary P2'!BI40</f>
        <v>0</v>
      </c>
      <c r="O41" s="35">
        <f>IF(_xlfn.XLOOKUP(TableIncome[[#This Row],[Year]],Loop!C:C,Loop!D:D)&lt;75,(O40*(1+$I$4))+IF(TableIncomeCalculations[[#This Row],[SwitchP1]]="Y",O40*$I$6,0),0)</f>
        <v>52884.576213269414</v>
      </c>
      <c r="P41" s="35">
        <f>IF(_xlfn.XLOOKUP(TableIncome[[#This Row],[Year]],Loop!C:C,Loop!E:E)&lt;75,(P40*(1+$I$4))+IF(TableIncomeCalculations[[#This Row],[SwitchP2]]="Y",P40*$I$6,0),0)</f>
        <v>0</v>
      </c>
      <c r="Q41" s="35">
        <f>IF(_xlfn.XLOOKUP(TableIncome[[#This Row],[Year]],Loop!C:C,Loop!D:D)&lt;75,(Q40*(1+$I$3))+IF(TableIncomeCalculations[[#This Row],[SwitchP1]]="Y",Q40*$I$5,0),0)</f>
        <v>202416.13671951182</v>
      </c>
      <c r="R41" s="35">
        <f>IF(_xlfn.XLOOKUP(TableIncome[[#This Row],[Year]],Loop!C:C,Loop!E:E)&lt;75,(R40*(1+$I$3))+IF(TableIncomeCalculations[[#This Row],[SwitchP2]]="Y",R40*$I$5,0),0)</f>
        <v>0</v>
      </c>
      <c r="S41" t="str">
        <f>JobHopping[[#This Row],[SwitchP1Static]]</f>
        <v>N</v>
      </c>
      <c r="T41" t="str">
        <f>JobHopping[[#This Row],[SwitchP2Static]]</f>
        <v>N</v>
      </c>
    </row>
    <row r="42" spans="2:20" x14ac:dyDescent="0.35">
      <c r="B42" s="3">
        <v>2064</v>
      </c>
      <c r="C42" s="38">
        <f>(TableIncomeCalculations[[#This Row],[NetMonthlySalaryP1]]*12)</f>
        <v>345484.90340707242</v>
      </c>
      <c r="D42" s="37">
        <f>(TableIncomeCalculations[[#This Row],[NetMonthlySalaryP2]]*12)</f>
        <v>0</v>
      </c>
      <c r="E42" s="36">
        <f>TableIncome[[#This Row],[SalaryP1]]*$I$7</f>
        <v>69096.980681414483</v>
      </c>
      <c r="F42" s="36">
        <f>TableIncome[[#This Row],[SalaryP2]]*$I$7</f>
        <v>0</v>
      </c>
      <c r="G42" s="16"/>
      <c r="K42" s="57">
        <f>(TableIncome[[#This Row],[SalaryP1]]-TableIncome[[#This Row],[InvestmentP1]])/12</f>
        <v>23032.326893804828</v>
      </c>
      <c r="L42" s="57">
        <f>(TableIncome[[#This Row],[SalaryP2]]-TableIncome[[#This Row],[InvestmentP2]])/12</f>
        <v>0</v>
      </c>
      <c r="M42" s="34">
        <f>'Net Salary P1'!BI41</f>
        <v>28790.408617256035</v>
      </c>
      <c r="N42" s="35">
        <f>'Net Salary P2'!BI41</f>
        <v>0</v>
      </c>
      <c r="O42" s="35">
        <f>IF(_xlfn.XLOOKUP(TableIncome[[#This Row],[Year]],Loop!C:C,Loop!D:D)&lt;75,(O41*(1+$I$4))+IF(TableIncomeCalculations[[#This Row],[SwitchP1]]="Y",O41*$I$6,0),0)</f>
        <v>52884.576213269414</v>
      </c>
      <c r="P42" s="35">
        <f>IF(_xlfn.XLOOKUP(TableIncome[[#This Row],[Year]],Loop!C:C,Loop!E:E)&lt;75,(P41*(1+$I$4))+IF(TableIncomeCalculations[[#This Row],[SwitchP2]]="Y",P41*$I$6,0),0)</f>
        <v>0</v>
      </c>
      <c r="Q42" s="35">
        <f>IF(_xlfn.XLOOKUP(TableIncome[[#This Row],[Year]],Loop!C:C,Loop!D:D)&lt;75,(Q41*(1+$I$3))+IF(TableIncomeCalculations[[#This Row],[SwitchP1]]="Y",Q41*$I$5,0),0)</f>
        <v>208488.6208210972</v>
      </c>
      <c r="R42" s="35">
        <f>IF(_xlfn.XLOOKUP(TableIncome[[#This Row],[Year]],Loop!C:C,Loop!E:E)&lt;75,(R41*(1+$I$3))+IF(TableIncomeCalculations[[#This Row],[SwitchP2]]="Y",R41*$I$5,0),0)</f>
        <v>0</v>
      </c>
      <c r="S42" t="str">
        <f>JobHopping[[#This Row],[SwitchP1Static]]</f>
        <v>N</v>
      </c>
      <c r="T42" t="str">
        <f>JobHopping[[#This Row],[SwitchP2Static]]</f>
        <v>N</v>
      </c>
    </row>
    <row r="43" spans="2:20" x14ac:dyDescent="0.35">
      <c r="B43" s="3">
        <v>2065</v>
      </c>
      <c r="C43" s="38">
        <f>(TableIncomeCalculations[[#This Row],[NetMonthlySalaryP1]]*12)</f>
        <v>345484.90340707242</v>
      </c>
      <c r="D43" s="37">
        <f>(TableIncomeCalculations[[#This Row],[NetMonthlySalaryP2]]*12)</f>
        <v>0</v>
      </c>
      <c r="E43" s="36">
        <f>TableIncome[[#This Row],[SalaryP1]]*$I$7</f>
        <v>69096.980681414483</v>
      </c>
      <c r="F43" s="36">
        <f>TableIncome[[#This Row],[SalaryP2]]*$I$7</f>
        <v>0</v>
      </c>
      <c r="G43" s="16"/>
      <c r="K43" s="57">
        <f>(TableIncome[[#This Row],[SalaryP1]]-TableIncome[[#This Row],[InvestmentP1]])/12</f>
        <v>23032.326893804828</v>
      </c>
      <c r="L43" s="57">
        <f>(TableIncome[[#This Row],[SalaryP2]]-TableIncome[[#This Row],[InvestmentP2]])/12</f>
        <v>0</v>
      </c>
      <c r="M43" s="34">
        <f>'Net Salary P1'!BI42</f>
        <v>28790.408617256035</v>
      </c>
      <c r="N43" s="35">
        <f>'Net Salary P2'!BI42</f>
        <v>0</v>
      </c>
      <c r="O43" s="35">
        <f>IF(_xlfn.XLOOKUP(TableIncome[[#This Row],[Year]],Loop!C:C,Loop!D:D)&lt;75,(O42*(1+$I$4))+IF(TableIncomeCalculations[[#This Row],[SwitchP1]]="Y",O42*$I$6,0),0)</f>
        <v>52884.576213269414</v>
      </c>
      <c r="P43" s="35">
        <f>IF(_xlfn.XLOOKUP(TableIncome[[#This Row],[Year]],Loop!C:C,Loop!E:E)&lt;75,(P42*(1+$I$4))+IF(TableIncomeCalculations[[#This Row],[SwitchP2]]="Y",P42*$I$6,0),0)</f>
        <v>0</v>
      </c>
      <c r="Q43" s="35">
        <f>IF(_xlfn.XLOOKUP(TableIncome[[#This Row],[Year]],Loop!C:C,Loop!D:D)&lt;75,(Q42*(1+$I$3))+IF(TableIncomeCalculations[[#This Row],[SwitchP1]]="Y",Q42*$I$5,0),0)</f>
        <v>214743.27944573012</v>
      </c>
      <c r="R43" s="35">
        <f>IF(_xlfn.XLOOKUP(TableIncome[[#This Row],[Year]],Loop!C:C,Loop!E:E)&lt;75,(R42*(1+$I$3))+IF(TableIncomeCalculations[[#This Row],[SwitchP2]]="Y",R42*$I$5,0),0)</f>
        <v>0</v>
      </c>
      <c r="S43" t="str">
        <f>JobHopping[[#This Row],[SwitchP1Static]]</f>
        <v>N</v>
      </c>
      <c r="T43" t="str">
        <f>JobHopping[[#This Row],[SwitchP2Static]]</f>
        <v>N</v>
      </c>
    </row>
    <row r="44" spans="2:20" x14ac:dyDescent="0.35">
      <c r="B44" s="3">
        <v>2066</v>
      </c>
      <c r="C44" s="38">
        <f>(TableIncomeCalculations[[#This Row],[NetMonthlySalaryP1]]*12)</f>
        <v>345484.90340707242</v>
      </c>
      <c r="D44" s="37">
        <f>(TableIncomeCalculations[[#This Row],[NetMonthlySalaryP2]]*12)</f>
        <v>0</v>
      </c>
      <c r="E44" s="36">
        <f>TableIncome[[#This Row],[SalaryP1]]*$I$7</f>
        <v>69096.980681414483</v>
      </c>
      <c r="F44" s="36">
        <f>TableIncome[[#This Row],[SalaryP2]]*$I$7</f>
        <v>0</v>
      </c>
      <c r="G44" s="16"/>
      <c r="K44" s="57">
        <f>(TableIncome[[#This Row],[SalaryP1]]-TableIncome[[#This Row],[InvestmentP1]])/12</f>
        <v>23032.326893804828</v>
      </c>
      <c r="L44" s="57">
        <f>(TableIncome[[#This Row],[SalaryP2]]-TableIncome[[#This Row],[InvestmentP2]])/12</f>
        <v>0</v>
      </c>
      <c r="M44" s="34">
        <f>'Net Salary P1'!BI43</f>
        <v>28790.408617256035</v>
      </c>
      <c r="N44" s="35">
        <f>'Net Salary P2'!BI43</f>
        <v>0</v>
      </c>
      <c r="O44" s="35">
        <f>IF(_xlfn.XLOOKUP(TableIncome[[#This Row],[Year]],Loop!C:C,Loop!D:D)&lt;75,(O43*(1+$I$4))+IF(TableIncomeCalculations[[#This Row],[SwitchP1]]="Y",O43*$I$6,0),0)</f>
        <v>52884.576213269414</v>
      </c>
      <c r="P44" s="35">
        <f>IF(_xlfn.XLOOKUP(TableIncome[[#This Row],[Year]],Loop!C:C,Loop!E:E)&lt;75,(P43*(1+$I$4))+IF(TableIncomeCalculations[[#This Row],[SwitchP2]]="Y",P43*$I$6,0),0)</f>
        <v>0</v>
      </c>
      <c r="Q44" s="35">
        <f>IF(_xlfn.XLOOKUP(TableIncome[[#This Row],[Year]],Loop!C:C,Loop!D:D)&lt;75,(Q43*(1+$I$3))+IF(TableIncomeCalculations[[#This Row],[SwitchP1]]="Y",Q43*$I$5,0),0)</f>
        <v>221185.57782910203</v>
      </c>
      <c r="R44" s="35">
        <f>IF(_xlfn.XLOOKUP(TableIncome[[#This Row],[Year]],Loop!C:C,Loop!E:E)&lt;75,(R43*(1+$I$3))+IF(TableIncomeCalculations[[#This Row],[SwitchP2]]="Y",R43*$I$5,0),0)</f>
        <v>0</v>
      </c>
      <c r="S44" t="str">
        <f>JobHopping[[#This Row],[SwitchP1Static]]</f>
        <v>N</v>
      </c>
      <c r="T44" t="str">
        <f>JobHopping[[#This Row],[SwitchP2Static]]</f>
        <v>N</v>
      </c>
    </row>
    <row r="45" spans="2:20" x14ac:dyDescent="0.35">
      <c r="B45" s="3">
        <v>2067</v>
      </c>
      <c r="C45" s="38">
        <f>(TableIncomeCalculations[[#This Row],[NetMonthlySalaryP1]]*12)</f>
        <v>345484.90340707242</v>
      </c>
      <c r="D45" s="37">
        <f>(TableIncomeCalculations[[#This Row],[NetMonthlySalaryP2]]*12)</f>
        <v>0</v>
      </c>
      <c r="E45" s="36">
        <f>TableIncome[[#This Row],[SalaryP1]]*$I$7</f>
        <v>69096.980681414483</v>
      </c>
      <c r="F45" s="36">
        <f>TableIncome[[#This Row],[SalaryP2]]*$I$7</f>
        <v>0</v>
      </c>
      <c r="G45" s="16"/>
      <c r="K45" s="57">
        <f>(TableIncome[[#This Row],[SalaryP1]]-TableIncome[[#This Row],[InvestmentP1]])/12</f>
        <v>23032.326893804828</v>
      </c>
      <c r="L45" s="57">
        <f>(TableIncome[[#This Row],[SalaryP2]]-TableIncome[[#This Row],[InvestmentP2]])/12</f>
        <v>0</v>
      </c>
      <c r="M45" s="34">
        <f>'Net Salary P1'!BI44</f>
        <v>28790.408617256035</v>
      </c>
      <c r="N45" s="35">
        <f>'Net Salary P2'!BI44</f>
        <v>0</v>
      </c>
      <c r="O45" s="35">
        <f>IF(_xlfn.XLOOKUP(TableIncome[[#This Row],[Year]],Loop!C:C,Loop!D:D)&lt;75,(O44*(1+$I$4))+IF(TableIncomeCalculations[[#This Row],[SwitchP1]]="Y",O44*$I$6,0),0)</f>
        <v>52884.576213269414</v>
      </c>
      <c r="P45" s="35">
        <f>IF(_xlfn.XLOOKUP(TableIncome[[#This Row],[Year]],Loop!C:C,Loop!E:E)&lt;75,(P44*(1+$I$4))+IF(TableIncomeCalculations[[#This Row],[SwitchP2]]="Y",P44*$I$6,0),0)</f>
        <v>0</v>
      </c>
      <c r="Q45" s="35">
        <f>IF(_xlfn.XLOOKUP(TableIncome[[#This Row],[Year]],Loop!C:C,Loop!D:D)&lt;75,(Q44*(1+$I$3))+IF(TableIncomeCalculations[[#This Row],[SwitchP1]]="Y",Q44*$I$5,0),0)</f>
        <v>227821.1451639751</v>
      </c>
      <c r="R45" s="35">
        <f>IF(_xlfn.XLOOKUP(TableIncome[[#This Row],[Year]],Loop!C:C,Loop!E:E)&lt;75,(R44*(1+$I$3))+IF(TableIncomeCalculations[[#This Row],[SwitchP2]]="Y",R44*$I$5,0),0)</f>
        <v>0</v>
      </c>
      <c r="S45" t="str">
        <f>JobHopping[[#This Row],[SwitchP1Static]]</f>
        <v>N</v>
      </c>
      <c r="T45" t="str">
        <f>JobHopping[[#This Row],[SwitchP2Static]]</f>
        <v>N</v>
      </c>
    </row>
    <row r="46" spans="2:20" x14ac:dyDescent="0.35">
      <c r="B46" s="3">
        <v>2068</v>
      </c>
      <c r="C46" s="38">
        <f>(TableIncomeCalculations[[#This Row],[NetMonthlySalaryP1]]*12)</f>
        <v>345484.90340707242</v>
      </c>
      <c r="D46" s="37">
        <f>(TableIncomeCalculations[[#This Row],[NetMonthlySalaryP2]]*12)</f>
        <v>0</v>
      </c>
      <c r="E46" s="36">
        <f>TableIncome[[#This Row],[SalaryP1]]*$I$7</f>
        <v>69096.980681414483</v>
      </c>
      <c r="F46" s="36">
        <f>TableIncome[[#This Row],[SalaryP2]]*$I$7</f>
        <v>0</v>
      </c>
      <c r="G46" s="16"/>
      <c r="K46" s="57">
        <f>(TableIncome[[#This Row],[SalaryP1]]-TableIncome[[#This Row],[InvestmentP1]])/12</f>
        <v>23032.326893804828</v>
      </c>
      <c r="L46" s="57">
        <f>(TableIncome[[#This Row],[SalaryP2]]-TableIncome[[#This Row],[InvestmentP2]])/12</f>
        <v>0</v>
      </c>
      <c r="M46" s="34">
        <f>'Net Salary P1'!BI45</f>
        <v>28790.408617256035</v>
      </c>
      <c r="N46" s="35">
        <f>'Net Salary P2'!BI45</f>
        <v>0</v>
      </c>
      <c r="O46" s="35">
        <f>IF(_xlfn.XLOOKUP(TableIncome[[#This Row],[Year]],Loop!C:C,Loop!D:D)&lt;75,(O45*(1+$I$4))+IF(TableIncomeCalculations[[#This Row],[SwitchP1]]="Y",O45*$I$6,0),0)</f>
        <v>52884.576213269414</v>
      </c>
      <c r="P46" s="35">
        <f>IF(_xlfn.XLOOKUP(TableIncome[[#This Row],[Year]],Loop!C:C,Loop!E:E)&lt;75,(P45*(1+$I$4))+IF(TableIncomeCalculations[[#This Row],[SwitchP2]]="Y",P45*$I$6,0),0)</f>
        <v>0</v>
      </c>
      <c r="Q46" s="35">
        <f>IF(_xlfn.XLOOKUP(TableIncome[[#This Row],[Year]],Loop!C:C,Loop!D:D)&lt;75,(Q45*(1+$I$3))+IF(TableIncomeCalculations[[#This Row],[SwitchP1]]="Y",Q45*$I$5,0),0)</f>
        <v>234655.77951889436</v>
      </c>
      <c r="R46" s="35">
        <f>IF(_xlfn.XLOOKUP(TableIncome[[#This Row],[Year]],Loop!C:C,Loop!E:E)&lt;75,(R45*(1+$I$3))+IF(TableIncomeCalculations[[#This Row],[SwitchP2]]="Y",R45*$I$5,0),0)</f>
        <v>0</v>
      </c>
      <c r="S46" t="str">
        <f>JobHopping[[#This Row],[SwitchP1Static]]</f>
        <v>N</v>
      </c>
      <c r="T46" t="str">
        <f>JobHopping[[#This Row],[SwitchP2Static]]</f>
        <v>N</v>
      </c>
    </row>
    <row r="47" spans="2:20" x14ac:dyDescent="0.35">
      <c r="B47" s="3">
        <v>2069</v>
      </c>
      <c r="C47" s="38">
        <f>(TableIncomeCalculations[[#This Row],[NetMonthlySalaryP1]]*12)</f>
        <v>345484.90340707242</v>
      </c>
      <c r="D47" s="37">
        <f>(TableIncomeCalculations[[#This Row],[NetMonthlySalaryP2]]*12)</f>
        <v>0</v>
      </c>
      <c r="E47" s="36">
        <f>TableIncome[[#This Row],[SalaryP1]]*$I$7</f>
        <v>69096.980681414483</v>
      </c>
      <c r="F47" s="36">
        <f>TableIncome[[#This Row],[SalaryP2]]*$I$7</f>
        <v>0</v>
      </c>
      <c r="G47" s="16"/>
      <c r="K47" s="57">
        <f>(TableIncome[[#This Row],[SalaryP1]]-TableIncome[[#This Row],[InvestmentP1]])/12</f>
        <v>23032.326893804828</v>
      </c>
      <c r="L47" s="57">
        <f>(TableIncome[[#This Row],[SalaryP2]]-TableIncome[[#This Row],[InvestmentP2]])/12</f>
        <v>0</v>
      </c>
      <c r="M47" s="34">
        <f>'Net Salary P1'!BI46</f>
        <v>28790.408617256035</v>
      </c>
      <c r="N47" s="35">
        <f>'Net Salary P2'!BI46</f>
        <v>0</v>
      </c>
      <c r="O47" s="35">
        <f>IF(_xlfn.XLOOKUP(TableIncome[[#This Row],[Year]],Loop!C:C,Loop!D:D)&lt;75,(O46*(1+$I$4))+IF(TableIncomeCalculations[[#This Row],[SwitchP1]]="Y",O46*$I$6,0),0)</f>
        <v>52884.576213269414</v>
      </c>
      <c r="P47" s="35">
        <f>IF(_xlfn.XLOOKUP(TableIncome[[#This Row],[Year]],Loop!C:C,Loop!E:E)&lt;75,(P46*(1+$I$4))+IF(TableIncomeCalculations[[#This Row],[SwitchP2]]="Y",P46*$I$6,0),0)</f>
        <v>0</v>
      </c>
      <c r="Q47" s="35">
        <f>IF(_xlfn.XLOOKUP(TableIncome[[#This Row],[Year]],Loop!C:C,Loop!D:D)&lt;75,(Q46*(1+$I$3))+IF(TableIncomeCalculations[[#This Row],[SwitchP1]]="Y",Q46*$I$5,0),0)</f>
        <v>241695.45290446118</v>
      </c>
      <c r="R47" s="35">
        <f>IF(_xlfn.XLOOKUP(TableIncome[[#This Row],[Year]],Loop!C:C,Loop!E:E)&lt;75,(R46*(1+$I$3))+IF(TableIncomeCalculations[[#This Row],[SwitchP2]]="Y",R46*$I$5,0),0)</f>
        <v>0</v>
      </c>
      <c r="S47" t="str">
        <f>JobHopping[[#This Row],[SwitchP1Static]]</f>
        <v>N</v>
      </c>
      <c r="T47" t="str">
        <f>JobHopping[[#This Row],[SwitchP2Static]]</f>
        <v>N</v>
      </c>
    </row>
    <row r="48" spans="2:20" x14ac:dyDescent="0.35">
      <c r="B48" s="3">
        <v>2070</v>
      </c>
      <c r="C48" s="38">
        <f>(TableIncomeCalculations[[#This Row],[NetMonthlySalaryP1]]*12)</f>
        <v>345484.90340707242</v>
      </c>
      <c r="D48" s="37">
        <f>(TableIncomeCalculations[[#This Row],[NetMonthlySalaryP2]]*12)</f>
        <v>0</v>
      </c>
      <c r="E48" s="36">
        <f>TableIncome[[#This Row],[SalaryP1]]*$I$7</f>
        <v>69096.980681414483</v>
      </c>
      <c r="F48" s="36">
        <f>TableIncome[[#This Row],[SalaryP2]]*$I$7</f>
        <v>0</v>
      </c>
      <c r="G48" s="16"/>
      <c r="K48" s="57">
        <f>(TableIncome[[#This Row],[SalaryP1]]-TableIncome[[#This Row],[InvestmentP1]])/12</f>
        <v>23032.326893804828</v>
      </c>
      <c r="L48" s="57">
        <f>(TableIncome[[#This Row],[SalaryP2]]-TableIncome[[#This Row],[InvestmentP2]])/12</f>
        <v>0</v>
      </c>
      <c r="M48" s="34">
        <f>'Net Salary P1'!BI47</f>
        <v>28790.408617256035</v>
      </c>
      <c r="N48" s="35">
        <f>'Net Salary P2'!BI47</f>
        <v>0</v>
      </c>
      <c r="O48" s="35">
        <f>IF(_xlfn.XLOOKUP(TableIncome[[#This Row],[Year]],Loop!C:C,Loop!D:D)&lt;75,(O47*(1+$I$4))+IF(TableIncomeCalculations[[#This Row],[SwitchP1]]="Y",O47*$I$6,0),0)</f>
        <v>52884.576213269414</v>
      </c>
      <c r="P48" s="35">
        <f>IF(_xlfn.XLOOKUP(TableIncome[[#This Row],[Year]],Loop!C:C,Loop!E:E)&lt;75,(P47*(1+$I$4))+IF(TableIncomeCalculations[[#This Row],[SwitchP2]]="Y",P47*$I$6,0),0)</f>
        <v>0</v>
      </c>
      <c r="Q48" s="35">
        <f>IF(_xlfn.XLOOKUP(TableIncome[[#This Row],[Year]],Loop!C:C,Loop!D:D)&lt;75,(Q47*(1+$I$3))+IF(TableIncomeCalculations[[#This Row],[SwitchP1]]="Y",Q47*$I$5,0),0)</f>
        <v>248946.31649159503</v>
      </c>
      <c r="R48" s="35">
        <f>IF(_xlfn.XLOOKUP(TableIncome[[#This Row],[Year]],Loop!C:C,Loop!E:E)&lt;75,(R47*(1+$I$3))+IF(TableIncomeCalculations[[#This Row],[SwitchP2]]="Y",R47*$I$5,0),0)</f>
        <v>0</v>
      </c>
      <c r="S48" t="str">
        <f>JobHopping[[#This Row],[SwitchP1Static]]</f>
        <v>N</v>
      </c>
      <c r="T48" t="str">
        <f>JobHopping[[#This Row],[SwitchP2Static]]</f>
        <v>N</v>
      </c>
    </row>
    <row r="49" spans="2:20" x14ac:dyDescent="0.35">
      <c r="B49" s="3">
        <v>2071</v>
      </c>
      <c r="C49" s="38">
        <f>(TableIncomeCalculations[[#This Row],[NetMonthlySalaryP1]]*12)</f>
        <v>345484.90340707242</v>
      </c>
      <c r="D49" s="37">
        <f>(TableIncomeCalculations[[#This Row],[NetMonthlySalaryP2]]*12)</f>
        <v>0</v>
      </c>
      <c r="E49" s="36">
        <f>TableIncome[[#This Row],[SalaryP1]]*$I$7</f>
        <v>69096.980681414483</v>
      </c>
      <c r="F49" s="36">
        <f>TableIncome[[#This Row],[SalaryP2]]*$I$7</f>
        <v>0</v>
      </c>
      <c r="K49" s="57">
        <f>(TableIncome[[#This Row],[SalaryP1]]-TableIncome[[#This Row],[InvestmentP1]])/12</f>
        <v>23032.326893804828</v>
      </c>
      <c r="L49" s="57">
        <f>(TableIncome[[#This Row],[SalaryP2]]-TableIncome[[#This Row],[InvestmentP2]])/12</f>
        <v>0</v>
      </c>
      <c r="M49" s="34">
        <f>'Net Salary P1'!BI48</f>
        <v>28790.408617256035</v>
      </c>
      <c r="N49" s="34">
        <f>'Net Salary P2'!BI48</f>
        <v>0</v>
      </c>
      <c r="O49" s="35">
        <f>IF(_xlfn.XLOOKUP(TableIncome[[#This Row],[Year]],Loop!C:C,Loop!D:D)&lt;75,(O48*(1+$I$4))+IF(TableIncomeCalculations[[#This Row],[SwitchP1]]="Y",O48*$I$6,0),0)</f>
        <v>52884.576213269414</v>
      </c>
      <c r="P49" s="35">
        <f>IF(_xlfn.XLOOKUP(TableIncome[[#This Row],[Year]],Loop!C:C,Loop!E:E)&lt;75,(P48*(1+$I$4))+IF(TableIncomeCalculations[[#This Row],[SwitchP2]]="Y",P48*$I$6,0),0)</f>
        <v>0</v>
      </c>
      <c r="Q49" s="35">
        <f>IF(_xlfn.XLOOKUP(TableIncome[[#This Row],[Year]],Loop!C:C,Loop!D:D)&lt;75,(Q48*(1+$I$3))+IF(TableIncomeCalculations[[#This Row],[SwitchP1]]="Y",Q48*$I$5,0),0)</f>
        <v>256414.70598634289</v>
      </c>
      <c r="R49" s="34"/>
      <c r="S49" t="str">
        <f>JobHopping[[#This Row],[SwitchP1Static]]</f>
        <v>N</v>
      </c>
      <c r="T49" t="str">
        <f>JobHopping[[#This Row],[SwitchP2Static]]</f>
        <v>N</v>
      </c>
    </row>
    <row r="50" spans="2:20" x14ac:dyDescent="0.35">
      <c r="B50" s="3">
        <v>2072</v>
      </c>
      <c r="C50" s="38">
        <f>(TableIncomeCalculations[[#This Row],[NetMonthlySalaryP1]]*12)</f>
        <v>345484.90340707242</v>
      </c>
      <c r="D50" s="37">
        <f>(TableIncomeCalculations[[#This Row],[NetMonthlySalaryP2]]*12)</f>
        <v>0</v>
      </c>
      <c r="E50" s="36">
        <f>TableIncome[[#This Row],[SalaryP1]]*$I$7</f>
        <v>69096.980681414483</v>
      </c>
      <c r="F50" s="36">
        <f>TableIncome[[#This Row],[SalaryP2]]*$I$7</f>
        <v>0</v>
      </c>
      <c r="K50" s="57">
        <f>(TableIncome[[#This Row],[SalaryP1]]-TableIncome[[#This Row],[InvestmentP1]])/12</f>
        <v>23032.326893804828</v>
      </c>
      <c r="L50" s="57">
        <f>(TableIncome[[#This Row],[SalaryP2]]-TableIncome[[#This Row],[InvestmentP2]])/12</f>
        <v>0</v>
      </c>
      <c r="M50" s="34">
        <f>'Net Salary P1'!BI49</f>
        <v>28790.408617256035</v>
      </c>
      <c r="N50" s="34">
        <f>'Net Salary P2'!BI49</f>
        <v>0</v>
      </c>
      <c r="O50" s="35">
        <f>IF(_xlfn.XLOOKUP(TableIncome[[#This Row],[Year]],Loop!C:C,Loop!D:D)&lt;75,(O49*(1+$I$4))+IF(TableIncomeCalculations[[#This Row],[SwitchP1]]="Y",O49*$I$6,0),0)</f>
        <v>52884.576213269414</v>
      </c>
      <c r="P50" s="35">
        <f>IF(_xlfn.XLOOKUP(TableIncome[[#This Row],[Year]],Loop!C:C,Loop!E:E)&lt;75,(P49*(1+$I$4))+IF(TableIncomeCalculations[[#This Row],[SwitchP2]]="Y",P49*$I$6,0),0)</f>
        <v>0</v>
      </c>
      <c r="Q50" s="35">
        <f>IF(_xlfn.XLOOKUP(TableIncome[[#This Row],[Year]],Loop!C:C,Loop!D:D)&lt;75,(Q49*(1+$I$3))+IF(TableIncomeCalculations[[#This Row],[SwitchP1]]="Y",Q49*$I$5,0),0)</f>
        <v>264107.14716593316</v>
      </c>
      <c r="R50" s="34"/>
      <c r="S50" t="str">
        <f>JobHopping[[#This Row],[SwitchP1Static]]</f>
        <v>N</v>
      </c>
      <c r="T50" t="str">
        <f>JobHopping[[#This Row],[SwitchP2Static]]</f>
        <v>N</v>
      </c>
    </row>
    <row r="51" spans="2:20" x14ac:dyDescent="0.35">
      <c r="B51" s="3">
        <v>2073</v>
      </c>
      <c r="C51" s="38">
        <f>(TableIncomeCalculations[[#This Row],[NetMonthlySalaryP1]]*12)</f>
        <v>345484.90340707242</v>
      </c>
      <c r="D51" s="37">
        <f>(TableIncomeCalculations[[#This Row],[NetMonthlySalaryP2]]*12)</f>
        <v>0</v>
      </c>
      <c r="E51" s="36">
        <f>TableIncome[[#This Row],[SalaryP1]]*$I$7</f>
        <v>69096.980681414483</v>
      </c>
      <c r="F51" s="36">
        <f>TableIncome[[#This Row],[SalaryP2]]*$I$7</f>
        <v>0</v>
      </c>
      <c r="K51" s="57">
        <f>(TableIncome[[#This Row],[SalaryP1]]-TableIncome[[#This Row],[InvestmentP1]])/12</f>
        <v>23032.326893804828</v>
      </c>
      <c r="L51" s="57">
        <f>(TableIncome[[#This Row],[SalaryP2]]-TableIncome[[#This Row],[InvestmentP2]])/12</f>
        <v>0</v>
      </c>
      <c r="M51" s="34">
        <f>'Net Salary P1'!BI50</f>
        <v>28790.408617256035</v>
      </c>
      <c r="N51" s="34">
        <f>'Net Salary P2'!BI50</f>
        <v>0</v>
      </c>
      <c r="O51" s="35">
        <f>IF(_xlfn.XLOOKUP(TableIncome[[#This Row],[Year]],Loop!C:C,Loop!D:D)&lt;75,(O50*(1+$I$4))+IF(TableIncomeCalculations[[#This Row],[SwitchP1]]="Y",O50*$I$6,0),0)</f>
        <v>52884.576213269414</v>
      </c>
      <c r="P51" s="35">
        <f>IF(_xlfn.XLOOKUP(TableIncome[[#This Row],[Year]],Loop!C:C,Loop!E:E)&lt;75,(P50*(1+$I$4))+IF(TableIncomeCalculations[[#This Row],[SwitchP2]]="Y",P50*$I$6,0),0)</f>
        <v>0</v>
      </c>
      <c r="Q51" s="35">
        <f>IF(_xlfn.XLOOKUP(TableIncome[[#This Row],[Year]],Loop!C:C,Loop!D:D)&lt;75,(Q50*(1+$I$3))+IF(TableIncomeCalculations[[#This Row],[SwitchP1]]="Y",Q50*$I$5,0),0)</f>
        <v>272030.36158091115</v>
      </c>
      <c r="R51" s="34"/>
      <c r="S51" t="str">
        <f>JobHopping[[#This Row],[SwitchP1Static]]</f>
        <v>N</v>
      </c>
      <c r="T51" t="str">
        <f>JobHopping[[#This Row],[SwitchP2Static]]</f>
        <v>N</v>
      </c>
    </row>
    <row r="52" spans="2:20" x14ac:dyDescent="0.35">
      <c r="B52" s="3">
        <v>2074</v>
      </c>
      <c r="C52" s="38">
        <f>(TableIncomeCalculations[[#This Row],[NetMonthlySalaryP1]]*12)</f>
        <v>345484.90340707242</v>
      </c>
      <c r="D52" s="37">
        <f>(TableIncomeCalculations[[#This Row],[NetMonthlySalaryP2]]*12)</f>
        <v>0</v>
      </c>
      <c r="E52" s="36">
        <f>TableIncome[[#This Row],[SalaryP1]]*$I$7</f>
        <v>69096.980681414483</v>
      </c>
      <c r="F52" s="36">
        <f>TableIncome[[#This Row],[SalaryP2]]*$I$7</f>
        <v>0</v>
      </c>
      <c r="K52" s="57">
        <f>(TableIncome[[#This Row],[SalaryP1]]-TableIncome[[#This Row],[InvestmentP1]])/12</f>
        <v>23032.326893804828</v>
      </c>
      <c r="L52" s="57">
        <f>(TableIncome[[#This Row],[SalaryP2]]-TableIncome[[#This Row],[InvestmentP2]])/12</f>
        <v>0</v>
      </c>
      <c r="M52" s="34">
        <f>'Net Salary P1'!BI51</f>
        <v>28790.408617256035</v>
      </c>
      <c r="N52" s="34">
        <f>'Net Salary P2'!BI51</f>
        <v>0</v>
      </c>
      <c r="O52" s="35">
        <f>IF(_xlfn.XLOOKUP(TableIncome[[#This Row],[Year]],Loop!C:C,Loop!D:D)&lt;75,(O51*(1+$I$4))+IF(TableIncomeCalculations[[#This Row],[SwitchP1]]="Y",O51*$I$6,0),0)</f>
        <v>52884.576213269414</v>
      </c>
      <c r="P52" s="35">
        <f>IF(_xlfn.XLOOKUP(TableIncome[[#This Row],[Year]],Loop!C:C,Loop!E:E)&lt;75,(P51*(1+$I$4))+IF(TableIncomeCalculations[[#This Row],[SwitchP2]]="Y",P51*$I$6,0),0)</f>
        <v>0</v>
      </c>
      <c r="Q52" s="35">
        <f>IF(_xlfn.XLOOKUP(TableIncome[[#This Row],[Year]],Loop!C:C,Loop!D:D)&lt;75,(Q51*(1+$I$3))+IF(TableIncomeCalculations[[#This Row],[SwitchP1]]="Y",Q51*$I$5,0),0)</f>
        <v>280191.27242833847</v>
      </c>
      <c r="R52" s="34"/>
      <c r="S52" t="str">
        <f>JobHopping[[#This Row],[SwitchP1Static]]</f>
        <v>N</v>
      </c>
      <c r="T52" t="str">
        <f>JobHopping[[#This Row],[SwitchP2Static]]</f>
        <v>N</v>
      </c>
    </row>
    <row r="53" spans="2:20" x14ac:dyDescent="0.35">
      <c r="B53" s="3">
        <v>2075</v>
      </c>
      <c r="C53" s="38">
        <f>(TableIncomeCalculations[[#This Row],[NetMonthlySalaryP1]]*12)</f>
        <v>0</v>
      </c>
      <c r="D53" s="37">
        <f>(TableIncomeCalculations[[#This Row],[NetMonthlySalaryP2]]*12)</f>
        <v>0</v>
      </c>
      <c r="E53" s="36">
        <f>TableIncome[[#This Row],[SalaryP1]]*$I$7</f>
        <v>0</v>
      </c>
      <c r="F53" s="36">
        <f>TableIncome[[#This Row],[SalaryP2]]*$I$7</f>
        <v>0</v>
      </c>
      <c r="K53" s="57">
        <f>(TableIncome[[#This Row],[SalaryP1]]-TableIncome[[#This Row],[InvestmentP1]])/12</f>
        <v>0</v>
      </c>
      <c r="L53" s="57">
        <f>(TableIncome[[#This Row],[SalaryP2]]-TableIncome[[#This Row],[InvestmentP2]])/12</f>
        <v>0</v>
      </c>
      <c r="M53" s="34">
        <f>'Net Salary P1'!BI52</f>
        <v>0</v>
      </c>
      <c r="N53" s="34">
        <f>'Net Salary P2'!BI52</f>
        <v>0</v>
      </c>
      <c r="O53" s="35">
        <f>IF(_xlfn.XLOOKUP(TableIncome[[#This Row],[Year]],Loop!C:C,Loop!D:D)&lt;75,(O52*(1+$I$4))+IF(TableIncomeCalculations[[#This Row],[SwitchP1]]="Y",O52*$I$6,0),0)</f>
        <v>0</v>
      </c>
      <c r="P53" s="35">
        <f>IF(_xlfn.XLOOKUP(TableIncome[[#This Row],[Year]],Loop!C:C,Loop!E:E)&lt;75,(P52*(1+$I$4))+IF(TableIncomeCalculations[[#This Row],[SwitchP2]]="Y",P52*$I$6,0),0)</f>
        <v>0</v>
      </c>
      <c r="Q53" s="35">
        <f>IF(_xlfn.XLOOKUP(TableIncome[[#This Row],[Year]],Loop!C:C,Loop!D:D)&lt;75,(Q52*(1+$I$3))+IF(TableIncomeCalculations[[#This Row],[SwitchP1]]="Y",Q52*$I$5,0),0)</f>
        <v>0</v>
      </c>
      <c r="R53" s="34"/>
      <c r="S53" t="str">
        <f>JobHopping[[#This Row],[SwitchP1Static]]</f>
        <v>N</v>
      </c>
      <c r="T53" t="str">
        <f>JobHopping[[#This Row],[SwitchP2Static]]</f>
        <v>N</v>
      </c>
    </row>
  </sheetData>
  <phoneticPr fontId="8" type="noConversion"/>
  <hyperlinks>
    <hyperlink ref="A1" location="Income!A1" display="Income!A1" xr:uid="{95211CCE-120C-4FC4-A1CE-F0BDC3C7A193}"/>
  </hyperlinks>
  <pageMargins left="0.7" right="0.7" top="0.75" bottom="0.75" header="0.3" footer="0.3"/>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1CF0B-DD32-4093-8E0D-437603030A61}">
  <sheetPr>
    <tabColor theme="8" tint="0.79998168889431442"/>
  </sheetPr>
  <dimension ref="A1:AY54"/>
  <sheetViews>
    <sheetView topLeftCell="A8" zoomScale="69" zoomScaleNormal="115" workbookViewId="0">
      <selection activeCell="B25" sqref="B25"/>
    </sheetView>
  </sheetViews>
  <sheetFormatPr defaultColWidth="9.1796875" defaultRowHeight="14.5" x14ac:dyDescent="0.35"/>
  <cols>
    <col min="1" max="1" width="30" style="2" bestFit="1" customWidth="1"/>
    <col min="2" max="2" width="25.7265625" style="2" customWidth="1"/>
    <col min="3" max="3" width="19.26953125" style="2" customWidth="1"/>
    <col min="4" max="11" width="12.7265625" style="2" bestFit="1" customWidth="1"/>
    <col min="12" max="46" width="14.453125" style="2" bestFit="1" customWidth="1"/>
    <col min="47" max="47" width="13" style="2" bestFit="1" customWidth="1"/>
    <col min="48" max="48" width="11.7265625" style="2" bestFit="1" customWidth="1"/>
    <col min="49" max="49" width="13.26953125" style="2" bestFit="1" customWidth="1"/>
    <col min="50" max="51" width="14.1796875" style="2" bestFit="1" customWidth="1"/>
    <col min="52" max="16384" width="9.1796875" style="2"/>
  </cols>
  <sheetData>
    <row r="1" spans="1:51" x14ac:dyDescent="0.35">
      <c r="A1" s="2" t="s">
        <v>1</v>
      </c>
      <c r="B1" s="2">
        <v>2025</v>
      </c>
      <c r="C1" s="2">
        <v>2026</v>
      </c>
      <c r="D1" s="2">
        <v>2027</v>
      </c>
      <c r="E1" s="2">
        <v>2028</v>
      </c>
      <c r="F1" s="2">
        <v>2029</v>
      </c>
      <c r="G1" s="2">
        <v>2030</v>
      </c>
      <c r="H1" s="2">
        <v>2031</v>
      </c>
      <c r="I1" s="2">
        <v>2032</v>
      </c>
      <c r="J1" s="2">
        <v>2033</v>
      </c>
      <c r="K1" s="2">
        <v>2034</v>
      </c>
      <c r="L1" s="2">
        <v>2035</v>
      </c>
      <c r="M1" s="2">
        <v>2036</v>
      </c>
      <c r="N1" s="2">
        <v>2037</v>
      </c>
      <c r="O1" s="2">
        <v>2038</v>
      </c>
      <c r="P1" s="2">
        <v>2039</v>
      </c>
      <c r="Q1" s="2">
        <v>2040</v>
      </c>
      <c r="R1" s="2">
        <v>2041</v>
      </c>
      <c r="S1" s="2">
        <v>2042</v>
      </c>
      <c r="T1" s="2">
        <v>2043</v>
      </c>
      <c r="U1" s="2">
        <v>2044</v>
      </c>
      <c r="V1" s="2">
        <v>2045</v>
      </c>
      <c r="W1" s="2">
        <v>2046</v>
      </c>
      <c r="X1" s="2">
        <v>2047</v>
      </c>
      <c r="Y1" s="2">
        <v>2048</v>
      </c>
      <c r="Z1" s="2">
        <v>2049</v>
      </c>
      <c r="AA1" s="2">
        <v>2050</v>
      </c>
      <c r="AB1" s="2">
        <v>2051</v>
      </c>
      <c r="AC1" s="2">
        <v>2052</v>
      </c>
      <c r="AD1" s="2">
        <v>2053</v>
      </c>
      <c r="AE1" s="2">
        <v>2054</v>
      </c>
      <c r="AF1" s="2">
        <v>2055</v>
      </c>
      <c r="AG1" s="2">
        <v>2056</v>
      </c>
      <c r="AH1" s="2">
        <v>2057</v>
      </c>
      <c r="AI1" s="2">
        <v>2058</v>
      </c>
      <c r="AJ1" s="2">
        <v>2059</v>
      </c>
      <c r="AK1" s="2">
        <v>2060</v>
      </c>
      <c r="AL1" s="2">
        <v>2061</v>
      </c>
      <c r="AM1" s="2">
        <v>2062</v>
      </c>
      <c r="AN1" s="2">
        <v>2063</v>
      </c>
      <c r="AO1" s="2">
        <v>2064</v>
      </c>
      <c r="AP1" s="2">
        <v>2065</v>
      </c>
      <c r="AQ1" s="2">
        <v>2066</v>
      </c>
      <c r="AR1" s="2">
        <v>2067</v>
      </c>
      <c r="AS1" s="2">
        <v>2068</v>
      </c>
      <c r="AT1" s="2">
        <v>2069</v>
      </c>
      <c r="AU1" s="2">
        <v>2070</v>
      </c>
      <c r="AV1" s="2">
        <v>2071</v>
      </c>
      <c r="AW1" s="2">
        <v>2072</v>
      </c>
      <c r="AX1" s="2">
        <v>2073</v>
      </c>
      <c r="AY1" s="2">
        <v>2074</v>
      </c>
    </row>
    <row r="2" spans="1:51" x14ac:dyDescent="0.35">
      <c r="A2" s="2" t="s">
        <v>176</v>
      </c>
      <c r="B2" s="28" cm="1">
        <f t="array" ref="B2:AY2">TRANSPOSE(Income!O3:O52)</f>
        <v>43000</v>
      </c>
      <c r="C2" s="28">
        <v>43000</v>
      </c>
      <c r="D2" s="28">
        <v>44290</v>
      </c>
      <c r="E2" s="28">
        <v>44290</v>
      </c>
      <c r="F2" s="28">
        <v>44290</v>
      </c>
      <c r="G2" s="28">
        <v>44290</v>
      </c>
      <c r="H2" s="28">
        <v>45618.7</v>
      </c>
      <c r="I2" s="28">
        <v>45618.7</v>
      </c>
      <c r="J2" s="28">
        <v>45618.7</v>
      </c>
      <c r="K2" s="28">
        <v>45618.7</v>
      </c>
      <c r="L2" s="28">
        <v>46987.260999999999</v>
      </c>
      <c r="M2" s="28">
        <v>46987.260999999999</v>
      </c>
      <c r="N2" s="28">
        <v>46987.260999999999</v>
      </c>
      <c r="O2" s="28">
        <v>48396.878830000001</v>
      </c>
      <c r="P2" s="28">
        <v>48396.878830000001</v>
      </c>
      <c r="Q2" s="28">
        <v>48396.878830000001</v>
      </c>
      <c r="R2" s="28">
        <v>48396.878830000001</v>
      </c>
      <c r="S2" s="28">
        <v>48396.878830000001</v>
      </c>
      <c r="T2" s="28">
        <v>49848.785194900003</v>
      </c>
      <c r="U2" s="28">
        <v>49848.785194900003</v>
      </c>
      <c r="V2" s="28">
        <v>49848.785194900003</v>
      </c>
      <c r="W2" s="28">
        <v>49848.785194900003</v>
      </c>
      <c r="X2" s="28">
        <v>51344.248750747007</v>
      </c>
      <c r="Y2" s="28">
        <v>51344.248750747007</v>
      </c>
      <c r="Z2" s="28">
        <v>51344.248750747007</v>
      </c>
      <c r="AA2" s="28">
        <v>51344.248750747007</v>
      </c>
      <c r="AB2" s="28">
        <v>51344.248750747007</v>
      </c>
      <c r="AC2" s="28">
        <v>51344.248750747007</v>
      </c>
      <c r="AD2" s="28">
        <v>51344.248750747007</v>
      </c>
      <c r="AE2" s="28">
        <v>51344.248750747007</v>
      </c>
      <c r="AF2" s="28">
        <v>51344.248750747007</v>
      </c>
      <c r="AG2" s="28">
        <v>51344.248750747007</v>
      </c>
      <c r="AH2" s="28">
        <v>51344.248750747007</v>
      </c>
      <c r="AI2" s="28">
        <v>51344.248750747007</v>
      </c>
      <c r="AJ2" s="28">
        <v>51344.248750747007</v>
      </c>
      <c r="AK2" s="28">
        <v>52884.576213269414</v>
      </c>
      <c r="AL2" s="28">
        <v>52884.576213269414</v>
      </c>
      <c r="AM2" s="28">
        <v>52884.576213269414</v>
      </c>
      <c r="AN2" s="28">
        <v>52884.576213269414</v>
      </c>
      <c r="AO2" s="28">
        <v>52884.576213269414</v>
      </c>
      <c r="AP2" s="28">
        <v>52884.576213269414</v>
      </c>
      <c r="AQ2" s="28">
        <v>52884.576213269414</v>
      </c>
      <c r="AR2" s="28">
        <v>52884.576213269414</v>
      </c>
      <c r="AS2" s="28">
        <v>52884.576213269414</v>
      </c>
      <c r="AT2" s="28">
        <v>52884.576213269414</v>
      </c>
      <c r="AU2" s="2">
        <v>52884.576213269414</v>
      </c>
      <c r="AV2" s="2">
        <v>52884.576213269414</v>
      </c>
      <c r="AW2" s="2">
        <v>52884.576213269414</v>
      </c>
      <c r="AX2" s="2">
        <v>52884.576213269414</v>
      </c>
      <c r="AY2" s="2">
        <v>52884.576213269414</v>
      </c>
    </row>
    <row r="3" spans="1:51" x14ac:dyDescent="0.3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35">
      <c r="A4" s="2" t="s">
        <v>177</v>
      </c>
      <c r="B4" s="28">
        <f>B3*B2</f>
        <v>2150</v>
      </c>
      <c r="C4" s="28">
        <f t="shared" ref="C4:AT4" si="0">C3*C2</f>
        <v>2150</v>
      </c>
      <c r="D4" s="28">
        <f t="shared" si="0"/>
        <v>2214.5</v>
      </c>
      <c r="E4" s="28">
        <f t="shared" si="0"/>
        <v>2214.5</v>
      </c>
      <c r="F4" s="28">
        <f t="shared" si="0"/>
        <v>2214.5</v>
      </c>
      <c r="G4" s="28">
        <f t="shared" si="0"/>
        <v>2214.5</v>
      </c>
      <c r="H4" s="28">
        <f t="shared" si="0"/>
        <v>2280.9349999999999</v>
      </c>
      <c r="I4" s="28">
        <f t="shared" si="0"/>
        <v>2280.9349999999999</v>
      </c>
      <c r="J4" s="28">
        <f t="shared" si="0"/>
        <v>2280.9349999999999</v>
      </c>
      <c r="K4" s="28">
        <f t="shared" si="0"/>
        <v>2280.9349999999999</v>
      </c>
      <c r="L4" s="28">
        <f t="shared" si="0"/>
        <v>2349.3630499999999</v>
      </c>
      <c r="M4" s="28">
        <f t="shared" si="0"/>
        <v>2349.3630499999999</v>
      </c>
      <c r="N4" s="28">
        <f t="shared" si="0"/>
        <v>2349.3630499999999</v>
      </c>
      <c r="O4" s="28">
        <f t="shared" si="0"/>
        <v>2419.8439415000003</v>
      </c>
      <c r="P4" s="28">
        <f t="shared" si="0"/>
        <v>2419.8439415000003</v>
      </c>
      <c r="Q4" s="28">
        <f t="shared" si="0"/>
        <v>2419.8439415000003</v>
      </c>
      <c r="R4" s="28">
        <f t="shared" si="0"/>
        <v>2419.8439415000003</v>
      </c>
      <c r="S4" s="28">
        <f t="shared" si="0"/>
        <v>2419.8439415000003</v>
      </c>
      <c r="T4" s="28">
        <f t="shared" si="0"/>
        <v>2492.4392597450005</v>
      </c>
      <c r="U4" s="28">
        <f t="shared" si="0"/>
        <v>2492.4392597450005</v>
      </c>
      <c r="V4" s="28">
        <f t="shared" si="0"/>
        <v>2492.4392597450005</v>
      </c>
      <c r="W4" s="28">
        <f t="shared" si="0"/>
        <v>2492.4392597450005</v>
      </c>
      <c r="X4" s="28">
        <f t="shared" si="0"/>
        <v>2567.2124375373505</v>
      </c>
      <c r="Y4" s="28">
        <f t="shared" si="0"/>
        <v>2567.2124375373505</v>
      </c>
      <c r="Z4" s="28">
        <f t="shared" si="0"/>
        <v>2567.2124375373505</v>
      </c>
      <c r="AA4" s="28">
        <f t="shared" si="0"/>
        <v>2567.2124375373505</v>
      </c>
      <c r="AB4" s="28">
        <f t="shared" si="0"/>
        <v>2567.2124375373505</v>
      </c>
      <c r="AC4" s="28">
        <f t="shared" si="0"/>
        <v>2567.2124375373505</v>
      </c>
      <c r="AD4" s="28">
        <f t="shared" si="0"/>
        <v>2567.2124375373505</v>
      </c>
      <c r="AE4" s="28">
        <f t="shared" si="0"/>
        <v>2567.2124375373505</v>
      </c>
      <c r="AF4" s="28">
        <f t="shared" si="0"/>
        <v>2567.2124375373505</v>
      </c>
      <c r="AG4" s="28">
        <f t="shared" si="0"/>
        <v>2567.2124375373505</v>
      </c>
      <c r="AH4" s="28">
        <f t="shared" si="0"/>
        <v>2567.2124375373505</v>
      </c>
      <c r="AI4" s="28">
        <f t="shared" si="0"/>
        <v>2567.2124375373505</v>
      </c>
      <c r="AJ4" s="28">
        <f t="shared" si="0"/>
        <v>2567.2124375373505</v>
      </c>
      <c r="AK4" s="28">
        <f t="shared" si="0"/>
        <v>2644.228810663471</v>
      </c>
      <c r="AL4" s="28">
        <f t="shared" si="0"/>
        <v>2644.228810663471</v>
      </c>
      <c r="AM4" s="28">
        <f t="shared" si="0"/>
        <v>2644.228810663471</v>
      </c>
      <c r="AN4" s="28">
        <f t="shared" si="0"/>
        <v>2644.228810663471</v>
      </c>
      <c r="AO4" s="28">
        <f t="shared" si="0"/>
        <v>2644.228810663471</v>
      </c>
      <c r="AP4" s="28">
        <f t="shared" si="0"/>
        <v>2644.228810663471</v>
      </c>
      <c r="AQ4" s="28">
        <f t="shared" si="0"/>
        <v>2644.228810663471</v>
      </c>
      <c r="AR4" s="28">
        <f t="shared" si="0"/>
        <v>2644.228810663471</v>
      </c>
      <c r="AS4" s="28">
        <f t="shared" si="0"/>
        <v>2644.228810663471</v>
      </c>
      <c r="AT4" s="28">
        <f t="shared" si="0"/>
        <v>2644.228810663471</v>
      </c>
      <c r="AU4" s="28">
        <f t="shared" ref="AU4:AY4" si="1">AU3*AU2</f>
        <v>2644.228810663471</v>
      </c>
      <c r="AV4" s="28">
        <f t="shared" si="1"/>
        <v>2644.228810663471</v>
      </c>
      <c r="AW4" s="28">
        <f t="shared" si="1"/>
        <v>2644.228810663471</v>
      </c>
      <c r="AX4" s="28">
        <f t="shared" si="1"/>
        <v>2644.228810663471</v>
      </c>
      <c r="AY4" s="28">
        <f t="shared" si="1"/>
        <v>2644.228810663471</v>
      </c>
    </row>
    <row r="5" spans="1:51" x14ac:dyDescent="0.3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35">
      <c r="A6" s="2" t="s">
        <v>179</v>
      </c>
      <c r="B6" s="28">
        <f>B2*B5</f>
        <v>4300</v>
      </c>
      <c r="C6" s="28">
        <f t="shared" ref="C6:AT6" si="2">C4*2</f>
        <v>4300</v>
      </c>
      <c r="D6" s="28">
        <f t="shared" si="2"/>
        <v>4429</v>
      </c>
      <c r="E6" s="28">
        <f t="shared" si="2"/>
        <v>4429</v>
      </c>
      <c r="F6" s="28">
        <f t="shared" si="2"/>
        <v>4429</v>
      </c>
      <c r="G6" s="28">
        <f t="shared" si="2"/>
        <v>4429</v>
      </c>
      <c r="H6" s="28">
        <f t="shared" si="2"/>
        <v>4561.87</v>
      </c>
      <c r="I6" s="28">
        <f t="shared" si="2"/>
        <v>4561.87</v>
      </c>
      <c r="J6" s="28">
        <f t="shared" si="2"/>
        <v>4561.87</v>
      </c>
      <c r="K6" s="28">
        <f t="shared" si="2"/>
        <v>4561.87</v>
      </c>
      <c r="L6" s="28">
        <f t="shared" si="2"/>
        <v>4698.7260999999999</v>
      </c>
      <c r="M6" s="28">
        <f t="shared" si="2"/>
        <v>4698.7260999999999</v>
      </c>
      <c r="N6" s="28">
        <f t="shared" si="2"/>
        <v>4698.7260999999999</v>
      </c>
      <c r="O6" s="28">
        <f t="shared" si="2"/>
        <v>4839.6878830000005</v>
      </c>
      <c r="P6" s="28">
        <f t="shared" si="2"/>
        <v>4839.6878830000005</v>
      </c>
      <c r="Q6" s="28">
        <f t="shared" si="2"/>
        <v>4839.6878830000005</v>
      </c>
      <c r="R6" s="28">
        <f t="shared" si="2"/>
        <v>4839.6878830000005</v>
      </c>
      <c r="S6" s="28">
        <f t="shared" si="2"/>
        <v>4839.6878830000005</v>
      </c>
      <c r="T6" s="28">
        <f t="shared" si="2"/>
        <v>4984.8785194900011</v>
      </c>
      <c r="U6" s="28">
        <f t="shared" si="2"/>
        <v>4984.8785194900011</v>
      </c>
      <c r="V6" s="28">
        <f t="shared" si="2"/>
        <v>4984.8785194900011</v>
      </c>
      <c r="W6" s="28">
        <f t="shared" si="2"/>
        <v>4984.8785194900011</v>
      </c>
      <c r="X6" s="28">
        <f t="shared" si="2"/>
        <v>5134.424875074701</v>
      </c>
      <c r="Y6" s="28">
        <f t="shared" si="2"/>
        <v>5134.424875074701</v>
      </c>
      <c r="Z6" s="28">
        <f t="shared" si="2"/>
        <v>5134.424875074701</v>
      </c>
      <c r="AA6" s="28">
        <f t="shared" si="2"/>
        <v>5134.424875074701</v>
      </c>
      <c r="AB6" s="28">
        <f t="shared" si="2"/>
        <v>5134.424875074701</v>
      </c>
      <c r="AC6" s="28">
        <f t="shared" si="2"/>
        <v>5134.424875074701</v>
      </c>
      <c r="AD6" s="28">
        <f t="shared" si="2"/>
        <v>5134.424875074701</v>
      </c>
      <c r="AE6" s="28">
        <f t="shared" si="2"/>
        <v>5134.424875074701</v>
      </c>
      <c r="AF6" s="28">
        <f t="shared" si="2"/>
        <v>5134.424875074701</v>
      </c>
      <c r="AG6" s="28">
        <f t="shared" si="2"/>
        <v>5134.424875074701</v>
      </c>
      <c r="AH6" s="28">
        <f t="shared" si="2"/>
        <v>5134.424875074701</v>
      </c>
      <c r="AI6" s="28">
        <f t="shared" si="2"/>
        <v>5134.424875074701</v>
      </c>
      <c r="AJ6" s="28">
        <f t="shared" si="2"/>
        <v>5134.424875074701</v>
      </c>
      <c r="AK6" s="28">
        <f t="shared" si="2"/>
        <v>5288.457621326942</v>
      </c>
      <c r="AL6" s="28">
        <f t="shared" si="2"/>
        <v>5288.457621326942</v>
      </c>
      <c r="AM6" s="28">
        <f t="shared" si="2"/>
        <v>5288.457621326942</v>
      </c>
      <c r="AN6" s="28">
        <f t="shared" si="2"/>
        <v>5288.457621326942</v>
      </c>
      <c r="AO6" s="28">
        <f t="shared" si="2"/>
        <v>5288.457621326942</v>
      </c>
      <c r="AP6" s="28">
        <f t="shared" si="2"/>
        <v>5288.457621326942</v>
      </c>
      <c r="AQ6" s="28">
        <f t="shared" si="2"/>
        <v>5288.457621326942</v>
      </c>
      <c r="AR6" s="28">
        <f t="shared" si="2"/>
        <v>5288.457621326942</v>
      </c>
      <c r="AS6" s="28">
        <f t="shared" si="2"/>
        <v>5288.457621326942</v>
      </c>
      <c r="AT6" s="28">
        <f t="shared" si="2"/>
        <v>5288.457621326942</v>
      </c>
      <c r="AU6" s="28">
        <f t="shared" ref="AU6:AY6" si="3">AU4*2</f>
        <v>5288.457621326942</v>
      </c>
      <c r="AV6" s="28">
        <f t="shared" si="3"/>
        <v>5288.457621326942</v>
      </c>
      <c r="AW6" s="28">
        <f t="shared" si="3"/>
        <v>5288.457621326942</v>
      </c>
      <c r="AX6" s="28">
        <f t="shared" si="3"/>
        <v>5288.457621326942</v>
      </c>
      <c r="AY6" s="28">
        <f t="shared" si="3"/>
        <v>5288.457621326942</v>
      </c>
    </row>
    <row r="7" spans="1:51" x14ac:dyDescent="0.35">
      <c r="A7" s="2" t="s">
        <v>180</v>
      </c>
      <c r="B7" s="29">
        <f>SUM(B6,B4)</f>
        <v>6450</v>
      </c>
      <c r="C7" s="29">
        <f t="shared" ref="C7:AT7" si="4">SUM(C6,C4)</f>
        <v>6450</v>
      </c>
      <c r="D7" s="29">
        <f t="shared" si="4"/>
        <v>6643.5</v>
      </c>
      <c r="E7" s="29">
        <f t="shared" si="4"/>
        <v>6643.5</v>
      </c>
      <c r="F7" s="29">
        <f t="shared" si="4"/>
        <v>6643.5</v>
      </c>
      <c r="G7" s="29">
        <f t="shared" si="4"/>
        <v>6643.5</v>
      </c>
      <c r="H7" s="29">
        <f t="shared" si="4"/>
        <v>6842.8050000000003</v>
      </c>
      <c r="I7" s="29">
        <f t="shared" si="4"/>
        <v>6842.8050000000003</v>
      </c>
      <c r="J7" s="29">
        <f t="shared" si="4"/>
        <v>6842.8050000000003</v>
      </c>
      <c r="K7" s="29">
        <f t="shared" si="4"/>
        <v>6842.8050000000003</v>
      </c>
      <c r="L7" s="29">
        <f t="shared" si="4"/>
        <v>7048.0891499999998</v>
      </c>
      <c r="M7" s="29">
        <f t="shared" si="4"/>
        <v>7048.0891499999998</v>
      </c>
      <c r="N7" s="29">
        <f t="shared" si="4"/>
        <v>7048.0891499999998</v>
      </c>
      <c r="O7" s="29">
        <f t="shared" si="4"/>
        <v>7259.5318245000008</v>
      </c>
      <c r="P7" s="29">
        <f t="shared" si="4"/>
        <v>7259.5318245000008</v>
      </c>
      <c r="Q7" s="29">
        <f t="shared" si="4"/>
        <v>7259.5318245000008</v>
      </c>
      <c r="R7" s="29">
        <f t="shared" si="4"/>
        <v>7259.5318245000008</v>
      </c>
      <c r="S7" s="29">
        <f t="shared" si="4"/>
        <v>7259.5318245000008</v>
      </c>
      <c r="T7" s="29">
        <f t="shared" si="4"/>
        <v>7477.3177792350016</v>
      </c>
      <c r="U7" s="29">
        <f t="shared" si="4"/>
        <v>7477.3177792350016</v>
      </c>
      <c r="V7" s="29">
        <f t="shared" si="4"/>
        <v>7477.3177792350016</v>
      </c>
      <c r="W7" s="29">
        <f t="shared" si="4"/>
        <v>7477.3177792350016</v>
      </c>
      <c r="X7" s="29">
        <f t="shared" si="4"/>
        <v>7701.6373126120516</v>
      </c>
      <c r="Y7" s="29">
        <f t="shared" si="4"/>
        <v>7701.6373126120516</v>
      </c>
      <c r="Z7" s="29">
        <f t="shared" si="4"/>
        <v>7701.6373126120516</v>
      </c>
      <c r="AA7" s="29">
        <f t="shared" si="4"/>
        <v>7701.6373126120516</v>
      </c>
      <c r="AB7" s="29">
        <f t="shared" si="4"/>
        <v>7701.6373126120516</v>
      </c>
      <c r="AC7" s="29">
        <f t="shared" si="4"/>
        <v>7701.6373126120516</v>
      </c>
      <c r="AD7" s="29">
        <f t="shared" si="4"/>
        <v>7701.6373126120516</v>
      </c>
      <c r="AE7" s="29">
        <f t="shared" si="4"/>
        <v>7701.6373126120516</v>
      </c>
      <c r="AF7" s="29">
        <f t="shared" si="4"/>
        <v>7701.6373126120516</v>
      </c>
      <c r="AG7" s="29">
        <f t="shared" si="4"/>
        <v>7701.6373126120516</v>
      </c>
      <c r="AH7" s="29">
        <f t="shared" si="4"/>
        <v>7701.6373126120516</v>
      </c>
      <c r="AI7" s="29">
        <f t="shared" si="4"/>
        <v>7701.6373126120516</v>
      </c>
      <c r="AJ7" s="29">
        <f t="shared" si="4"/>
        <v>7701.6373126120516</v>
      </c>
      <c r="AK7" s="29">
        <f t="shared" si="4"/>
        <v>7932.6864319904125</v>
      </c>
      <c r="AL7" s="29">
        <f t="shared" si="4"/>
        <v>7932.6864319904125</v>
      </c>
      <c r="AM7" s="29">
        <f t="shared" si="4"/>
        <v>7932.6864319904125</v>
      </c>
      <c r="AN7" s="29">
        <f t="shared" si="4"/>
        <v>7932.6864319904125</v>
      </c>
      <c r="AO7" s="29">
        <f t="shared" si="4"/>
        <v>7932.6864319904125</v>
      </c>
      <c r="AP7" s="29">
        <f t="shared" si="4"/>
        <v>7932.6864319904125</v>
      </c>
      <c r="AQ7" s="29">
        <f t="shared" si="4"/>
        <v>7932.6864319904125</v>
      </c>
      <c r="AR7" s="29">
        <f t="shared" si="4"/>
        <v>7932.6864319904125</v>
      </c>
      <c r="AS7" s="29">
        <f t="shared" si="4"/>
        <v>7932.6864319904125</v>
      </c>
      <c r="AT7" s="29">
        <f t="shared" si="4"/>
        <v>7932.6864319904125</v>
      </c>
      <c r="AU7" s="29">
        <f t="shared" ref="AU7:AY7" si="5">SUM(AU6,AU4)</f>
        <v>7932.6864319904125</v>
      </c>
      <c r="AV7" s="29">
        <f t="shared" si="5"/>
        <v>7932.6864319904125</v>
      </c>
      <c r="AW7" s="29">
        <f t="shared" si="5"/>
        <v>7932.6864319904125</v>
      </c>
      <c r="AX7" s="29">
        <f t="shared" si="5"/>
        <v>7932.6864319904125</v>
      </c>
      <c r="AY7" s="29">
        <f t="shared" si="5"/>
        <v>7932.6864319904125</v>
      </c>
    </row>
    <row r="8" spans="1:51" x14ac:dyDescent="0.35">
      <c r="A8" s="2" t="s">
        <v>181</v>
      </c>
      <c r="B8" s="28">
        <f>B7*12</f>
        <v>77400</v>
      </c>
      <c r="C8" s="28">
        <f t="shared" ref="C8:AT8" si="6">C7*12</f>
        <v>77400</v>
      </c>
      <c r="D8" s="28">
        <f t="shared" si="6"/>
        <v>79722</v>
      </c>
      <c r="E8" s="28">
        <f t="shared" si="6"/>
        <v>79722</v>
      </c>
      <c r="F8" s="28">
        <f t="shared" si="6"/>
        <v>79722</v>
      </c>
      <c r="G8" s="28">
        <f t="shared" si="6"/>
        <v>79722</v>
      </c>
      <c r="H8" s="28">
        <f t="shared" si="6"/>
        <v>82113.66</v>
      </c>
      <c r="I8" s="28">
        <f t="shared" si="6"/>
        <v>82113.66</v>
      </c>
      <c r="J8" s="28">
        <f t="shared" si="6"/>
        <v>82113.66</v>
      </c>
      <c r="K8" s="28">
        <f t="shared" si="6"/>
        <v>82113.66</v>
      </c>
      <c r="L8" s="28">
        <f t="shared" si="6"/>
        <v>84577.069799999997</v>
      </c>
      <c r="M8" s="28">
        <f t="shared" si="6"/>
        <v>84577.069799999997</v>
      </c>
      <c r="N8" s="28">
        <f t="shared" si="6"/>
        <v>84577.069799999997</v>
      </c>
      <c r="O8" s="28">
        <f t="shared" si="6"/>
        <v>87114.381894000006</v>
      </c>
      <c r="P8" s="28">
        <f t="shared" si="6"/>
        <v>87114.381894000006</v>
      </c>
      <c r="Q8" s="28">
        <f t="shared" si="6"/>
        <v>87114.381894000006</v>
      </c>
      <c r="R8" s="28">
        <f t="shared" si="6"/>
        <v>87114.381894000006</v>
      </c>
      <c r="S8" s="28">
        <f t="shared" si="6"/>
        <v>87114.381894000006</v>
      </c>
      <c r="T8" s="28">
        <f t="shared" si="6"/>
        <v>89727.813350820012</v>
      </c>
      <c r="U8" s="28">
        <f t="shared" si="6"/>
        <v>89727.813350820012</v>
      </c>
      <c r="V8" s="28">
        <f t="shared" si="6"/>
        <v>89727.813350820012</v>
      </c>
      <c r="W8" s="28">
        <f t="shared" si="6"/>
        <v>89727.813350820012</v>
      </c>
      <c r="X8" s="28">
        <f t="shared" si="6"/>
        <v>92419.647751344615</v>
      </c>
      <c r="Y8" s="28">
        <f t="shared" si="6"/>
        <v>92419.647751344615</v>
      </c>
      <c r="Z8" s="28">
        <f t="shared" si="6"/>
        <v>92419.647751344615</v>
      </c>
      <c r="AA8" s="28">
        <f t="shared" si="6"/>
        <v>92419.647751344615</v>
      </c>
      <c r="AB8" s="28">
        <f t="shared" si="6"/>
        <v>92419.647751344615</v>
      </c>
      <c r="AC8" s="28">
        <f t="shared" si="6"/>
        <v>92419.647751344615</v>
      </c>
      <c r="AD8" s="28">
        <f t="shared" si="6"/>
        <v>92419.647751344615</v>
      </c>
      <c r="AE8" s="28">
        <f t="shared" si="6"/>
        <v>92419.647751344615</v>
      </c>
      <c r="AF8" s="28">
        <f t="shared" si="6"/>
        <v>92419.647751344615</v>
      </c>
      <c r="AG8" s="28">
        <f t="shared" si="6"/>
        <v>92419.647751344615</v>
      </c>
      <c r="AH8" s="28">
        <f t="shared" si="6"/>
        <v>92419.647751344615</v>
      </c>
      <c r="AI8" s="28">
        <f t="shared" si="6"/>
        <v>92419.647751344615</v>
      </c>
      <c r="AJ8" s="28">
        <f t="shared" si="6"/>
        <v>92419.647751344615</v>
      </c>
      <c r="AK8" s="28">
        <f t="shared" si="6"/>
        <v>95192.23718388495</v>
      </c>
      <c r="AL8" s="28">
        <f t="shared" si="6"/>
        <v>95192.23718388495</v>
      </c>
      <c r="AM8" s="28">
        <f t="shared" si="6"/>
        <v>95192.23718388495</v>
      </c>
      <c r="AN8" s="28">
        <f t="shared" si="6"/>
        <v>95192.23718388495</v>
      </c>
      <c r="AO8" s="28">
        <f t="shared" si="6"/>
        <v>95192.23718388495</v>
      </c>
      <c r="AP8" s="28">
        <f t="shared" si="6"/>
        <v>95192.23718388495</v>
      </c>
      <c r="AQ8" s="28">
        <f t="shared" si="6"/>
        <v>95192.23718388495</v>
      </c>
      <c r="AR8" s="28">
        <f t="shared" si="6"/>
        <v>95192.23718388495</v>
      </c>
      <c r="AS8" s="28">
        <f t="shared" si="6"/>
        <v>95192.23718388495</v>
      </c>
      <c r="AT8" s="28">
        <f t="shared" si="6"/>
        <v>95192.23718388495</v>
      </c>
      <c r="AU8" s="28">
        <f t="shared" ref="AU8:AY8" si="7">AU7*12</f>
        <v>95192.23718388495</v>
      </c>
      <c r="AV8" s="28">
        <f t="shared" si="7"/>
        <v>95192.23718388495</v>
      </c>
      <c r="AW8" s="28">
        <f t="shared" si="7"/>
        <v>95192.23718388495</v>
      </c>
      <c r="AX8" s="28">
        <f t="shared" si="7"/>
        <v>95192.23718388495</v>
      </c>
      <c r="AY8" s="28">
        <f t="shared" si="7"/>
        <v>95192.23718388495</v>
      </c>
    </row>
    <row r="11" spans="1:51" x14ac:dyDescent="0.35">
      <c r="A11" s="2" t="s">
        <v>270</v>
      </c>
      <c r="B11" s="26">
        <f>AY54</f>
        <v>950809.37059021078</v>
      </c>
    </row>
    <row r="12" spans="1:51" x14ac:dyDescent="0.35">
      <c r="A12" s="2" t="s">
        <v>271</v>
      </c>
      <c r="B12" s="26">
        <f>B11/25</f>
        <v>38032.374823608428</v>
      </c>
    </row>
    <row r="13" spans="1:51" x14ac:dyDescent="0.35">
      <c r="A13" s="2" t="s">
        <v>183</v>
      </c>
      <c r="B13" s="26">
        <f>B12/12</f>
        <v>3169.3645686340355</v>
      </c>
    </row>
    <row r="14" spans="1:51" x14ac:dyDescent="0.35">
      <c r="A14" s="2" t="s">
        <v>272</v>
      </c>
      <c r="B14" s="2" t="s">
        <v>273</v>
      </c>
    </row>
    <row r="16" spans="1:51" x14ac:dyDescent="0.35">
      <c r="A16" s="2" t="s">
        <v>261</v>
      </c>
      <c r="B16" s="28">
        <f>AY38</f>
        <v>8862704.7805149779</v>
      </c>
    </row>
    <row r="17" spans="1:4" x14ac:dyDescent="0.35">
      <c r="A17" s="2" t="s">
        <v>184</v>
      </c>
      <c r="B17" s="28">
        <f>B16/25</f>
        <v>354508.19122059911</v>
      </c>
      <c r="C17" s="2" t="s">
        <v>182</v>
      </c>
    </row>
    <row r="18" spans="1:4" x14ac:dyDescent="0.35">
      <c r="A18" s="2" t="s">
        <v>183</v>
      </c>
      <c r="B18" s="30">
        <f>B17/12</f>
        <v>29542.349268383259</v>
      </c>
      <c r="C18" s="2" t="s">
        <v>185</v>
      </c>
    </row>
    <row r="19" spans="1:4" x14ac:dyDescent="0.35">
      <c r="A19" s="2" t="s">
        <v>198</v>
      </c>
      <c r="B19" s="2" t="s">
        <v>199</v>
      </c>
      <c r="C19" s="2" t="s">
        <v>200</v>
      </c>
    </row>
    <row r="21" spans="1:4" x14ac:dyDescent="0.35">
      <c r="C21" s="16" t="s">
        <v>243</v>
      </c>
      <c r="D21" s="16" t="s">
        <v>262</v>
      </c>
    </row>
    <row r="22" spans="1:4" x14ac:dyDescent="0.35">
      <c r="A22" s="2" t="s">
        <v>197</v>
      </c>
      <c r="B22" s="30">
        <f>C22</f>
        <v>7198</v>
      </c>
      <c r="C22" s="56">
        <v>7198</v>
      </c>
      <c r="D22" s="2">
        <f>8329*(1-30.9%)</f>
        <v>5755.3390000000009</v>
      </c>
    </row>
    <row r="23" spans="1:4" x14ac:dyDescent="0.35">
      <c r="A23" s="2" t="s">
        <v>201</v>
      </c>
      <c r="B23" s="28">
        <f>B22*12</f>
        <v>86376</v>
      </c>
    </row>
    <row r="24" spans="1:4" x14ac:dyDescent="0.35">
      <c r="A24" s="2" t="s">
        <v>198</v>
      </c>
      <c r="B24" s="2" t="s">
        <v>199</v>
      </c>
    </row>
    <row r="25" spans="1:4" x14ac:dyDescent="0.35">
      <c r="A25" s="2" t="s">
        <v>62</v>
      </c>
      <c r="B25" s="17">
        <f>'Salary Variables'!C2</f>
        <v>0.03</v>
      </c>
    </row>
    <row r="26" spans="1:4" x14ac:dyDescent="0.35">
      <c r="A26" s="2" t="s">
        <v>244</v>
      </c>
      <c r="B26" s="17">
        <v>0.03</v>
      </c>
    </row>
    <row r="27" spans="1:4" x14ac:dyDescent="0.35">
      <c r="A27" s="2" t="s">
        <v>246</v>
      </c>
      <c r="B27" s="25">
        <v>0.153</v>
      </c>
    </row>
    <row r="29" spans="1:4" x14ac:dyDescent="0.35">
      <c r="A29" s="2" t="s">
        <v>251</v>
      </c>
      <c r="B29" s="26">
        <f>AY47</f>
        <v>360498.361359948</v>
      </c>
    </row>
    <row r="30" spans="1:4" x14ac:dyDescent="0.35">
      <c r="A30" s="2" t="s">
        <v>259</v>
      </c>
      <c r="B30" s="26">
        <f>B29/25</f>
        <v>14419.93445439792</v>
      </c>
    </row>
    <row r="31" spans="1:4" x14ac:dyDescent="0.35">
      <c r="A31" s="2" t="s">
        <v>260</v>
      </c>
      <c r="B31" s="26">
        <f>B30/12</f>
        <v>1201.6612045331601</v>
      </c>
    </row>
    <row r="33" spans="1:51" x14ac:dyDescent="0.35">
      <c r="A33" s="2" t="s">
        <v>1</v>
      </c>
      <c r="B33" s="2">
        <v>2025</v>
      </c>
      <c r="C33" s="2">
        <v>2026</v>
      </c>
      <c r="D33" s="2">
        <v>2027</v>
      </c>
      <c r="E33" s="2">
        <v>2028</v>
      </c>
      <c r="F33" s="2">
        <v>2029</v>
      </c>
      <c r="G33" s="2">
        <v>2030</v>
      </c>
      <c r="H33" s="2">
        <v>2031</v>
      </c>
      <c r="I33" s="2">
        <v>2032</v>
      </c>
      <c r="J33" s="2">
        <v>2033</v>
      </c>
      <c r="K33" s="2">
        <v>2034</v>
      </c>
      <c r="L33" s="2">
        <v>2035</v>
      </c>
      <c r="M33" s="2">
        <v>2036</v>
      </c>
      <c r="N33" s="2">
        <v>2037</v>
      </c>
      <c r="O33" s="2">
        <v>2038</v>
      </c>
      <c r="P33" s="2">
        <v>2039</v>
      </c>
      <c r="Q33" s="2">
        <v>2040</v>
      </c>
      <c r="R33" s="2">
        <v>2041</v>
      </c>
      <c r="S33" s="2">
        <v>2042</v>
      </c>
      <c r="T33" s="2">
        <v>2043</v>
      </c>
      <c r="U33" s="2">
        <v>2044</v>
      </c>
      <c r="V33" s="2">
        <v>2045</v>
      </c>
      <c r="W33" s="2">
        <v>2046</v>
      </c>
      <c r="X33" s="2">
        <v>2047</v>
      </c>
      <c r="Y33" s="2">
        <v>2048</v>
      </c>
      <c r="Z33" s="2">
        <v>2049</v>
      </c>
      <c r="AA33" s="2">
        <v>2050</v>
      </c>
      <c r="AB33" s="2">
        <v>2051</v>
      </c>
      <c r="AC33" s="2">
        <v>2052</v>
      </c>
      <c r="AD33" s="2">
        <v>2053</v>
      </c>
      <c r="AE33" s="2">
        <v>2054</v>
      </c>
      <c r="AF33" s="2">
        <v>2055</v>
      </c>
      <c r="AG33" s="2">
        <v>2056</v>
      </c>
      <c r="AH33" s="2">
        <v>2057</v>
      </c>
      <c r="AI33" s="2">
        <v>2058</v>
      </c>
      <c r="AJ33" s="2">
        <v>2059</v>
      </c>
      <c r="AK33" s="2">
        <v>2060</v>
      </c>
      <c r="AL33" s="2">
        <v>2061</v>
      </c>
      <c r="AM33" s="2">
        <v>2062</v>
      </c>
      <c r="AN33" s="2">
        <v>2063</v>
      </c>
      <c r="AO33" s="2">
        <v>2064</v>
      </c>
      <c r="AP33" s="2">
        <v>2065</v>
      </c>
      <c r="AQ33" s="2">
        <v>2066</v>
      </c>
      <c r="AR33" s="2">
        <v>2067</v>
      </c>
      <c r="AS33" s="2">
        <v>2068</v>
      </c>
      <c r="AT33" s="2">
        <v>2069</v>
      </c>
      <c r="AU33" s="2">
        <v>2070</v>
      </c>
      <c r="AV33" s="2">
        <v>2071</v>
      </c>
      <c r="AW33" s="2">
        <v>2072</v>
      </c>
      <c r="AX33" s="2">
        <v>2073</v>
      </c>
      <c r="AY33" s="2">
        <v>2074</v>
      </c>
    </row>
    <row r="34" spans="1:51" x14ac:dyDescent="0.35">
      <c r="A34" s="2" t="s">
        <v>249</v>
      </c>
      <c r="B34" s="26">
        <f>B8</f>
        <v>77400</v>
      </c>
      <c r="C34" s="26">
        <f t="shared" ref="C34:AT34" si="8">B38+C8</f>
        <v>156766.734</v>
      </c>
      <c r="D34" s="26">
        <f t="shared" si="8"/>
        <v>240472.17671094</v>
      </c>
      <c r="E34" s="26">
        <f t="shared" si="8"/>
        <v>326304.574721165</v>
      </c>
      <c r="F34" s="26">
        <f t="shared" si="8"/>
        <v>414317.97396482981</v>
      </c>
      <c r="G34" s="26">
        <f t="shared" si="8"/>
        <v>504567.79368327616</v>
      </c>
      <c r="H34" s="26">
        <f t="shared" si="8"/>
        <v>599502.52132076817</v>
      </c>
      <c r="I34" s="26">
        <f t="shared" si="8"/>
        <v>696849.54038752895</v>
      </c>
      <c r="J34" s="26">
        <f t="shared" si="8"/>
        <v>796670.14720877609</v>
      </c>
      <c r="K34" s="26">
        <f t="shared" si="8"/>
        <v>899027.19564935111</v>
      </c>
      <c r="L34" s="26">
        <f t="shared" si="8"/>
        <v>1006448.546490801</v>
      </c>
      <c r="M34" s="26">
        <f t="shared" si="8"/>
        <v>1116599.4738571323</v>
      </c>
      <c r="N34" s="26">
        <f t="shared" si="8"/>
        <v>1229549.3362878419</v>
      </c>
      <c r="O34" s="26">
        <f t="shared" si="8"/>
        <v>1347906.566816916</v>
      </c>
      <c r="P34" s="26">
        <f t="shared" si="8"/>
        <v>1469271.254573734</v>
      </c>
      <c r="Q34" s="26">
        <f t="shared" si="8"/>
        <v>1593719.8190464526</v>
      </c>
      <c r="R34" s="26">
        <f t="shared" si="8"/>
        <v>1721330.621542423</v>
      </c>
      <c r="S34" s="26">
        <f t="shared" si="8"/>
        <v>1852184.0145298161</v>
      </c>
      <c r="T34" s="26">
        <f t="shared" si="8"/>
        <v>1988975.8236898386</v>
      </c>
      <c r="U34" s="26">
        <f t="shared" si="8"/>
        <v>2129243.5127206175</v>
      </c>
      <c r="V34" s="26">
        <f t="shared" si="8"/>
        <v>2273075.4037296684</v>
      </c>
      <c r="W34" s="26">
        <f t="shared" si="8"/>
        <v>2420562.063089259</v>
      </c>
      <c r="X34" s="26">
        <f t="shared" si="8"/>
        <v>2574488.1928637018</v>
      </c>
      <c r="Y34" s="26">
        <f t="shared" si="8"/>
        <v>2732325.5855957135</v>
      </c>
      <c r="Z34" s="26">
        <f t="shared" si="8"/>
        <v>2894173.6264770455</v>
      </c>
      <c r="AA34" s="26">
        <f t="shared" si="8"/>
        <v>3060134.226077172</v>
      </c>
      <c r="AB34" s="26">
        <f t="shared" si="8"/>
        <v>3230311.8845131379</v>
      </c>
      <c r="AC34" s="26">
        <f t="shared" si="8"/>
        <v>3404813.7572499616</v>
      </c>
      <c r="AD34" s="26">
        <f t="shared" si="8"/>
        <v>3583749.7225730279</v>
      </c>
      <c r="AE34" s="26">
        <f t="shared" si="8"/>
        <v>3767232.4507749532</v>
      </c>
      <c r="AF34" s="26">
        <f t="shared" si="8"/>
        <v>3955377.4751004898</v>
      </c>
      <c r="AG34" s="26">
        <f t="shared" si="8"/>
        <v>4148303.2644941383</v>
      </c>
      <c r="AH34" s="26">
        <f t="shared" si="8"/>
        <v>4346131.2981962785</v>
      </c>
      <c r="AI34" s="26">
        <f t="shared" si="8"/>
        <v>4548986.1422347901</v>
      </c>
      <c r="AJ34" s="26">
        <f t="shared" si="8"/>
        <v>4756995.5278603202</v>
      </c>
      <c r="AK34" s="26">
        <f t="shared" si="8"/>
        <v>4973063.0214071358</v>
      </c>
      <c r="AL34" s="26">
        <f t="shared" si="8"/>
        <v>5194620.7899649758</v>
      </c>
      <c r="AM34" s="26">
        <f t="shared" si="8"/>
        <v>5421808.3414218705</v>
      </c>
      <c r="AN34" s="26">
        <f t="shared" si="8"/>
        <v>5654768.728561285</v>
      </c>
      <c r="AO34" s="26">
        <f t="shared" si="8"/>
        <v>5893648.6391379116</v>
      </c>
      <c r="AP34" s="26">
        <f t="shared" si="8"/>
        <v>6138598.4882422909</v>
      </c>
      <c r="AQ34" s="26">
        <f t="shared" si="8"/>
        <v>6389772.513012412</v>
      </c>
      <c r="AR34" s="26">
        <f t="shared" si="8"/>
        <v>6647328.8697519423</v>
      </c>
      <c r="AS34" s="26">
        <f t="shared" si="8"/>
        <v>6911429.7335162237</v>
      </c>
      <c r="AT34" s="26">
        <f t="shared" si="8"/>
        <v>7182241.4002287555</v>
      </c>
      <c r="AU34" s="26">
        <f t="shared" ref="AU34" si="9">AT38+AU8</f>
        <v>7459934.3913924526</v>
      </c>
      <c r="AV34" s="26">
        <f t="shared" ref="AV34" si="10">AU38+AV8</f>
        <v>7744683.5614616191</v>
      </c>
      <c r="AW34" s="26">
        <f t="shared" ref="AW34" si="11">AV38+AW8</f>
        <v>8036668.2079422437</v>
      </c>
      <c r="AX34" s="26">
        <f t="shared" ref="AX34" si="12">AW38+AX8</f>
        <v>8336072.1842899406</v>
      </c>
      <c r="AY34" s="26">
        <f t="shared" ref="AY34" si="13">AX38+AY8</f>
        <v>8643084.0156766344</v>
      </c>
    </row>
    <row r="35" spans="1:51" x14ac:dyDescent="0.35">
      <c r="A35" s="2" t="s">
        <v>245</v>
      </c>
      <c r="B35" s="17">
        <f>$B$26</f>
        <v>0.03</v>
      </c>
      <c r="C35" s="17">
        <f>$B$26</f>
        <v>0.03</v>
      </c>
      <c r="D35" s="17">
        <f t="shared" ref="D35:AY35" si="14">$B$26</f>
        <v>0.03</v>
      </c>
      <c r="E35" s="17">
        <f t="shared" si="14"/>
        <v>0.03</v>
      </c>
      <c r="F35" s="17">
        <f t="shared" si="14"/>
        <v>0.03</v>
      </c>
      <c r="G35" s="17">
        <f t="shared" si="14"/>
        <v>0.03</v>
      </c>
      <c r="H35" s="17">
        <f t="shared" si="14"/>
        <v>0.03</v>
      </c>
      <c r="I35" s="17">
        <f t="shared" si="14"/>
        <v>0.03</v>
      </c>
      <c r="J35" s="17">
        <f t="shared" si="14"/>
        <v>0.03</v>
      </c>
      <c r="K35" s="17">
        <f t="shared" si="14"/>
        <v>0.03</v>
      </c>
      <c r="L35" s="17">
        <f t="shared" si="14"/>
        <v>0.03</v>
      </c>
      <c r="M35" s="17">
        <f t="shared" si="14"/>
        <v>0.03</v>
      </c>
      <c r="N35" s="17">
        <f t="shared" si="14"/>
        <v>0.03</v>
      </c>
      <c r="O35" s="17">
        <f t="shared" si="14"/>
        <v>0.03</v>
      </c>
      <c r="P35" s="17">
        <f t="shared" si="14"/>
        <v>0.03</v>
      </c>
      <c r="Q35" s="17">
        <f t="shared" si="14"/>
        <v>0.03</v>
      </c>
      <c r="R35" s="17">
        <f t="shared" si="14"/>
        <v>0.03</v>
      </c>
      <c r="S35" s="17">
        <f t="shared" si="14"/>
        <v>0.03</v>
      </c>
      <c r="T35" s="17">
        <f t="shared" si="14"/>
        <v>0.03</v>
      </c>
      <c r="U35" s="17">
        <f t="shared" si="14"/>
        <v>0.03</v>
      </c>
      <c r="V35" s="17">
        <f t="shared" si="14"/>
        <v>0.03</v>
      </c>
      <c r="W35" s="17">
        <f t="shared" si="14"/>
        <v>0.03</v>
      </c>
      <c r="X35" s="17">
        <f t="shared" si="14"/>
        <v>0.03</v>
      </c>
      <c r="Y35" s="17">
        <f t="shared" si="14"/>
        <v>0.03</v>
      </c>
      <c r="Z35" s="17">
        <f t="shared" si="14"/>
        <v>0.03</v>
      </c>
      <c r="AA35" s="17">
        <f t="shared" si="14"/>
        <v>0.03</v>
      </c>
      <c r="AB35" s="17">
        <f t="shared" si="14"/>
        <v>0.03</v>
      </c>
      <c r="AC35" s="17">
        <f t="shared" si="14"/>
        <v>0.03</v>
      </c>
      <c r="AD35" s="17">
        <f t="shared" si="14"/>
        <v>0.03</v>
      </c>
      <c r="AE35" s="17">
        <f t="shared" si="14"/>
        <v>0.03</v>
      </c>
      <c r="AF35" s="17">
        <f t="shared" si="14"/>
        <v>0.03</v>
      </c>
      <c r="AG35" s="17">
        <f t="shared" si="14"/>
        <v>0.03</v>
      </c>
      <c r="AH35" s="17">
        <f t="shared" si="14"/>
        <v>0.03</v>
      </c>
      <c r="AI35" s="17">
        <f t="shared" si="14"/>
        <v>0.03</v>
      </c>
      <c r="AJ35" s="17">
        <f t="shared" si="14"/>
        <v>0.03</v>
      </c>
      <c r="AK35" s="17">
        <f t="shared" si="14"/>
        <v>0.03</v>
      </c>
      <c r="AL35" s="17">
        <f t="shared" si="14"/>
        <v>0.03</v>
      </c>
      <c r="AM35" s="17">
        <f t="shared" si="14"/>
        <v>0.03</v>
      </c>
      <c r="AN35" s="17">
        <f t="shared" si="14"/>
        <v>0.03</v>
      </c>
      <c r="AO35" s="17">
        <f t="shared" si="14"/>
        <v>0.03</v>
      </c>
      <c r="AP35" s="17">
        <f t="shared" si="14"/>
        <v>0.03</v>
      </c>
      <c r="AQ35" s="17">
        <f t="shared" si="14"/>
        <v>0.03</v>
      </c>
      <c r="AR35" s="17">
        <f t="shared" si="14"/>
        <v>0.03</v>
      </c>
      <c r="AS35" s="17">
        <f t="shared" si="14"/>
        <v>0.03</v>
      </c>
      <c r="AT35" s="17">
        <f t="shared" si="14"/>
        <v>0.03</v>
      </c>
      <c r="AU35" s="17">
        <f t="shared" si="14"/>
        <v>0.03</v>
      </c>
      <c r="AV35" s="17">
        <f t="shared" si="14"/>
        <v>0.03</v>
      </c>
      <c r="AW35" s="17">
        <f t="shared" si="14"/>
        <v>0.03</v>
      </c>
      <c r="AX35" s="17">
        <f t="shared" si="14"/>
        <v>0.03</v>
      </c>
      <c r="AY35" s="17">
        <f t="shared" si="14"/>
        <v>0.03</v>
      </c>
    </row>
    <row r="36" spans="1:51" x14ac:dyDescent="0.35">
      <c r="A36" s="2" t="s">
        <v>247</v>
      </c>
      <c r="B36" s="26">
        <f>B35*B34</f>
        <v>2322</v>
      </c>
      <c r="C36" s="26">
        <f>C35*C34</f>
        <v>4703.0020199999999</v>
      </c>
      <c r="D36" s="26">
        <f>D35*D34</f>
        <v>7214.1653013281993</v>
      </c>
      <c r="E36" s="26">
        <f t="shared" ref="E36:AT36" si="15">E35*E34</f>
        <v>9789.1372416349495</v>
      </c>
      <c r="F36" s="26">
        <f t="shared" si="15"/>
        <v>12429.539218944894</v>
      </c>
      <c r="G36" s="26">
        <f t="shared" si="15"/>
        <v>15137.033810498284</v>
      </c>
      <c r="H36" s="26">
        <f t="shared" si="15"/>
        <v>17985.075639623043</v>
      </c>
      <c r="I36" s="26">
        <f t="shared" si="15"/>
        <v>20905.486211625866</v>
      </c>
      <c r="J36" s="26">
        <f t="shared" si="15"/>
        <v>23900.104416263282</v>
      </c>
      <c r="K36" s="26">
        <f t="shared" si="15"/>
        <v>26970.815869480532</v>
      </c>
      <c r="L36" s="26">
        <f t="shared" si="15"/>
        <v>30193.456394724031</v>
      </c>
      <c r="M36" s="26">
        <f t="shared" si="15"/>
        <v>33497.984215713965</v>
      </c>
      <c r="N36" s="26">
        <f t="shared" si="15"/>
        <v>36886.480088635253</v>
      </c>
      <c r="O36" s="26">
        <f t="shared" si="15"/>
        <v>40437.197004507478</v>
      </c>
      <c r="P36" s="26">
        <f t="shared" si="15"/>
        <v>44078.137637212021</v>
      </c>
      <c r="Q36" s="26">
        <f t="shared" si="15"/>
        <v>47811.59457139358</v>
      </c>
      <c r="R36" s="26">
        <f t="shared" si="15"/>
        <v>51639.918646272687</v>
      </c>
      <c r="S36" s="26">
        <f t="shared" si="15"/>
        <v>55565.520435894483</v>
      </c>
      <c r="T36" s="26">
        <f t="shared" si="15"/>
        <v>59669.274710695157</v>
      </c>
      <c r="U36" s="26">
        <f t="shared" si="15"/>
        <v>63877.30538161852</v>
      </c>
      <c r="V36" s="26">
        <f t="shared" si="15"/>
        <v>68192.262111890042</v>
      </c>
      <c r="W36" s="26">
        <f t="shared" si="15"/>
        <v>72616.861892677771</v>
      </c>
      <c r="X36" s="26">
        <f t="shared" si="15"/>
        <v>77234.645785911052</v>
      </c>
      <c r="Y36" s="26">
        <f t="shared" si="15"/>
        <v>81969.7675678714</v>
      </c>
      <c r="Z36" s="26">
        <f t="shared" si="15"/>
        <v>86825.208794311358</v>
      </c>
      <c r="AA36" s="26">
        <f t="shared" si="15"/>
        <v>91804.026782315152</v>
      </c>
      <c r="AB36" s="26">
        <f t="shared" si="15"/>
        <v>96909.356535394138</v>
      </c>
      <c r="AC36" s="26">
        <f t="shared" si="15"/>
        <v>102144.41271749884</v>
      </c>
      <c r="AD36" s="26">
        <f t="shared" si="15"/>
        <v>107512.49167719083</v>
      </c>
      <c r="AE36" s="26">
        <f t="shared" si="15"/>
        <v>113016.9735232486</v>
      </c>
      <c r="AF36" s="26">
        <f t="shared" si="15"/>
        <v>118661.3242530147</v>
      </c>
      <c r="AG36" s="26">
        <f t="shared" si="15"/>
        <v>124449.09793482414</v>
      </c>
      <c r="AH36" s="26">
        <f t="shared" si="15"/>
        <v>130383.93894588835</v>
      </c>
      <c r="AI36" s="26">
        <f t="shared" si="15"/>
        <v>136469.58426704371</v>
      </c>
      <c r="AJ36" s="26">
        <f t="shared" si="15"/>
        <v>142709.86583580959</v>
      </c>
      <c r="AK36" s="26">
        <f t="shared" si="15"/>
        <v>149191.89064221407</v>
      </c>
      <c r="AL36" s="26">
        <f t="shared" si="15"/>
        <v>155838.62369894926</v>
      </c>
      <c r="AM36" s="26">
        <f t="shared" si="15"/>
        <v>162654.2502426561</v>
      </c>
      <c r="AN36" s="26">
        <f t="shared" si="15"/>
        <v>169643.06185683855</v>
      </c>
      <c r="AO36" s="26">
        <f t="shared" si="15"/>
        <v>176809.45917413733</v>
      </c>
      <c r="AP36" s="26">
        <f t="shared" si="15"/>
        <v>184157.95464726872</v>
      </c>
      <c r="AQ36" s="26">
        <f t="shared" si="15"/>
        <v>191693.17539037234</v>
      </c>
      <c r="AR36" s="26">
        <f t="shared" si="15"/>
        <v>199419.86609255825</v>
      </c>
      <c r="AS36" s="26">
        <f t="shared" si="15"/>
        <v>207342.8920054867</v>
      </c>
      <c r="AT36" s="26">
        <f t="shared" si="15"/>
        <v>215467.24200686265</v>
      </c>
      <c r="AU36" s="26">
        <f t="shared" ref="AU36:AY36" si="16">AU35*AU34</f>
        <v>223798.03174177356</v>
      </c>
      <c r="AV36" s="26">
        <f t="shared" si="16"/>
        <v>232340.50684384856</v>
      </c>
      <c r="AW36" s="26">
        <f t="shared" si="16"/>
        <v>241100.0462382673</v>
      </c>
      <c r="AX36" s="26">
        <f t="shared" si="16"/>
        <v>250082.16552869821</v>
      </c>
      <c r="AY36" s="26">
        <f t="shared" si="16"/>
        <v>259292.52047029903</v>
      </c>
    </row>
    <row r="37" spans="1:51" x14ac:dyDescent="0.35">
      <c r="A37" s="2" t="s">
        <v>215</v>
      </c>
      <c r="B37" s="26">
        <f>B36*$B$27</f>
        <v>355.26600000000002</v>
      </c>
      <c r="C37" s="26">
        <f>C36*$B$27</f>
        <v>719.55930905999992</v>
      </c>
      <c r="D37" s="26">
        <f t="shared" ref="D37:AT37" si="17">D36*$B$27</f>
        <v>1103.7672911032146</v>
      </c>
      <c r="E37" s="26">
        <f t="shared" si="17"/>
        <v>1497.7379979701473</v>
      </c>
      <c r="F37" s="26">
        <f t="shared" si="17"/>
        <v>1901.7195004985688</v>
      </c>
      <c r="G37" s="26">
        <f t="shared" si="17"/>
        <v>2315.9661730062376</v>
      </c>
      <c r="H37" s="26">
        <f t="shared" si="17"/>
        <v>2751.7165728623254</v>
      </c>
      <c r="I37" s="26">
        <f t="shared" si="17"/>
        <v>3198.5393903787576</v>
      </c>
      <c r="J37" s="26">
        <f t="shared" si="17"/>
        <v>3656.715975688282</v>
      </c>
      <c r="K37" s="26">
        <f t="shared" si="17"/>
        <v>4126.5348280305216</v>
      </c>
      <c r="L37" s="26">
        <f t="shared" si="17"/>
        <v>4619.5988283927763</v>
      </c>
      <c r="M37" s="26">
        <f t="shared" si="17"/>
        <v>5125.1915850042369</v>
      </c>
      <c r="N37" s="26">
        <f t="shared" si="17"/>
        <v>5643.6314535611937</v>
      </c>
      <c r="O37" s="26">
        <f t="shared" si="17"/>
        <v>6186.8911416896435</v>
      </c>
      <c r="P37" s="26">
        <f t="shared" si="17"/>
        <v>6743.9550584934395</v>
      </c>
      <c r="Q37" s="26">
        <f t="shared" si="17"/>
        <v>7315.1739694232174</v>
      </c>
      <c r="R37" s="26">
        <f t="shared" si="17"/>
        <v>7900.9075528797212</v>
      </c>
      <c r="S37" s="26">
        <f t="shared" si="17"/>
        <v>8501.5246266918566</v>
      </c>
      <c r="T37" s="26">
        <f t="shared" si="17"/>
        <v>9129.3990307363583</v>
      </c>
      <c r="U37" s="26">
        <f t="shared" si="17"/>
        <v>9773.2277233876339</v>
      </c>
      <c r="V37" s="26">
        <f t="shared" si="17"/>
        <v>10433.416103119176</v>
      </c>
      <c r="W37" s="26">
        <f t="shared" si="17"/>
        <v>11110.3798695797</v>
      </c>
      <c r="X37" s="26">
        <f t="shared" si="17"/>
        <v>11816.900805244391</v>
      </c>
      <c r="Y37" s="26">
        <f t="shared" si="17"/>
        <v>12541.374437884324</v>
      </c>
      <c r="Z37" s="26">
        <f t="shared" si="17"/>
        <v>13284.256945529638</v>
      </c>
      <c r="AA37" s="26">
        <f t="shared" si="17"/>
        <v>14046.016097694219</v>
      </c>
      <c r="AB37" s="26">
        <f t="shared" si="17"/>
        <v>14827.131549915302</v>
      </c>
      <c r="AC37" s="26">
        <f t="shared" si="17"/>
        <v>15628.095145777323</v>
      </c>
      <c r="AD37" s="26">
        <f t="shared" si="17"/>
        <v>16449.411226610198</v>
      </c>
      <c r="AE37" s="26">
        <f t="shared" si="17"/>
        <v>17291.596949057035</v>
      </c>
      <c r="AF37" s="26">
        <f t="shared" si="17"/>
        <v>18155.182610711247</v>
      </c>
      <c r="AG37" s="26">
        <f t="shared" si="17"/>
        <v>19040.711984028094</v>
      </c>
      <c r="AH37" s="26">
        <f t="shared" si="17"/>
        <v>19948.742658720919</v>
      </c>
      <c r="AI37" s="26">
        <f t="shared" si="17"/>
        <v>20879.846392857689</v>
      </c>
      <c r="AJ37" s="26">
        <f t="shared" si="17"/>
        <v>21834.609472878867</v>
      </c>
      <c r="AK37" s="26">
        <f t="shared" si="17"/>
        <v>22826.359268258751</v>
      </c>
      <c r="AL37" s="26">
        <f t="shared" si="17"/>
        <v>23843.309425939238</v>
      </c>
      <c r="AM37" s="26">
        <f t="shared" si="17"/>
        <v>24886.100287126381</v>
      </c>
      <c r="AN37" s="26">
        <f t="shared" si="17"/>
        <v>25955.388464096297</v>
      </c>
      <c r="AO37" s="26">
        <f t="shared" si="17"/>
        <v>27051.847253643013</v>
      </c>
      <c r="AP37" s="26">
        <f t="shared" si="17"/>
        <v>28176.167061032113</v>
      </c>
      <c r="AQ37" s="26">
        <f t="shared" si="17"/>
        <v>29329.055834726969</v>
      </c>
      <c r="AR37" s="26">
        <f t="shared" si="17"/>
        <v>30511.239512161414</v>
      </c>
      <c r="AS37" s="26">
        <f t="shared" si="17"/>
        <v>31723.462476839464</v>
      </c>
      <c r="AT37" s="26">
        <f t="shared" si="17"/>
        <v>32966.488027049985</v>
      </c>
      <c r="AU37" s="26">
        <f t="shared" ref="AU37:AY37" si="18">AU36*$B$27</f>
        <v>34241.098856491357</v>
      </c>
      <c r="AV37" s="26">
        <f t="shared" si="18"/>
        <v>35548.097547108831</v>
      </c>
      <c r="AW37" s="26">
        <f t="shared" si="18"/>
        <v>36888.307074454897</v>
      </c>
      <c r="AX37" s="26">
        <f t="shared" si="18"/>
        <v>38262.571325890829</v>
      </c>
      <c r="AY37" s="26">
        <f t="shared" si="18"/>
        <v>39671.755631955748</v>
      </c>
    </row>
    <row r="38" spans="1:51" s="18" customFormat="1" x14ac:dyDescent="0.35">
      <c r="A38" s="18" t="s">
        <v>248</v>
      </c>
      <c r="B38" s="27">
        <f>B34+(B36-B37)</f>
        <v>79366.733999999997</v>
      </c>
      <c r="C38" s="27">
        <f>C34+(C36-C37)</f>
        <v>160750.17671094</v>
      </c>
      <c r="D38" s="27">
        <f t="shared" ref="D38:AS38" si="19">D34+(D36-D37)</f>
        <v>246582.57472116497</v>
      </c>
      <c r="E38" s="27">
        <f t="shared" si="19"/>
        <v>334595.97396482981</v>
      </c>
      <c r="F38" s="27">
        <f t="shared" si="19"/>
        <v>424845.79368327616</v>
      </c>
      <c r="G38" s="27">
        <f t="shared" si="19"/>
        <v>517388.86132076819</v>
      </c>
      <c r="H38" s="27">
        <f t="shared" si="19"/>
        <v>614735.88038752892</v>
      </c>
      <c r="I38" s="27">
        <f t="shared" si="19"/>
        <v>714556.48720877606</v>
      </c>
      <c r="J38" s="27">
        <f t="shared" si="19"/>
        <v>816913.53564935108</v>
      </c>
      <c r="K38" s="27">
        <f t="shared" si="19"/>
        <v>921871.47669080109</v>
      </c>
      <c r="L38" s="27">
        <f t="shared" si="19"/>
        <v>1032022.4040571323</v>
      </c>
      <c r="M38" s="27">
        <f t="shared" si="19"/>
        <v>1144972.266487842</v>
      </c>
      <c r="N38" s="27">
        <f t="shared" si="19"/>
        <v>1260792.1849229159</v>
      </c>
      <c r="O38" s="27">
        <f t="shared" si="19"/>
        <v>1382156.8726797339</v>
      </c>
      <c r="P38" s="27">
        <f t="shared" si="19"/>
        <v>1506605.4371524525</v>
      </c>
      <c r="Q38" s="27">
        <f t="shared" si="19"/>
        <v>1634216.2396484229</v>
      </c>
      <c r="R38" s="27">
        <f t="shared" si="19"/>
        <v>1765069.632635816</v>
      </c>
      <c r="S38" s="27">
        <f t="shared" si="19"/>
        <v>1899248.0103390187</v>
      </c>
      <c r="T38" s="27">
        <f t="shared" si="19"/>
        <v>2039515.6993697975</v>
      </c>
      <c r="U38" s="27">
        <f t="shared" si="19"/>
        <v>2183347.5903788484</v>
      </c>
      <c r="V38" s="27">
        <f t="shared" si="19"/>
        <v>2330834.249738439</v>
      </c>
      <c r="W38" s="27">
        <f t="shared" si="19"/>
        <v>2482068.545112357</v>
      </c>
      <c r="X38" s="27">
        <f t="shared" si="19"/>
        <v>2639905.9378443686</v>
      </c>
      <c r="Y38" s="27">
        <f t="shared" si="19"/>
        <v>2801753.9787257006</v>
      </c>
      <c r="Z38" s="27">
        <f t="shared" si="19"/>
        <v>2967714.5783258271</v>
      </c>
      <c r="AA38" s="27">
        <f t="shared" si="19"/>
        <v>3137892.236761793</v>
      </c>
      <c r="AB38" s="27">
        <f t="shared" si="19"/>
        <v>3312394.1094986168</v>
      </c>
      <c r="AC38" s="27">
        <f t="shared" si="19"/>
        <v>3491330.0748216831</v>
      </c>
      <c r="AD38" s="27">
        <f t="shared" si="19"/>
        <v>3674812.8030236084</v>
      </c>
      <c r="AE38" s="27">
        <f t="shared" si="19"/>
        <v>3862957.827349145</v>
      </c>
      <c r="AF38" s="27">
        <f t="shared" si="19"/>
        <v>4055883.6167427935</v>
      </c>
      <c r="AG38" s="27">
        <f t="shared" si="19"/>
        <v>4253711.6504449341</v>
      </c>
      <c r="AH38" s="27">
        <f t="shared" si="19"/>
        <v>4456566.4944834458</v>
      </c>
      <c r="AI38" s="27">
        <f t="shared" si="19"/>
        <v>4664575.8801089758</v>
      </c>
      <c r="AJ38" s="27">
        <f t="shared" si="19"/>
        <v>4877870.784223251</v>
      </c>
      <c r="AK38" s="27">
        <f t="shared" si="19"/>
        <v>5099428.5527810911</v>
      </c>
      <c r="AL38" s="27">
        <f t="shared" si="19"/>
        <v>5326616.1042379858</v>
      </c>
      <c r="AM38" s="27">
        <f t="shared" si="19"/>
        <v>5559576.4913774002</v>
      </c>
      <c r="AN38" s="27">
        <f t="shared" si="19"/>
        <v>5798456.4019540269</v>
      </c>
      <c r="AO38" s="27">
        <f t="shared" si="19"/>
        <v>6043406.2510584062</v>
      </c>
      <c r="AP38" s="27">
        <f t="shared" si="19"/>
        <v>6294580.2758285273</v>
      </c>
      <c r="AQ38" s="27">
        <f t="shared" si="19"/>
        <v>6552136.6325680576</v>
      </c>
      <c r="AR38" s="27">
        <f t="shared" si="19"/>
        <v>6816237.496332339</v>
      </c>
      <c r="AS38" s="27">
        <f t="shared" si="19"/>
        <v>7087049.1630448708</v>
      </c>
      <c r="AT38" s="27">
        <f>AT34+(AT36-AT37)</f>
        <v>7364742.1542085679</v>
      </c>
      <c r="AU38" s="27">
        <f t="shared" ref="AU38:AY38" si="20">AU34+(AU36-AU37)</f>
        <v>7649491.3242777344</v>
      </c>
      <c r="AV38" s="27">
        <f t="shared" si="20"/>
        <v>7941475.9707583589</v>
      </c>
      <c r="AW38" s="27">
        <f t="shared" si="20"/>
        <v>8240879.9471060559</v>
      </c>
      <c r="AX38" s="27">
        <f t="shared" si="20"/>
        <v>8547891.7784927487</v>
      </c>
      <c r="AY38" s="27">
        <f t="shared" si="20"/>
        <v>8862704.7805149779</v>
      </c>
    </row>
    <row r="40" spans="1:51" x14ac:dyDescent="0.35">
      <c r="A40" s="2" t="s">
        <v>250</v>
      </c>
      <c r="B40" s="26">
        <f>AT38</f>
        <v>7364742.1542085679</v>
      </c>
    </row>
    <row r="42" spans="1:51" x14ac:dyDescent="0.35">
      <c r="A42" s="2" t="s">
        <v>251</v>
      </c>
      <c r="B42" s="54" t="s">
        <v>252</v>
      </c>
    </row>
    <row r="43" spans="1:51" x14ac:dyDescent="0.35">
      <c r="A43" s="2" t="s">
        <v>253</v>
      </c>
      <c r="B43" s="2">
        <f>'Net Salary P1'!B14*3</f>
        <v>3564</v>
      </c>
      <c r="C43" s="26">
        <f t="shared" ref="C43:AT43" si="21">B47+$B$43</f>
        <v>7218.56124</v>
      </c>
      <c r="D43" s="26">
        <f t="shared" si="21"/>
        <v>10965.984881108401</v>
      </c>
      <c r="E43" s="26">
        <f t="shared" si="21"/>
        <v>14808.630556937365</v>
      </c>
      <c r="F43" s="26">
        <f t="shared" si="21"/>
        <v>18748.917859389141</v>
      </c>
      <c r="G43" s="26">
        <f t="shared" si="21"/>
        <v>22789.32786219622</v>
      </c>
      <c r="H43" s="26">
        <f t="shared" si="21"/>
        <v>26932.404683174627</v>
      </c>
      <c r="I43" s="26">
        <f t="shared" si="21"/>
        <v>31180.757086174093</v>
      </c>
      <c r="J43" s="26">
        <f t="shared" si="21"/>
        <v>35537.060123733776</v>
      </c>
      <c r="K43" s="26">
        <f t="shared" si="21"/>
        <v>40004.056821477854</v>
      </c>
      <c r="L43" s="26">
        <f t="shared" si="21"/>
        <v>44584.559905311609</v>
      </c>
      <c r="M43" s="26">
        <f t="shared" si="21"/>
        <v>49281.453572505576</v>
      </c>
      <c r="N43" s="26">
        <f t="shared" si="21"/>
        <v>54097.695307782946</v>
      </c>
      <c r="O43" s="26">
        <f t="shared" si="21"/>
        <v>59036.317745553708</v>
      </c>
      <c r="P43" s="26">
        <f t="shared" si="21"/>
        <v>64100.43057946823</v>
      </c>
      <c r="Q43" s="26">
        <f t="shared" si="21"/>
        <v>69293.22252049252</v>
      </c>
      <c r="R43" s="26">
        <f t="shared" si="21"/>
        <v>74617.963304738238</v>
      </c>
      <c r="S43" s="26">
        <f t="shared" si="21"/>
        <v>80078.005752311641</v>
      </c>
      <c r="T43" s="26">
        <f t="shared" si="21"/>
        <v>85676.787878477873</v>
      </c>
      <c r="U43" s="26">
        <f t="shared" si="21"/>
        <v>91417.835058469995</v>
      </c>
      <c r="V43" s="26">
        <f t="shared" si="21"/>
        <v>97304.762247305713</v>
      </c>
      <c r="W43" s="26">
        <f t="shared" si="21"/>
        <v>103341.27625600975</v>
      </c>
      <c r="X43" s="26">
        <f t="shared" si="21"/>
        <v>109531.17808567495</v>
      </c>
      <c r="Y43" s="26">
        <f t="shared" si="21"/>
        <v>115878.36532083196</v>
      </c>
      <c r="Z43" s="26">
        <f t="shared" si="21"/>
        <v>122386.83458363429</v>
      </c>
      <c r="AA43" s="26">
        <f t="shared" si="21"/>
        <v>129060.68405040444</v>
      </c>
      <c r="AB43" s="26">
        <f t="shared" si="21"/>
        <v>135904.11603212522</v>
      </c>
      <c r="AC43" s="26">
        <f t="shared" si="21"/>
        <v>142921.43962050154</v>
      </c>
      <c r="AD43" s="26">
        <f t="shared" si="21"/>
        <v>150117.07340125847</v>
      </c>
      <c r="AE43" s="26">
        <f t="shared" si="21"/>
        <v>157495.54823638446</v>
      </c>
      <c r="AF43" s="26">
        <f t="shared" si="21"/>
        <v>165061.51011707098</v>
      </c>
      <c r="AG43" s="26">
        <f t="shared" si="21"/>
        <v>172819.72308914576</v>
      </c>
      <c r="AH43" s="26">
        <f t="shared" si="21"/>
        <v>180775.07225284094</v>
      </c>
      <c r="AI43" s="26">
        <f t="shared" si="21"/>
        <v>188932.56683878563</v>
      </c>
      <c r="AJ43" s="26">
        <f t="shared" si="21"/>
        <v>197297.34336215918</v>
      </c>
      <c r="AK43" s="26">
        <f t="shared" si="21"/>
        <v>205874.66885699166</v>
      </c>
      <c r="AL43" s="26">
        <f t="shared" si="21"/>
        <v>214669.94419264782</v>
      </c>
      <c r="AM43" s="26">
        <f t="shared" si="21"/>
        <v>223688.707474583</v>
      </c>
      <c r="AN43" s="26">
        <f t="shared" si="21"/>
        <v>232936.63753151215</v>
      </c>
      <c r="AO43" s="26">
        <f t="shared" si="21"/>
        <v>242419.55749118788</v>
      </c>
      <c r="AP43" s="26">
        <f t="shared" si="21"/>
        <v>252143.43844703896</v>
      </c>
      <c r="AQ43" s="26">
        <f t="shared" si="21"/>
        <v>262114.40321797822</v>
      </c>
      <c r="AR43" s="26">
        <f t="shared" si="21"/>
        <v>272338.73020374705</v>
      </c>
      <c r="AS43" s="26">
        <f t="shared" si="21"/>
        <v>282822.85733822425</v>
      </c>
      <c r="AT43" s="26">
        <f t="shared" si="21"/>
        <v>293573.38614318852</v>
      </c>
      <c r="AU43" s="26">
        <f t="shared" ref="AU43" si="22">AT47+$B$43</f>
        <v>304597.08588508691</v>
      </c>
      <c r="AV43" s="26">
        <f t="shared" ref="AV43" si="23">AU47+$B$43</f>
        <v>315900.89783742698</v>
      </c>
      <c r="AW43" s="26">
        <f t="shared" ref="AW43" si="24">AV47+$B$43</f>
        <v>327491.93965147599</v>
      </c>
      <c r="AX43" s="26">
        <f t="shared" ref="AX43" si="25">AW47+$B$43</f>
        <v>339377.50983801996</v>
      </c>
      <c r="AY43" s="26">
        <f t="shared" ref="AY43" si="26">AX47+$B$43</f>
        <v>351565.09236300405</v>
      </c>
    </row>
    <row r="44" spans="1:51" x14ac:dyDescent="0.35">
      <c r="A44" s="2" t="s">
        <v>257</v>
      </c>
      <c r="B44" s="17">
        <f>$B$26</f>
        <v>0.03</v>
      </c>
      <c r="C44" s="17">
        <f>$B$26</f>
        <v>0.03</v>
      </c>
      <c r="D44" s="17">
        <f t="shared" ref="D44:AS44" si="27">$B$26</f>
        <v>0.03</v>
      </c>
      <c r="E44" s="17">
        <f t="shared" si="27"/>
        <v>0.03</v>
      </c>
      <c r="F44" s="17">
        <f t="shared" si="27"/>
        <v>0.03</v>
      </c>
      <c r="G44" s="17">
        <f t="shared" si="27"/>
        <v>0.03</v>
      </c>
      <c r="H44" s="17">
        <f t="shared" si="27"/>
        <v>0.03</v>
      </c>
      <c r="I44" s="17">
        <f t="shared" si="27"/>
        <v>0.03</v>
      </c>
      <c r="J44" s="17">
        <f t="shared" si="27"/>
        <v>0.03</v>
      </c>
      <c r="K44" s="17">
        <f t="shared" si="27"/>
        <v>0.03</v>
      </c>
      <c r="L44" s="17">
        <f t="shared" si="27"/>
        <v>0.03</v>
      </c>
      <c r="M44" s="17">
        <f t="shared" si="27"/>
        <v>0.03</v>
      </c>
      <c r="N44" s="17">
        <f t="shared" si="27"/>
        <v>0.03</v>
      </c>
      <c r="O44" s="17">
        <f t="shared" si="27"/>
        <v>0.03</v>
      </c>
      <c r="P44" s="17">
        <f t="shared" si="27"/>
        <v>0.03</v>
      </c>
      <c r="Q44" s="17">
        <f t="shared" si="27"/>
        <v>0.03</v>
      </c>
      <c r="R44" s="17">
        <f t="shared" si="27"/>
        <v>0.03</v>
      </c>
      <c r="S44" s="17">
        <f t="shared" si="27"/>
        <v>0.03</v>
      </c>
      <c r="T44" s="17">
        <f t="shared" si="27"/>
        <v>0.03</v>
      </c>
      <c r="U44" s="17">
        <f t="shared" si="27"/>
        <v>0.03</v>
      </c>
      <c r="V44" s="17">
        <f t="shared" si="27"/>
        <v>0.03</v>
      </c>
      <c r="W44" s="17">
        <f t="shared" si="27"/>
        <v>0.03</v>
      </c>
      <c r="X44" s="17">
        <f t="shared" si="27"/>
        <v>0.03</v>
      </c>
      <c r="Y44" s="17">
        <f t="shared" si="27"/>
        <v>0.03</v>
      </c>
      <c r="Z44" s="17">
        <f t="shared" si="27"/>
        <v>0.03</v>
      </c>
      <c r="AA44" s="17">
        <f t="shared" si="27"/>
        <v>0.03</v>
      </c>
      <c r="AB44" s="17">
        <f t="shared" si="27"/>
        <v>0.03</v>
      </c>
      <c r="AC44" s="17">
        <f t="shared" si="27"/>
        <v>0.03</v>
      </c>
      <c r="AD44" s="17">
        <f t="shared" si="27"/>
        <v>0.03</v>
      </c>
      <c r="AE44" s="17">
        <f t="shared" si="27"/>
        <v>0.03</v>
      </c>
      <c r="AF44" s="17">
        <f t="shared" si="27"/>
        <v>0.03</v>
      </c>
      <c r="AG44" s="17">
        <f t="shared" si="27"/>
        <v>0.03</v>
      </c>
      <c r="AH44" s="17">
        <f t="shared" si="27"/>
        <v>0.03</v>
      </c>
      <c r="AI44" s="17">
        <f t="shared" si="27"/>
        <v>0.03</v>
      </c>
      <c r="AJ44" s="17">
        <f t="shared" si="27"/>
        <v>0.03</v>
      </c>
      <c r="AK44" s="17">
        <f t="shared" si="27"/>
        <v>0.03</v>
      </c>
      <c r="AL44" s="17">
        <f t="shared" si="27"/>
        <v>0.03</v>
      </c>
      <c r="AM44" s="17">
        <f t="shared" si="27"/>
        <v>0.03</v>
      </c>
      <c r="AN44" s="17">
        <f t="shared" si="27"/>
        <v>0.03</v>
      </c>
      <c r="AO44" s="17">
        <f t="shared" si="27"/>
        <v>0.03</v>
      </c>
      <c r="AP44" s="17">
        <f t="shared" si="27"/>
        <v>0.03</v>
      </c>
      <c r="AQ44" s="17">
        <f t="shared" si="27"/>
        <v>0.03</v>
      </c>
      <c r="AR44" s="17">
        <f t="shared" si="27"/>
        <v>0.03</v>
      </c>
      <c r="AS44" s="17">
        <f t="shared" si="27"/>
        <v>0.03</v>
      </c>
      <c r="AT44" s="17">
        <f>$B$26</f>
        <v>0.03</v>
      </c>
      <c r="AU44" s="17">
        <f t="shared" ref="AU44:AY44" si="28">$B$26</f>
        <v>0.03</v>
      </c>
      <c r="AV44" s="17">
        <f t="shared" si="28"/>
        <v>0.03</v>
      </c>
      <c r="AW44" s="17">
        <f t="shared" si="28"/>
        <v>0.03</v>
      </c>
      <c r="AX44" s="17">
        <f t="shared" si="28"/>
        <v>0.03</v>
      </c>
      <c r="AY44" s="17">
        <f t="shared" si="28"/>
        <v>0.03</v>
      </c>
    </row>
    <row r="45" spans="1:51" x14ac:dyDescent="0.35">
      <c r="A45" s="2" t="s">
        <v>244</v>
      </c>
      <c r="B45" s="26">
        <f>B44*B43</f>
        <v>106.92</v>
      </c>
      <c r="C45" s="26">
        <f>C44*C43</f>
        <v>216.55683719999999</v>
      </c>
      <c r="D45" s="26">
        <f t="shared" ref="D45:AS45" si="29">D44*D43</f>
        <v>328.97954643325204</v>
      </c>
      <c r="E45" s="26">
        <f t="shared" si="29"/>
        <v>444.25891670812092</v>
      </c>
      <c r="F45" s="26">
        <f t="shared" si="29"/>
        <v>562.4675357816742</v>
      </c>
      <c r="G45" s="26">
        <f t="shared" si="29"/>
        <v>683.67983586588662</v>
      </c>
      <c r="H45" s="26">
        <f t="shared" si="29"/>
        <v>807.97214049523882</v>
      </c>
      <c r="I45" s="26">
        <f t="shared" si="29"/>
        <v>935.42271258522271</v>
      </c>
      <c r="J45" s="26">
        <f t="shared" si="29"/>
        <v>1066.1118037120132</v>
      </c>
      <c r="K45" s="26">
        <f t="shared" si="29"/>
        <v>1200.1217046443355</v>
      </c>
      <c r="L45" s="26">
        <f t="shared" si="29"/>
        <v>1337.5367971593482</v>
      </c>
      <c r="M45" s="26">
        <f t="shared" si="29"/>
        <v>1478.4436071751672</v>
      </c>
      <c r="N45" s="26">
        <f t="shared" si="29"/>
        <v>1622.9308592334883</v>
      </c>
      <c r="O45" s="26">
        <f t="shared" si="29"/>
        <v>1771.0895323666111</v>
      </c>
      <c r="P45" s="26">
        <f t="shared" si="29"/>
        <v>1923.0129173840469</v>
      </c>
      <c r="Q45" s="26">
        <f t="shared" si="29"/>
        <v>2078.7966756147757</v>
      </c>
      <c r="R45" s="26">
        <f t="shared" si="29"/>
        <v>2238.5388991421469</v>
      </c>
      <c r="S45" s="26">
        <f t="shared" si="29"/>
        <v>2402.3401725693493</v>
      </c>
      <c r="T45" s="26">
        <f t="shared" si="29"/>
        <v>2570.303636354336</v>
      </c>
      <c r="U45" s="26">
        <f t="shared" si="29"/>
        <v>2742.5350517540996</v>
      </c>
      <c r="V45" s="26">
        <f t="shared" si="29"/>
        <v>2919.1428674191711</v>
      </c>
      <c r="W45" s="26">
        <f t="shared" si="29"/>
        <v>3100.2382876802922</v>
      </c>
      <c r="X45" s="26">
        <f t="shared" si="29"/>
        <v>3285.9353425702484</v>
      </c>
      <c r="Y45" s="26">
        <f t="shared" si="29"/>
        <v>3476.3509596249587</v>
      </c>
      <c r="Z45" s="26">
        <f t="shared" si="29"/>
        <v>3671.6050375090285</v>
      </c>
      <c r="AA45" s="26">
        <f t="shared" si="29"/>
        <v>3871.8205215121329</v>
      </c>
      <c r="AB45" s="26">
        <f t="shared" si="29"/>
        <v>4077.1234809637567</v>
      </c>
      <c r="AC45" s="26">
        <f t="shared" si="29"/>
        <v>4287.6431886150458</v>
      </c>
      <c r="AD45" s="26">
        <f t="shared" si="29"/>
        <v>4503.5122020377539</v>
      </c>
      <c r="AE45" s="26">
        <f t="shared" si="29"/>
        <v>4724.8664470915337</v>
      </c>
      <c r="AF45" s="26">
        <f t="shared" si="29"/>
        <v>4951.8453035121292</v>
      </c>
      <c r="AG45" s="26">
        <f t="shared" si="29"/>
        <v>5184.591692674373</v>
      </c>
      <c r="AH45" s="26">
        <f t="shared" si="29"/>
        <v>5423.2521675852277</v>
      </c>
      <c r="AI45" s="26">
        <f t="shared" si="29"/>
        <v>5667.9770051635687</v>
      </c>
      <c r="AJ45" s="26">
        <f t="shared" si="29"/>
        <v>5918.9203008647755</v>
      </c>
      <c r="AK45" s="26">
        <f t="shared" si="29"/>
        <v>6176.2400657097496</v>
      </c>
      <c r="AL45" s="26">
        <f t="shared" si="29"/>
        <v>6440.0983257794342</v>
      </c>
      <c r="AM45" s="26">
        <f t="shared" si="29"/>
        <v>6710.6612242374895</v>
      </c>
      <c r="AN45" s="26">
        <f t="shared" si="29"/>
        <v>6988.099125945364</v>
      </c>
      <c r="AO45" s="26">
        <f t="shared" si="29"/>
        <v>7272.5867247356364</v>
      </c>
      <c r="AP45" s="26">
        <f t="shared" si="29"/>
        <v>7564.3031534111688</v>
      </c>
      <c r="AQ45" s="26">
        <f t="shared" si="29"/>
        <v>7863.4320965393463</v>
      </c>
      <c r="AR45" s="26">
        <f t="shared" si="29"/>
        <v>8170.1619061124111</v>
      </c>
      <c r="AS45" s="26">
        <f t="shared" si="29"/>
        <v>8484.6857201467265</v>
      </c>
      <c r="AT45" s="26">
        <f>AT44*AT43</f>
        <v>8807.2015842956553</v>
      </c>
      <c r="AU45" s="26">
        <f t="shared" ref="AU45:AY45" si="30">AU44*AU43</f>
        <v>9137.9125765526078</v>
      </c>
      <c r="AV45" s="26">
        <f t="shared" si="30"/>
        <v>9477.0269351228089</v>
      </c>
      <c r="AW45" s="26">
        <f t="shared" si="30"/>
        <v>9824.75818954428</v>
      </c>
      <c r="AX45" s="26">
        <f t="shared" si="30"/>
        <v>10181.325295140599</v>
      </c>
      <c r="AY45" s="26">
        <f t="shared" si="30"/>
        <v>10546.952770890121</v>
      </c>
    </row>
    <row r="46" spans="1:51" x14ac:dyDescent="0.35">
      <c r="A46" s="2" t="s">
        <v>215</v>
      </c>
      <c r="B46" s="26">
        <f>B45*$B$27</f>
        <v>16.35876</v>
      </c>
      <c r="C46" s="26">
        <f>C45*$B$27</f>
        <v>33.133196091599999</v>
      </c>
      <c r="D46" s="26">
        <f t="shared" ref="D46:AS46" si="31">D45*$B$27</f>
        <v>50.333870604287561</v>
      </c>
      <c r="E46" s="26">
        <f t="shared" si="31"/>
        <v>67.971614256342505</v>
      </c>
      <c r="F46" s="26">
        <f t="shared" si="31"/>
        <v>86.057532974596157</v>
      </c>
      <c r="G46" s="26">
        <f t="shared" si="31"/>
        <v>104.60301488748065</v>
      </c>
      <c r="H46" s="26">
        <f t="shared" si="31"/>
        <v>123.61973749577153</v>
      </c>
      <c r="I46" s="26">
        <f t="shared" si="31"/>
        <v>143.11967502553907</v>
      </c>
      <c r="J46" s="26">
        <f t="shared" si="31"/>
        <v>163.11510596793801</v>
      </c>
      <c r="K46" s="26">
        <f t="shared" si="31"/>
        <v>183.61862081058334</v>
      </c>
      <c r="L46" s="26">
        <f t="shared" si="31"/>
        <v>204.64312996538027</v>
      </c>
      <c r="M46" s="26">
        <f t="shared" si="31"/>
        <v>226.20187189780057</v>
      </c>
      <c r="N46" s="26">
        <f t="shared" si="31"/>
        <v>248.30842146272369</v>
      </c>
      <c r="O46" s="26">
        <f t="shared" si="31"/>
        <v>270.97669845209151</v>
      </c>
      <c r="P46" s="26">
        <f t="shared" si="31"/>
        <v>294.22097635975916</v>
      </c>
      <c r="Q46" s="26">
        <f t="shared" si="31"/>
        <v>318.0558913690607</v>
      </c>
      <c r="R46" s="26">
        <f t="shared" si="31"/>
        <v>342.49645156874845</v>
      </c>
      <c r="S46" s="26">
        <f t="shared" si="31"/>
        <v>367.55804640311044</v>
      </c>
      <c r="T46" s="26">
        <f t="shared" si="31"/>
        <v>393.25645636221338</v>
      </c>
      <c r="U46" s="26">
        <f t="shared" si="31"/>
        <v>419.60786291837724</v>
      </c>
      <c r="V46" s="26">
        <f t="shared" si="31"/>
        <v>446.62885871513316</v>
      </c>
      <c r="W46" s="26">
        <f t="shared" si="31"/>
        <v>474.3364580150847</v>
      </c>
      <c r="X46" s="26">
        <f t="shared" si="31"/>
        <v>502.74810741324802</v>
      </c>
      <c r="Y46" s="26">
        <f t="shared" si="31"/>
        <v>531.88169682261866</v>
      </c>
      <c r="Z46" s="26">
        <f t="shared" si="31"/>
        <v>561.75557073888137</v>
      </c>
      <c r="AA46" s="26">
        <f t="shared" si="31"/>
        <v>592.38853979135638</v>
      </c>
      <c r="AB46" s="26">
        <f t="shared" si="31"/>
        <v>623.79989258745479</v>
      </c>
      <c r="AC46" s="26">
        <f t="shared" si="31"/>
        <v>656.00940785810201</v>
      </c>
      <c r="AD46" s="26">
        <f t="shared" si="31"/>
        <v>689.0373669117763</v>
      </c>
      <c r="AE46" s="26">
        <f t="shared" si="31"/>
        <v>722.90456640500463</v>
      </c>
      <c r="AF46" s="26">
        <f t="shared" si="31"/>
        <v>757.63233143735579</v>
      </c>
      <c r="AG46" s="26">
        <f t="shared" si="31"/>
        <v>793.24252897917904</v>
      </c>
      <c r="AH46" s="26">
        <f t="shared" si="31"/>
        <v>829.7575816405398</v>
      </c>
      <c r="AI46" s="26">
        <f t="shared" si="31"/>
        <v>867.20048179002595</v>
      </c>
      <c r="AJ46" s="26">
        <f t="shared" si="31"/>
        <v>905.59480603231066</v>
      </c>
      <c r="AK46" s="26">
        <f t="shared" si="31"/>
        <v>944.96473005359167</v>
      </c>
      <c r="AL46" s="26">
        <f t="shared" si="31"/>
        <v>985.33504384425339</v>
      </c>
      <c r="AM46" s="26">
        <f t="shared" si="31"/>
        <v>1026.7311673083359</v>
      </c>
      <c r="AN46" s="26">
        <f t="shared" si="31"/>
        <v>1069.1791662696407</v>
      </c>
      <c r="AO46" s="26">
        <f t="shared" si="31"/>
        <v>1112.7057688845523</v>
      </c>
      <c r="AP46" s="26">
        <f t="shared" si="31"/>
        <v>1157.3383824719087</v>
      </c>
      <c r="AQ46" s="26">
        <f t="shared" si="31"/>
        <v>1203.10511077052</v>
      </c>
      <c r="AR46" s="26">
        <f t="shared" si="31"/>
        <v>1250.0347716351989</v>
      </c>
      <c r="AS46" s="26">
        <f t="shared" si="31"/>
        <v>1298.1569151824492</v>
      </c>
      <c r="AT46" s="26">
        <f>AT45*$B$27</f>
        <v>1347.5018423972351</v>
      </c>
      <c r="AU46" s="26">
        <f t="shared" ref="AU46:AY46" si="32">AU45*$B$27</f>
        <v>1398.1006242125491</v>
      </c>
      <c r="AV46" s="26">
        <f t="shared" si="32"/>
        <v>1449.9851210737897</v>
      </c>
      <c r="AW46" s="26">
        <f t="shared" si="32"/>
        <v>1503.1880030002749</v>
      </c>
      <c r="AX46" s="26">
        <f t="shared" si="32"/>
        <v>1557.7427701565116</v>
      </c>
      <c r="AY46" s="26">
        <f t="shared" si="32"/>
        <v>1613.6837739461885</v>
      </c>
    </row>
    <row r="47" spans="1:51" x14ac:dyDescent="0.35">
      <c r="A47" s="2" t="s">
        <v>258</v>
      </c>
      <c r="B47" s="27">
        <f>B43+(B45-B46)</f>
        <v>3654.56124</v>
      </c>
      <c r="C47" s="27">
        <f>C43+(C45-C46)</f>
        <v>7401.9848811084003</v>
      </c>
      <c r="D47" s="27">
        <f t="shared" ref="D47:AS47" si="33">D43+(D45-D46)</f>
        <v>11244.630556937365</v>
      </c>
      <c r="E47" s="27">
        <f t="shared" si="33"/>
        <v>15184.917859389143</v>
      </c>
      <c r="F47" s="27">
        <f t="shared" si="33"/>
        <v>19225.32786219622</v>
      </c>
      <c r="G47" s="27">
        <f t="shared" si="33"/>
        <v>23368.404683174627</v>
      </c>
      <c r="H47" s="27">
        <f t="shared" si="33"/>
        <v>27616.757086174093</v>
      </c>
      <c r="I47" s="27">
        <f t="shared" si="33"/>
        <v>31973.060123733776</v>
      </c>
      <c r="J47" s="27">
        <f t="shared" si="33"/>
        <v>36440.056821477854</v>
      </c>
      <c r="K47" s="27">
        <f t="shared" si="33"/>
        <v>41020.559905311609</v>
      </c>
      <c r="L47" s="27">
        <f t="shared" si="33"/>
        <v>45717.453572505576</v>
      </c>
      <c r="M47" s="27">
        <f t="shared" si="33"/>
        <v>50533.695307782946</v>
      </c>
      <c r="N47" s="27">
        <f t="shared" si="33"/>
        <v>55472.317745553708</v>
      </c>
      <c r="O47" s="27">
        <f t="shared" si="33"/>
        <v>60536.43057946823</v>
      </c>
      <c r="P47" s="27">
        <f t="shared" si="33"/>
        <v>65729.22252049252</v>
      </c>
      <c r="Q47" s="27">
        <f t="shared" si="33"/>
        <v>71053.963304738238</v>
      </c>
      <c r="R47" s="27">
        <f t="shared" si="33"/>
        <v>76514.005752311641</v>
      </c>
      <c r="S47" s="27">
        <f t="shared" si="33"/>
        <v>82112.787878477873</v>
      </c>
      <c r="T47" s="27">
        <f t="shared" si="33"/>
        <v>87853.835058469995</v>
      </c>
      <c r="U47" s="27">
        <f t="shared" si="33"/>
        <v>93740.762247305713</v>
      </c>
      <c r="V47" s="27">
        <f t="shared" si="33"/>
        <v>99777.276256009747</v>
      </c>
      <c r="W47" s="27">
        <f t="shared" si="33"/>
        <v>105967.17808567495</v>
      </c>
      <c r="X47" s="27">
        <f t="shared" si="33"/>
        <v>112314.36532083196</v>
      </c>
      <c r="Y47" s="27">
        <f t="shared" si="33"/>
        <v>118822.83458363429</v>
      </c>
      <c r="Z47" s="27">
        <f t="shared" si="33"/>
        <v>125496.68405040444</v>
      </c>
      <c r="AA47" s="27">
        <f t="shared" si="33"/>
        <v>132340.11603212522</v>
      </c>
      <c r="AB47" s="27">
        <f t="shared" si="33"/>
        <v>139357.43962050154</v>
      </c>
      <c r="AC47" s="27">
        <f t="shared" si="33"/>
        <v>146553.07340125847</v>
      </c>
      <c r="AD47" s="27">
        <f t="shared" si="33"/>
        <v>153931.54823638446</v>
      </c>
      <c r="AE47" s="27">
        <f t="shared" si="33"/>
        <v>161497.51011707098</v>
      </c>
      <c r="AF47" s="27">
        <f t="shared" si="33"/>
        <v>169255.72308914576</v>
      </c>
      <c r="AG47" s="27">
        <f t="shared" si="33"/>
        <v>177211.07225284094</v>
      </c>
      <c r="AH47" s="27">
        <f t="shared" si="33"/>
        <v>185368.56683878563</v>
      </c>
      <c r="AI47" s="27">
        <f t="shared" si="33"/>
        <v>193733.34336215918</v>
      </c>
      <c r="AJ47" s="27">
        <f t="shared" si="33"/>
        <v>202310.66885699166</v>
      </c>
      <c r="AK47" s="27">
        <f t="shared" si="33"/>
        <v>211105.94419264782</v>
      </c>
      <c r="AL47" s="27">
        <f t="shared" si="33"/>
        <v>220124.707474583</v>
      </c>
      <c r="AM47" s="27">
        <f t="shared" si="33"/>
        <v>229372.63753151215</v>
      </c>
      <c r="AN47" s="27">
        <f t="shared" si="33"/>
        <v>238855.55749118788</v>
      </c>
      <c r="AO47" s="27">
        <f t="shared" si="33"/>
        <v>248579.43844703896</v>
      </c>
      <c r="AP47" s="27">
        <f t="shared" si="33"/>
        <v>258550.40321797822</v>
      </c>
      <c r="AQ47" s="27">
        <f t="shared" si="33"/>
        <v>268774.73020374705</v>
      </c>
      <c r="AR47" s="27">
        <f t="shared" si="33"/>
        <v>279258.85733822425</v>
      </c>
      <c r="AS47" s="27">
        <f t="shared" si="33"/>
        <v>290009.38614318852</v>
      </c>
      <c r="AT47" s="27">
        <f>AT43+(AT45-AT46)</f>
        <v>301033.08588508691</v>
      </c>
      <c r="AU47" s="27">
        <f t="shared" ref="AU47:AY47" si="34">AU43+(AU45-AU46)</f>
        <v>312336.89783742698</v>
      </c>
      <c r="AV47" s="27">
        <f t="shared" si="34"/>
        <v>323927.93965147599</v>
      </c>
      <c r="AW47" s="27">
        <f t="shared" si="34"/>
        <v>335813.50983801996</v>
      </c>
      <c r="AX47" s="27">
        <f t="shared" si="34"/>
        <v>348001.09236300405</v>
      </c>
      <c r="AY47" s="27">
        <f t="shared" si="34"/>
        <v>360498.361359948</v>
      </c>
    </row>
    <row r="49" spans="1:51" x14ac:dyDescent="0.35">
      <c r="A49" s="2" t="s">
        <v>268</v>
      </c>
    </row>
    <row r="50" spans="1:51" x14ac:dyDescent="0.35">
      <c r="A50" s="2" t="s">
        <v>269</v>
      </c>
      <c r="B50" s="28">
        <f>'Net Salary P1'!$B$2</f>
        <v>9400</v>
      </c>
      <c r="C50" s="26">
        <f>B54+$B$50</f>
        <v>19038.853999999999</v>
      </c>
      <c r="D50" s="26">
        <f>C54+$B$50</f>
        <v>28922.631280139998</v>
      </c>
      <c r="E50" s="26">
        <f t="shared" ref="E50:AS50" si="35">D54+$B$50</f>
        <v>39057.555340968356</v>
      </c>
      <c r="F50" s="26">
        <f t="shared" si="35"/>
        <v>49450.007822182364</v>
      </c>
      <c r="G50" s="26">
        <f t="shared" si="35"/>
        <v>60106.53252094402</v>
      </c>
      <c r="H50" s="26">
        <f t="shared" si="35"/>
        <v>71033.839512301201</v>
      </c>
      <c r="I50" s="26">
        <f t="shared" si="35"/>
        <v>82238.809374308781</v>
      </c>
      <c r="J50" s="26">
        <f t="shared" si="35"/>
        <v>93728.497520509962</v>
      </c>
      <c r="K50" s="26">
        <f t="shared" si="35"/>
        <v>105510.13864250612</v>
      </c>
      <c r="L50" s="26">
        <f t="shared" si="35"/>
        <v>117591.15126541221</v>
      </c>
      <c r="M50" s="26">
        <f t="shared" si="35"/>
        <v>129979.14241906632</v>
      </c>
      <c r="N50" s="26">
        <f t="shared" si="35"/>
        <v>142681.91242793479</v>
      </c>
      <c r="O50" s="26">
        <f t="shared" si="35"/>
        <v>155707.45982272862</v>
      </c>
      <c r="P50" s="26">
        <f t="shared" si="35"/>
        <v>169063.98637682415</v>
      </c>
      <c r="Q50" s="26">
        <f t="shared" si="35"/>
        <v>182759.90227065925</v>
      </c>
      <c r="R50" s="26">
        <f t="shared" si="35"/>
        <v>196803.83138735671</v>
      </c>
      <c r="S50" s="26">
        <f t="shared" si="35"/>
        <v>211204.61674290945</v>
      </c>
      <c r="T50" s="26">
        <f t="shared" si="35"/>
        <v>225971.32605434678</v>
      </c>
      <c r="U50" s="26">
        <f t="shared" si="35"/>
        <v>241113.25744938772</v>
      </c>
      <c r="V50" s="26">
        <f t="shared" si="35"/>
        <v>256639.94532117667</v>
      </c>
      <c r="W50" s="26">
        <f t="shared" si="35"/>
        <v>272561.16633178777</v>
      </c>
      <c r="X50" s="26">
        <f t="shared" si="35"/>
        <v>288886.94556827849</v>
      </c>
      <c r="Y50" s="26">
        <f t="shared" si="35"/>
        <v>305627.56285516842</v>
      </c>
      <c r="Z50" s="26">
        <f t="shared" si="35"/>
        <v>322793.55922731827</v>
      </c>
      <c r="AA50" s="26">
        <f t="shared" si="35"/>
        <v>340395.74356728443</v>
      </c>
      <c r="AB50" s="26">
        <f t="shared" si="35"/>
        <v>358445.19941132911</v>
      </c>
      <c r="AC50" s="26">
        <f t="shared" si="35"/>
        <v>376953.29192837101</v>
      </c>
      <c r="AD50" s="26">
        <f t="shared" si="35"/>
        <v>395931.67507627094</v>
      </c>
      <c r="AE50" s="26">
        <f t="shared" si="35"/>
        <v>415392.29893995897</v>
      </c>
      <c r="AF50" s="26">
        <f t="shared" si="35"/>
        <v>435347.41725602333</v>
      </c>
      <c r="AG50" s="26">
        <f t="shared" si="35"/>
        <v>455809.59512849886</v>
      </c>
      <c r="AH50" s="26">
        <f t="shared" si="35"/>
        <v>476791.71694071399</v>
      </c>
      <c r="AI50" s="26">
        <f t="shared" si="35"/>
        <v>498306.99446817755</v>
      </c>
      <c r="AJ50" s="26">
        <f t="shared" si="35"/>
        <v>520368.97519761394</v>
      </c>
      <c r="AK50" s="26">
        <f t="shared" si="35"/>
        <v>542991.55085738527</v>
      </c>
      <c r="AL50" s="26">
        <f t="shared" si="35"/>
        <v>566188.96616467147</v>
      </c>
      <c r="AM50" s="26">
        <f t="shared" si="35"/>
        <v>589975.82779491576</v>
      </c>
      <c r="AN50" s="26">
        <f t="shared" si="35"/>
        <v>614367.11357918452</v>
      </c>
      <c r="AO50" s="26">
        <f t="shared" si="35"/>
        <v>639378.18193523155</v>
      </c>
      <c r="AP50" s="26">
        <f t="shared" si="35"/>
        <v>665024.7815382058</v>
      </c>
      <c r="AQ50" s="26">
        <f t="shared" si="35"/>
        <v>691323.06123709166</v>
      </c>
      <c r="AR50" s="26">
        <f t="shared" si="35"/>
        <v>718289.5802231261</v>
      </c>
      <c r="AS50" s="26">
        <f t="shared" si="35"/>
        <v>745941.31845659576</v>
      </c>
      <c r="AT50" s="26">
        <f>AS54+$B$50</f>
        <v>774295.68735857785</v>
      </c>
      <c r="AU50" s="26">
        <f t="shared" ref="AU50:AY50" si="36">AT54+$B$50</f>
        <v>803370.54077435937</v>
      </c>
      <c r="AV50" s="26">
        <f t="shared" si="36"/>
        <v>833184.18621543585</v>
      </c>
      <c r="AW50" s="26">
        <f t="shared" si="36"/>
        <v>863755.39638717007</v>
      </c>
      <c r="AX50" s="26">
        <f t="shared" si="36"/>
        <v>895103.42100936803</v>
      </c>
      <c r="AY50" s="26">
        <f t="shared" si="36"/>
        <v>927247.99893721612</v>
      </c>
    </row>
    <row r="51" spans="1:51" x14ac:dyDescent="0.35">
      <c r="A51" s="2" t="s">
        <v>257</v>
      </c>
      <c r="B51" s="17">
        <f>$B$26</f>
        <v>0.03</v>
      </c>
      <c r="C51" s="17">
        <f>$B$26</f>
        <v>0.03</v>
      </c>
      <c r="D51" s="17">
        <f t="shared" ref="D51:AS51" si="37">$B$26</f>
        <v>0.03</v>
      </c>
      <c r="E51" s="17">
        <f t="shared" si="37"/>
        <v>0.03</v>
      </c>
      <c r="F51" s="17">
        <f t="shared" si="37"/>
        <v>0.03</v>
      </c>
      <c r="G51" s="17">
        <f t="shared" si="37"/>
        <v>0.03</v>
      </c>
      <c r="H51" s="17">
        <f t="shared" si="37"/>
        <v>0.03</v>
      </c>
      <c r="I51" s="17">
        <f t="shared" si="37"/>
        <v>0.03</v>
      </c>
      <c r="J51" s="17">
        <f t="shared" si="37"/>
        <v>0.03</v>
      </c>
      <c r="K51" s="17">
        <f t="shared" si="37"/>
        <v>0.03</v>
      </c>
      <c r="L51" s="17">
        <f t="shared" si="37"/>
        <v>0.03</v>
      </c>
      <c r="M51" s="17">
        <f t="shared" si="37"/>
        <v>0.03</v>
      </c>
      <c r="N51" s="17">
        <f t="shared" si="37"/>
        <v>0.03</v>
      </c>
      <c r="O51" s="17">
        <f t="shared" si="37"/>
        <v>0.03</v>
      </c>
      <c r="P51" s="17">
        <f t="shared" si="37"/>
        <v>0.03</v>
      </c>
      <c r="Q51" s="17">
        <f t="shared" si="37"/>
        <v>0.03</v>
      </c>
      <c r="R51" s="17">
        <f t="shared" si="37"/>
        <v>0.03</v>
      </c>
      <c r="S51" s="17">
        <f t="shared" si="37"/>
        <v>0.03</v>
      </c>
      <c r="T51" s="17">
        <f t="shared" si="37"/>
        <v>0.03</v>
      </c>
      <c r="U51" s="17">
        <f t="shared" si="37"/>
        <v>0.03</v>
      </c>
      <c r="V51" s="17">
        <f t="shared" si="37"/>
        <v>0.03</v>
      </c>
      <c r="W51" s="17">
        <f t="shared" si="37"/>
        <v>0.03</v>
      </c>
      <c r="X51" s="17">
        <f t="shared" si="37"/>
        <v>0.03</v>
      </c>
      <c r="Y51" s="17">
        <f t="shared" si="37"/>
        <v>0.03</v>
      </c>
      <c r="Z51" s="17">
        <f t="shared" si="37"/>
        <v>0.03</v>
      </c>
      <c r="AA51" s="17">
        <f t="shared" si="37"/>
        <v>0.03</v>
      </c>
      <c r="AB51" s="17">
        <f t="shared" si="37"/>
        <v>0.03</v>
      </c>
      <c r="AC51" s="17">
        <f t="shared" si="37"/>
        <v>0.03</v>
      </c>
      <c r="AD51" s="17">
        <f t="shared" si="37"/>
        <v>0.03</v>
      </c>
      <c r="AE51" s="17">
        <f t="shared" si="37"/>
        <v>0.03</v>
      </c>
      <c r="AF51" s="17">
        <f t="shared" si="37"/>
        <v>0.03</v>
      </c>
      <c r="AG51" s="17">
        <f t="shared" si="37"/>
        <v>0.03</v>
      </c>
      <c r="AH51" s="17">
        <f t="shared" si="37"/>
        <v>0.03</v>
      </c>
      <c r="AI51" s="17">
        <f t="shared" si="37"/>
        <v>0.03</v>
      </c>
      <c r="AJ51" s="17">
        <f t="shared" si="37"/>
        <v>0.03</v>
      </c>
      <c r="AK51" s="17">
        <f t="shared" si="37"/>
        <v>0.03</v>
      </c>
      <c r="AL51" s="17">
        <f t="shared" si="37"/>
        <v>0.03</v>
      </c>
      <c r="AM51" s="17">
        <f t="shared" si="37"/>
        <v>0.03</v>
      </c>
      <c r="AN51" s="17">
        <f t="shared" si="37"/>
        <v>0.03</v>
      </c>
      <c r="AO51" s="17">
        <f t="shared" si="37"/>
        <v>0.03</v>
      </c>
      <c r="AP51" s="17">
        <f t="shared" si="37"/>
        <v>0.03</v>
      </c>
      <c r="AQ51" s="17">
        <f t="shared" si="37"/>
        <v>0.03</v>
      </c>
      <c r="AR51" s="17">
        <f t="shared" si="37"/>
        <v>0.03</v>
      </c>
      <c r="AS51" s="17">
        <f t="shared" si="37"/>
        <v>0.03</v>
      </c>
      <c r="AT51" s="17">
        <f>$B$26</f>
        <v>0.03</v>
      </c>
      <c r="AU51" s="17">
        <f t="shared" ref="AU51:AY51" si="38">$B$26</f>
        <v>0.03</v>
      </c>
      <c r="AV51" s="17">
        <f t="shared" si="38"/>
        <v>0.03</v>
      </c>
      <c r="AW51" s="17">
        <f t="shared" si="38"/>
        <v>0.03</v>
      </c>
      <c r="AX51" s="17">
        <f t="shared" si="38"/>
        <v>0.03</v>
      </c>
      <c r="AY51" s="17">
        <f t="shared" si="38"/>
        <v>0.03</v>
      </c>
    </row>
    <row r="52" spans="1:51" x14ac:dyDescent="0.35">
      <c r="A52" s="2" t="s">
        <v>244</v>
      </c>
      <c r="B52" s="26">
        <f>B51*B50</f>
        <v>282</v>
      </c>
      <c r="C52" s="26">
        <f>C51*C50</f>
        <v>571.16561999999999</v>
      </c>
      <c r="D52" s="26">
        <f t="shared" ref="D52:AS52" si="39">D51*D50</f>
        <v>867.67893840419993</v>
      </c>
      <c r="E52" s="26">
        <f t="shared" si="39"/>
        <v>1171.7266602290506</v>
      </c>
      <c r="F52" s="26">
        <f t="shared" si="39"/>
        <v>1483.5002346654708</v>
      </c>
      <c r="G52" s="26">
        <f t="shared" si="39"/>
        <v>1803.1959756283206</v>
      </c>
      <c r="H52" s="26">
        <f t="shared" si="39"/>
        <v>2131.0151853690359</v>
      </c>
      <c r="I52" s="26">
        <f t="shared" si="39"/>
        <v>2467.1642812292635</v>
      </c>
      <c r="J52" s="26">
        <f t="shared" si="39"/>
        <v>2811.8549256152987</v>
      </c>
      <c r="K52" s="26">
        <f t="shared" si="39"/>
        <v>3165.3041592751833</v>
      </c>
      <c r="L52" s="26">
        <f t="shared" si="39"/>
        <v>3527.7345379623662</v>
      </c>
      <c r="M52" s="26">
        <f t="shared" si="39"/>
        <v>3899.3742725719894</v>
      </c>
      <c r="N52" s="26">
        <f t="shared" si="39"/>
        <v>4280.4573728380437</v>
      </c>
      <c r="O52" s="26">
        <f t="shared" si="39"/>
        <v>4671.2237946818586</v>
      </c>
      <c r="P52" s="26">
        <f t="shared" si="39"/>
        <v>5071.9195913047242</v>
      </c>
      <c r="Q52" s="26">
        <f t="shared" si="39"/>
        <v>5482.7970681197776</v>
      </c>
      <c r="R52" s="26">
        <f t="shared" si="39"/>
        <v>5904.1149416207008</v>
      </c>
      <c r="S52" s="26">
        <f t="shared" si="39"/>
        <v>6336.1385022872837</v>
      </c>
      <c r="T52" s="26">
        <f t="shared" si="39"/>
        <v>6779.1397816304034</v>
      </c>
      <c r="U52" s="26">
        <f t="shared" si="39"/>
        <v>7233.3977234816311</v>
      </c>
      <c r="V52" s="26">
        <f t="shared" si="39"/>
        <v>7699.1983596352993</v>
      </c>
      <c r="W52" s="26">
        <f t="shared" si="39"/>
        <v>8176.8349899536324</v>
      </c>
      <c r="X52" s="26">
        <f t="shared" si="39"/>
        <v>8666.6083670483549</v>
      </c>
      <c r="Y52" s="26">
        <f t="shared" si="39"/>
        <v>9168.826885655053</v>
      </c>
      <c r="Z52" s="26">
        <f t="shared" si="39"/>
        <v>9683.8067768195469</v>
      </c>
      <c r="AA52" s="26">
        <f t="shared" si="39"/>
        <v>10211.872307018533</v>
      </c>
      <c r="AB52" s="26">
        <f t="shared" si="39"/>
        <v>10753.355982339874</v>
      </c>
      <c r="AC52" s="26">
        <f t="shared" si="39"/>
        <v>11308.59875785113</v>
      </c>
      <c r="AD52" s="26">
        <f t="shared" si="39"/>
        <v>11877.950252288128</v>
      </c>
      <c r="AE52" s="26">
        <f t="shared" si="39"/>
        <v>12461.768968198769</v>
      </c>
      <c r="AF52" s="26">
        <f t="shared" si="39"/>
        <v>13060.422517680699</v>
      </c>
      <c r="AG52" s="26">
        <f t="shared" si="39"/>
        <v>13674.287853854965</v>
      </c>
      <c r="AH52" s="26">
        <f t="shared" si="39"/>
        <v>14303.751508221419</v>
      </c>
      <c r="AI52" s="26">
        <f t="shared" si="39"/>
        <v>14949.209834045327</v>
      </c>
      <c r="AJ52" s="26">
        <f t="shared" si="39"/>
        <v>15611.069255928418</v>
      </c>
      <c r="AK52" s="26">
        <f t="shared" si="39"/>
        <v>16289.746525721557</v>
      </c>
      <c r="AL52" s="26">
        <f t="shared" si="39"/>
        <v>16985.668984940145</v>
      </c>
      <c r="AM52" s="26">
        <f t="shared" si="39"/>
        <v>17699.274833847474</v>
      </c>
      <c r="AN52" s="26">
        <f t="shared" si="39"/>
        <v>18431.013407375536</v>
      </c>
      <c r="AO52" s="26">
        <f t="shared" si="39"/>
        <v>19181.345458056945</v>
      </c>
      <c r="AP52" s="26">
        <f t="shared" si="39"/>
        <v>19950.743446146174</v>
      </c>
      <c r="AQ52" s="26">
        <f t="shared" si="39"/>
        <v>20739.69183711275</v>
      </c>
      <c r="AR52" s="26">
        <f t="shared" si="39"/>
        <v>21548.687406693782</v>
      </c>
      <c r="AS52" s="26">
        <f t="shared" si="39"/>
        <v>22378.239553697873</v>
      </c>
      <c r="AT52" s="26">
        <f>AT51*AT50</f>
        <v>23228.870620757334</v>
      </c>
      <c r="AU52" s="26">
        <f t="shared" ref="AU52:AY52" si="40">AU51*AU50</f>
        <v>24101.11622323078</v>
      </c>
      <c r="AV52" s="26">
        <f t="shared" si="40"/>
        <v>24995.525586463074</v>
      </c>
      <c r="AW52" s="26">
        <f t="shared" si="40"/>
        <v>25912.661891615102</v>
      </c>
      <c r="AX52" s="26">
        <f t="shared" si="40"/>
        <v>26853.102630281039</v>
      </c>
      <c r="AY52" s="26">
        <f t="shared" si="40"/>
        <v>27817.439968116483</v>
      </c>
    </row>
    <row r="53" spans="1:51" x14ac:dyDescent="0.35">
      <c r="A53" s="2" t="s">
        <v>215</v>
      </c>
      <c r="B53" s="26">
        <f>B52*$B$27</f>
        <v>43.146000000000001</v>
      </c>
      <c r="C53" s="26">
        <f>C52*$B$27</f>
        <v>87.388339860000002</v>
      </c>
      <c r="D53" s="26">
        <f t="shared" ref="D53:AS53" si="41">D52*$B$27</f>
        <v>132.75487757584258</v>
      </c>
      <c r="E53" s="26">
        <f t="shared" si="41"/>
        <v>179.27417901504475</v>
      </c>
      <c r="F53" s="26">
        <f t="shared" si="41"/>
        <v>226.97553590381702</v>
      </c>
      <c r="G53" s="26">
        <f t="shared" si="41"/>
        <v>275.88898427113304</v>
      </c>
      <c r="H53" s="26">
        <f t="shared" si="41"/>
        <v>326.04532336146247</v>
      </c>
      <c r="I53" s="26">
        <f t="shared" si="41"/>
        <v>377.47613502807729</v>
      </c>
      <c r="J53" s="26">
        <f t="shared" si="41"/>
        <v>430.21380361914072</v>
      </c>
      <c r="K53" s="26">
        <f t="shared" si="41"/>
        <v>484.29153636910303</v>
      </c>
      <c r="L53" s="26">
        <f t="shared" si="41"/>
        <v>539.74338430824207</v>
      </c>
      <c r="M53" s="26">
        <f t="shared" si="41"/>
        <v>596.60426370351433</v>
      </c>
      <c r="N53" s="26">
        <f t="shared" si="41"/>
        <v>654.90997804422068</v>
      </c>
      <c r="O53" s="26">
        <f t="shared" si="41"/>
        <v>714.69724058632437</v>
      </c>
      <c r="P53" s="26">
        <f t="shared" si="41"/>
        <v>776.00369746962281</v>
      </c>
      <c r="Q53" s="26">
        <f t="shared" si="41"/>
        <v>838.86795142232597</v>
      </c>
      <c r="R53" s="26">
        <f t="shared" si="41"/>
        <v>903.32958606796717</v>
      </c>
      <c r="S53" s="26">
        <f t="shared" si="41"/>
        <v>969.42919084995435</v>
      </c>
      <c r="T53" s="26">
        <f t="shared" si="41"/>
        <v>1037.2083865894517</v>
      </c>
      <c r="U53" s="26">
        <f t="shared" si="41"/>
        <v>1106.7098516926897</v>
      </c>
      <c r="V53" s="26">
        <f t="shared" si="41"/>
        <v>1177.9773490242007</v>
      </c>
      <c r="W53" s="26">
        <f t="shared" si="41"/>
        <v>1251.0557534629058</v>
      </c>
      <c r="X53" s="26">
        <f t="shared" si="41"/>
        <v>1325.9910801583983</v>
      </c>
      <c r="Y53" s="26">
        <f t="shared" si="41"/>
        <v>1402.8305135052231</v>
      </c>
      <c r="Z53" s="26">
        <f t="shared" si="41"/>
        <v>1481.6224368533906</v>
      </c>
      <c r="AA53" s="26">
        <f t="shared" si="41"/>
        <v>1562.4164629738357</v>
      </c>
      <c r="AB53" s="26">
        <f t="shared" si="41"/>
        <v>1645.2634652980007</v>
      </c>
      <c r="AC53" s="26">
        <f t="shared" si="41"/>
        <v>1730.2156099512229</v>
      </c>
      <c r="AD53" s="26">
        <f t="shared" si="41"/>
        <v>1817.3263886000836</v>
      </c>
      <c r="AE53" s="26">
        <f t="shared" si="41"/>
        <v>1906.6506521344115</v>
      </c>
      <c r="AF53" s="26">
        <f t="shared" si="41"/>
        <v>1998.244645205147</v>
      </c>
      <c r="AG53" s="26">
        <f t="shared" si="41"/>
        <v>2092.1660416398095</v>
      </c>
      <c r="AH53" s="26">
        <f t="shared" si="41"/>
        <v>2188.4739807578771</v>
      </c>
      <c r="AI53" s="26">
        <f t="shared" si="41"/>
        <v>2287.2291046089349</v>
      </c>
      <c r="AJ53" s="26">
        <f t="shared" si="41"/>
        <v>2388.4935961570477</v>
      </c>
      <c r="AK53" s="26">
        <f t="shared" si="41"/>
        <v>2492.3312184353981</v>
      </c>
      <c r="AL53" s="26">
        <f t="shared" si="41"/>
        <v>2598.8073546958422</v>
      </c>
      <c r="AM53" s="26">
        <f t="shared" si="41"/>
        <v>2707.9890495786635</v>
      </c>
      <c r="AN53" s="26">
        <f t="shared" si="41"/>
        <v>2819.9450513284569</v>
      </c>
      <c r="AO53" s="26">
        <f t="shared" si="41"/>
        <v>2934.7458550827128</v>
      </c>
      <c r="AP53" s="26">
        <f t="shared" si="41"/>
        <v>3052.4637472603645</v>
      </c>
      <c r="AQ53" s="26">
        <f t="shared" si="41"/>
        <v>3173.1728510782509</v>
      </c>
      <c r="AR53" s="26">
        <f t="shared" si="41"/>
        <v>3296.9491732241486</v>
      </c>
      <c r="AS53" s="26">
        <f t="shared" si="41"/>
        <v>3423.8706517157743</v>
      </c>
      <c r="AT53" s="26">
        <f>AT52*$B$27</f>
        <v>3554.0172049758721</v>
      </c>
      <c r="AU53" s="26">
        <f t="shared" ref="AU53:AY53" si="42">AU52*$B$27</f>
        <v>3687.4707821543093</v>
      </c>
      <c r="AV53" s="26">
        <f t="shared" si="42"/>
        <v>3824.3154147288501</v>
      </c>
      <c r="AW53" s="26">
        <f t="shared" si="42"/>
        <v>3964.6372694171105</v>
      </c>
      <c r="AX53" s="26">
        <f t="shared" si="42"/>
        <v>4108.5247024329992</v>
      </c>
      <c r="AY53" s="26">
        <f t="shared" si="42"/>
        <v>4256.0683151218218</v>
      </c>
    </row>
    <row r="54" spans="1:51" x14ac:dyDescent="0.35">
      <c r="A54" s="2" t="s">
        <v>258</v>
      </c>
      <c r="B54" s="27">
        <f>B50+(B52-B53)</f>
        <v>9638.8539999999994</v>
      </c>
      <c r="C54" s="27">
        <f>C50+(C52-C53)</f>
        <v>19522.631280139998</v>
      </c>
      <c r="D54" s="27">
        <f t="shared" ref="D54:AS54" si="43">D50+(D52-D53)</f>
        <v>29657.555340968356</v>
      </c>
      <c r="E54" s="27">
        <f t="shared" si="43"/>
        <v>40050.007822182364</v>
      </c>
      <c r="F54" s="27">
        <f t="shared" si="43"/>
        <v>50706.53252094402</v>
      </c>
      <c r="G54" s="27">
        <f t="shared" si="43"/>
        <v>61633.839512301209</v>
      </c>
      <c r="H54" s="27">
        <f t="shared" si="43"/>
        <v>72838.809374308781</v>
      </c>
      <c r="I54" s="27">
        <f t="shared" si="43"/>
        <v>84328.497520509962</v>
      </c>
      <c r="J54" s="27">
        <f t="shared" si="43"/>
        <v>96110.138642506121</v>
      </c>
      <c r="K54" s="27">
        <f t="shared" si="43"/>
        <v>108191.15126541221</v>
      </c>
      <c r="L54" s="27">
        <f t="shared" si="43"/>
        <v>120579.14241906632</v>
      </c>
      <c r="M54" s="27">
        <f t="shared" si="43"/>
        <v>133281.91242793479</v>
      </c>
      <c r="N54" s="27">
        <f t="shared" si="43"/>
        <v>146307.45982272862</v>
      </c>
      <c r="O54" s="27">
        <f t="shared" si="43"/>
        <v>159663.98637682415</v>
      </c>
      <c r="P54" s="27">
        <f t="shared" si="43"/>
        <v>173359.90227065925</v>
      </c>
      <c r="Q54" s="27">
        <f t="shared" si="43"/>
        <v>187403.83138735671</v>
      </c>
      <c r="R54" s="27">
        <f t="shared" si="43"/>
        <v>201804.61674290945</v>
      </c>
      <c r="S54" s="27">
        <f t="shared" si="43"/>
        <v>216571.32605434678</v>
      </c>
      <c r="T54" s="27">
        <f t="shared" si="43"/>
        <v>231713.25744938772</v>
      </c>
      <c r="U54" s="27">
        <f t="shared" si="43"/>
        <v>247239.94532117667</v>
      </c>
      <c r="V54" s="27">
        <f t="shared" si="43"/>
        <v>263161.16633178777</v>
      </c>
      <c r="W54" s="27">
        <f t="shared" si="43"/>
        <v>279486.94556827849</v>
      </c>
      <c r="X54" s="27">
        <f t="shared" si="43"/>
        <v>296227.56285516842</v>
      </c>
      <c r="Y54" s="27">
        <f t="shared" si="43"/>
        <v>313393.55922731827</v>
      </c>
      <c r="Z54" s="27">
        <f t="shared" si="43"/>
        <v>330995.74356728443</v>
      </c>
      <c r="AA54" s="27">
        <f t="shared" si="43"/>
        <v>349045.19941132911</v>
      </c>
      <c r="AB54" s="27">
        <f t="shared" si="43"/>
        <v>367553.29192837101</v>
      </c>
      <c r="AC54" s="27">
        <f t="shared" si="43"/>
        <v>386531.67507627094</v>
      </c>
      <c r="AD54" s="27">
        <f t="shared" si="43"/>
        <v>405992.29893995897</v>
      </c>
      <c r="AE54" s="27">
        <f t="shared" si="43"/>
        <v>425947.41725602333</v>
      </c>
      <c r="AF54" s="27">
        <f t="shared" si="43"/>
        <v>446409.59512849886</v>
      </c>
      <c r="AG54" s="27">
        <f t="shared" si="43"/>
        <v>467391.71694071399</v>
      </c>
      <c r="AH54" s="27">
        <f t="shared" si="43"/>
        <v>488906.99446817755</v>
      </c>
      <c r="AI54" s="27">
        <f t="shared" si="43"/>
        <v>510968.97519761394</v>
      </c>
      <c r="AJ54" s="27">
        <f t="shared" si="43"/>
        <v>533591.55085738527</v>
      </c>
      <c r="AK54" s="27">
        <f t="shared" si="43"/>
        <v>556788.96616467147</v>
      </c>
      <c r="AL54" s="27">
        <f t="shared" si="43"/>
        <v>580575.82779491576</v>
      </c>
      <c r="AM54" s="27">
        <f t="shared" si="43"/>
        <v>604967.11357918452</v>
      </c>
      <c r="AN54" s="27">
        <f t="shared" si="43"/>
        <v>629978.18193523155</v>
      </c>
      <c r="AO54" s="27">
        <f t="shared" si="43"/>
        <v>655624.7815382058</v>
      </c>
      <c r="AP54" s="27">
        <f t="shared" si="43"/>
        <v>681923.06123709166</v>
      </c>
      <c r="AQ54" s="27">
        <f t="shared" si="43"/>
        <v>708889.5802231261</v>
      </c>
      <c r="AR54" s="27">
        <f t="shared" si="43"/>
        <v>736541.31845659576</v>
      </c>
      <c r="AS54" s="27">
        <f t="shared" si="43"/>
        <v>764895.68735857785</v>
      </c>
      <c r="AT54" s="27">
        <f>AT50+(AT52-AT53)</f>
        <v>793970.54077435937</v>
      </c>
      <c r="AU54" s="27">
        <f t="shared" ref="AU54:AY54" si="44">AU50+(AU52-AU53)</f>
        <v>823784.18621543585</v>
      </c>
      <c r="AV54" s="27">
        <f t="shared" si="44"/>
        <v>854355.39638717007</v>
      </c>
      <c r="AW54" s="27">
        <f t="shared" si="44"/>
        <v>885703.42100936803</v>
      </c>
      <c r="AX54" s="27">
        <f t="shared" si="44"/>
        <v>917847.99893721612</v>
      </c>
      <c r="AY54" s="27">
        <f t="shared" si="44"/>
        <v>950809.37059021078</v>
      </c>
    </row>
  </sheetData>
  <hyperlinks>
    <hyperlink ref="B42" r:id="rId1" xr:uid="{D9EEB048-4E4E-4B28-B93E-AFB36DB5228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DA9BC-CFF1-4339-BFD8-7CA59687F904}">
  <sheetPr>
    <tabColor theme="8" tint="0.79998168889431442"/>
  </sheetPr>
  <dimension ref="A1:AY54"/>
  <sheetViews>
    <sheetView topLeftCell="A19" zoomScale="90" zoomScaleNormal="115" workbookViewId="0">
      <selection activeCell="B31" sqref="B31"/>
    </sheetView>
  </sheetViews>
  <sheetFormatPr defaultColWidth="9.1796875" defaultRowHeight="14.5" x14ac:dyDescent="0.35"/>
  <cols>
    <col min="1" max="1" width="30" style="2" bestFit="1" customWidth="1"/>
    <col min="2" max="2" width="25.7265625" style="2" customWidth="1"/>
    <col min="3" max="3" width="19.26953125" style="2" customWidth="1"/>
    <col min="4" max="11" width="12.7265625" style="2" bestFit="1" customWidth="1"/>
    <col min="12" max="46" width="14.453125" style="2" bestFit="1" customWidth="1"/>
    <col min="47" max="47" width="9.1796875" style="2"/>
    <col min="48" max="48" width="11.7265625" style="2" bestFit="1" customWidth="1"/>
    <col min="49" max="49" width="13.26953125" style="2" bestFit="1" customWidth="1"/>
    <col min="50" max="51" width="13.81640625" style="2" bestFit="1" customWidth="1"/>
    <col min="52" max="16384" width="9.1796875" style="2"/>
  </cols>
  <sheetData>
    <row r="1" spans="1:51" x14ac:dyDescent="0.35">
      <c r="A1" s="2" t="s">
        <v>1</v>
      </c>
      <c r="B1" s="2">
        <v>2010</v>
      </c>
      <c r="C1" s="2">
        <v>2011</v>
      </c>
      <c r="D1" s="2">
        <v>2012</v>
      </c>
      <c r="E1" s="2">
        <v>2013</v>
      </c>
      <c r="F1" s="2">
        <v>2014</v>
      </c>
      <c r="G1" s="2">
        <v>2015</v>
      </c>
      <c r="H1" s="2">
        <v>2016</v>
      </c>
      <c r="I1" s="2">
        <v>2017</v>
      </c>
      <c r="J1" s="2">
        <v>2018</v>
      </c>
      <c r="K1" s="2">
        <v>2019</v>
      </c>
      <c r="L1" s="2">
        <v>2020</v>
      </c>
      <c r="M1" s="2">
        <v>2021</v>
      </c>
      <c r="N1" s="2">
        <v>2022</v>
      </c>
      <c r="O1" s="2">
        <v>2023</v>
      </c>
      <c r="P1" s="2">
        <v>2024</v>
      </c>
      <c r="Q1" s="2">
        <v>2025</v>
      </c>
      <c r="R1" s="2">
        <v>2026</v>
      </c>
      <c r="S1" s="2">
        <v>2027</v>
      </c>
      <c r="T1" s="2">
        <v>2028</v>
      </c>
      <c r="U1" s="2">
        <v>2029</v>
      </c>
      <c r="V1" s="2">
        <v>2030</v>
      </c>
      <c r="W1" s="2">
        <v>2031</v>
      </c>
      <c r="X1" s="2">
        <v>2032</v>
      </c>
      <c r="Y1" s="2">
        <v>2033</v>
      </c>
      <c r="Z1" s="2">
        <v>2034</v>
      </c>
      <c r="AA1" s="2">
        <v>2035</v>
      </c>
      <c r="AB1" s="2">
        <v>2036</v>
      </c>
      <c r="AC1" s="2">
        <v>2037</v>
      </c>
      <c r="AD1" s="2">
        <v>2038</v>
      </c>
      <c r="AE1" s="2">
        <v>2039</v>
      </c>
      <c r="AF1" s="2">
        <v>2040</v>
      </c>
      <c r="AG1" s="2">
        <v>2041</v>
      </c>
      <c r="AH1" s="2">
        <v>2042</v>
      </c>
      <c r="AI1" s="2">
        <v>2043</v>
      </c>
      <c r="AJ1" s="2">
        <v>2044</v>
      </c>
      <c r="AK1" s="2">
        <v>2045</v>
      </c>
      <c r="AL1" s="2">
        <v>2046</v>
      </c>
      <c r="AM1" s="2">
        <v>2047</v>
      </c>
      <c r="AN1" s="2">
        <v>2048</v>
      </c>
      <c r="AO1" s="2">
        <v>2049</v>
      </c>
      <c r="AP1" s="2">
        <v>2050</v>
      </c>
      <c r="AQ1" s="2">
        <v>2051</v>
      </c>
      <c r="AR1" s="2">
        <v>2052</v>
      </c>
      <c r="AS1" s="2">
        <v>2053</v>
      </c>
      <c r="AT1" s="2">
        <v>2054</v>
      </c>
      <c r="AU1" s="2">
        <v>2055</v>
      </c>
      <c r="AV1" s="2">
        <v>2056</v>
      </c>
      <c r="AW1" s="2">
        <v>2057</v>
      </c>
      <c r="AX1" s="2">
        <v>2058</v>
      </c>
      <c r="AY1" s="2">
        <v>2059</v>
      </c>
    </row>
    <row r="2" spans="1:51" x14ac:dyDescent="0.35">
      <c r="A2" s="2" t="s">
        <v>176</v>
      </c>
      <c r="B2" s="28" cm="1">
        <f t="array" ref="B2:P2">TRANSPOSE('Income - P2 Helper'!N3:N17)</f>
        <v>63888.926219270012</v>
      </c>
      <c r="C2" s="28">
        <v>63888.926219270012</v>
      </c>
      <c r="D2" s="28">
        <v>63888.926219270012</v>
      </c>
      <c r="E2" s="28">
        <v>65864.872391000012</v>
      </c>
      <c r="F2" s="28">
        <v>65864.872391000012</v>
      </c>
      <c r="G2" s="28">
        <v>65864.872391000012</v>
      </c>
      <c r="H2" s="28">
        <v>65864.872391000012</v>
      </c>
      <c r="I2" s="28">
        <v>67901.930300000007</v>
      </c>
      <c r="J2" s="28">
        <v>67901.930300000007</v>
      </c>
      <c r="K2" s="28">
        <v>67901.930300000007</v>
      </c>
      <c r="L2" s="28">
        <v>67901.930300000007</v>
      </c>
      <c r="M2" s="28">
        <v>70001.990000000005</v>
      </c>
      <c r="N2" s="28">
        <v>70001.990000000005</v>
      </c>
      <c r="O2" s="28">
        <v>70001.990000000005</v>
      </c>
      <c r="P2" s="28">
        <v>72167</v>
      </c>
      <c r="Q2" s="28" cm="1">
        <f t="array" ref="Q2:AY2">TRANSPOSE(Income!P3:P37)</f>
        <v>72167</v>
      </c>
      <c r="R2" s="28">
        <v>72167</v>
      </c>
      <c r="S2" s="28">
        <v>74332.009999999995</v>
      </c>
      <c r="T2" s="28">
        <v>74332.009999999995</v>
      </c>
      <c r="U2" s="28">
        <v>74332.009999999995</v>
      </c>
      <c r="V2" s="28">
        <v>74332.009999999995</v>
      </c>
      <c r="W2" s="28">
        <v>76561.970300000001</v>
      </c>
      <c r="X2" s="28">
        <v>76561.970300000001</v>
      </c>
      <c r="Y2" s="28">
        <v>76561.970300000001</v>
      </c>
      <c r="Z2" s="28">
        <v>76561.970300000001</v>
      </c>
      <c r="AA2" s="28">
        <v>78858.829408999998</v>
      </c>
      <c r="AB2" s="28">
        <v>78858.829408999998</v>
      </c>
      <c r="AC2" s="28">
        <v>78858.829408999998</v>
      </c>
      <c r="AD2" s="28">
        <v>81224.594291269997</v>
      </c>
      <c r="AE2" s="28">
        <v>81224.594291269997</v>
      </c>
      <c r="AF2" s="28">
        <v>81224.594291269997</v>
      </c>
      <c r="AG2" s="28">
        <v>81224.594291269997</v>
      </c>
      <c r="AH2" s="28">
        <v>81224.594291269997</v>
      </c>
      <c r="AI2" s="28">
        <v>83661.332120008097</v>
      </c>
      <c r="AJ2" s="28">
        <v>83661.332120008097</v>
      </c>
      <c r="AK2" s="28">
        <v>83661.332120008097</v>
      </c>
      <c r="AL2" s="28">
        <v>83661.332120008097</v>
      </c>
      <c r="AM2" s="28">
        <v>86171.17208360834</v>
      </c>
      <c r="AN2" s="28">
        <v>86171.17208360834</v>
      </c>
      <c r="AO2" s="28">
        <v>86171.17208360834</v>
      </c>
      <c r="AP2" s="28">
        <v>86171.17208360834</v>
      </c>
      <c r="AQ2" s="28">
        <v>86171.17208360834</v>
      </c>
      <c r="AR2" s="28">
        <v>86171.17208360834</v>
      </c>
      <c r="AS2" s="28">
        <v>86171.17208360834</v>
      </c>
      <c r="AT2" s="28">
        <v>86171.17208360834</v>
      </c>
      <c r="AU2" s="2">
        <v>86171.17208360834</v>
      </c>
      <c r="AV2" s="2">
        <v>86171.17208360834</v>
      </c>
      <c r="AW2" s="2">
        <v>86171.17208360834</v>
      </c>
      <c r="AX2" s="2">
        <v>86171.17208360834</v>
      </c>
      <c r="AY2" s="2">
        <v>86171.17208360834</v>
      </c>
    </row>
    <row r="3" spans="1:51" x14ac:dyDescent="0.35">
      <c r="A3" s="2" t="s">
        <v>178</v>
      </c>
      <c r="B3" s="33">
        <f>'Salary Variables'!$C$12</f>
        <v>0.05</v>
      </c>
      <c r="C3" s="33">
        <f>'Salary Variables'!$C$12</f>
        <v>0.05</v>
      </c>
      <c r="D3" s="33">
        <f>'Salary Variables'!$C$12</f>
        <v>0.05</v>
      </c>
      <c r="E3" s="33">
        <f>'Salary Variables'!$C$12</f>
        <v>0.05</v>
      </c>
      <c r="F3" s="33">
        <f>'Salary Variables'!$C$12</f>
        <v>0.05</v>
      </c>
      <c r="G3" s="33">
        <f>'Salary Variables'!$C$12</f>
        <v>0.05</v>
      </c>
      <c r="H3" s="33">
        <f>'Salary Variables'!$C$12</f>
        <v>0.05</v>
      </c>
      <c r="I3" s="33">
        <f>'Salary Variables'!$C$12</f>
        <v>0.05</v>
      </c>
      <c r="J3" s="33">
        <f>'Salary Variables'!$C$12</f>
        <v>0.05</v>
      </c>
      <c r="K3" s="33">
        <f>'Salary Variables'!$C$12</f>
        <v>0.05</v>
      </c>
      <c r="L3" s="33">
        <f>'Salary Variables'!$C$12</f>
        <v>0.05</v>
      </c>
      <c r="M3" s="33">
        <f>'Salary Variables'!$C$12</f>
        <v>0.05</v>
      </c>
      <c r="N3" s="33">
        <f>'Salary Variables'!$C$12</f>
        <v>0.05</v>
      </c>
      <c r="O3" s="33">
        <f>'Salary Variables'!$C$12</f>
        <v>0.05</v>
      </c>
      <c r="P3" s="33">
        <f>'Salary Variables'!$C$12</f>
        <v>0.05</v>
      </c>
      <c r="Q3" s="33">
        <f>'Salary Variables'!$C$12</f>
        <v>0.05</v>
      </c>
      <c r="R3" s="33">
        <f>'Salary Variables'!$C$12</f>
        <v>0.05</v>
      </c>
      <c r="S3" s="33">
        <f>'Salary Variables'!$C$12</f>
        <v>0.05</v>
      </c>
      <c r="T3" s="33">
        <f>'Salary Variables'!$C$12</f>
        <v>0.05</v>
      </c>
      <c r="U3" s="33">
        <f>'Salary Variables'!$C$12</f>
        <v>0.05</v>
      </c>
      <c r="V3" s="33">
        <f>'Salary Variables'!$C$12</f>
        <v>0.05</v>
      </c>
      <c r="W3" s="33">
        <f>'Salary Variables'!$C$12</f>
        <v>0.05</v>
      </c>
      <c r="X3" s="33">
        <f>'Salary Variables'!$C$12</f>
        <v>0.05</v>
      </c>
      <c r="Y3" s="33">
        <f>'Salary Variables'!$C$12</f>
        <v>0.05</v>
      </c>
      <c r="Z3" s="33">
        <f>'Salary Variables'!$C$12</f>
        <v>0.05</v>
      </c>
      <c r="AA3" s="33">
        <f>'Salary Variables'!$C$12</f>
        <v>0.05</v>
      </c>
      <c r="AB3" s="33">
        <f>'Salary Variables'!$C$12</f>
        <v>0.05</v>
      </c>
      <c r="AC3" s="33">
        <f>'Salary Variables'!$C$12</f>
        <v>0.05</v>
      </c>
      <c r="AD3" s="33">
        <f>'Salary Variables'!$C$12</f>
        <v>0.05</v>
      </c>
      <c r="AE3" s="33">
        <f>'Salary Variables'!$C$12</f>
        <v>0.05</v>
      </c>
      <c r="AF3" s="33">
        <f>'Salary Variables'!$C$12</f>
        <v>0.05</v>
      </c>
      <c r="AG3" s="33">
        <f>'Salary Variables'!$C$12</f>
        <v>0.05</v>
      </c>
      <c r="AH3" s="33">
        <f>'Salary Variables'!$C$12</f>
        <v>0.05</v>
      </c>
      <c r="AI3" s="33">
        <f>'Salary Variables'!$C$12</f>
        <v>0.05</v>
      </c>
      <c r="AJ3" s="33">
        <f>'Salary Variables'!$C$12</f>
        <v>0.05</v>
      </c>
      <c r="AK3" s="33">
        <f>'Salary Variables'!$C$12</f>
        <v>0.05</v>
      </c>
      <c r="AL3" s="33">
        <f>'Salary Variables'!$C$12</f>
        <v>0.05</v>
      </c>
      <c r="AM3" s="33">
        <f>'Salary Variables'!$C$12</f>
        <v>0.05</v>
      </c>
      <c r="AN3" s="33">
        <f>'Salary Variables'!$C$12</f>
        <v>0.05</v>
      </c>
      <c r="AO3" s="33">
        <f>'Salary Variables'!$C$12</f>
        <v>0.05</v>
      </c>
      <c r="AP3" s="33">
        <f>'Salary Variables'!$C$12</f>
        <v>0.05</v>
      </c>
      <c r="AQ3" s="33">
        <f>'Salary Variables'!$C$12</f>
        <v>0.05</v>
      </c>
      <c r="AR3" s="33">
        <f>'Salary Variables'!$C$12</f>
        <v>0.05</v>
      </c>
      <c r="AS3" s="33">
        <f>'Salary Variables'!$C$12</f>
        <v>0.05</v>
      </c>
      <c r="AT3" s="33">
        <f>'Salary Variables'!$C$12</f>
        <v>0.05</v>
      </c>
      <c r="AU3" s="33">
        <f>'Salary Variables'!$C$12</f>
        <v>0.05</v>
      </c>
      <c r="AV3" s="33">
        <f>'Salary Variables'!$C$12</f>
        <v>0.05</v>
      </c>
      <c r="AW3" s="33">
        <f>'Salary Variables'!$C$12</f>
        <v>0.05</v>
      </c>
      <c r="AX3" s="33">
        <f>'Salary Variables'!$C$12</f>
        <v>0.05</v>
      </c>
      <c r="AY3" s="33">
        <f>'Salary Variables'!$C$12</f>
        <v>0.05</v>
      </c>
    </row>
    <row r="4" spans="1:51" x14ac:dyDescent="0.35">
      <c r="A4" s="2" t="s">
        <v>177</v>
      </c>
      <c r="B4" s="28">
        <f>B3*B2</f>
        <v>3194.4463109635008</v>
      </c>
      <c r="C4" s="28">
        <f t="shared" ref="C4:AY4" si="0">C3*C2</f>
        <v>3194.4463109635008</v>
      </c>
      <c r="D4" s="28">
        <f t="shared" si="0"/>
        <v>3194.4463109635008</v>
      </c>
      <c r="E4" s="28">
        <f t="shared" si="0"/>
        <v>3293.2436195500009</v>
      </c>
      <c r="F4" s="28">
        <f t="shared" si="0"/>
        <v>3293.2436195500009</v>
      </c>
      <c r="G4" s="28">
        <f t="shared" si="0"/>
        <v>3293.2436195500009</v>
      </c>
      <c r="H4" s="28">
        <f t="shared" si="0"/>
        <v>3293.2436195500009</v>
      </c>
      <c r="I4" s="28">
        <f t="shared" si="0"/>
        <v>3395.0965150000006</v>
      </c>
      <c r="J4" s="28">
        <f t="shared" si="0"/>
        <v>3395.0965150000006</v>
      </c>
      <c r="K4" s="28">
        <f t="shared" si="0"/>
        <v>3395.0965150000006</v>
      </c>
      <c r="L4" s="28">
        <f t="shared" si="0"/>
        <v>3395.0965150000006</v>
      </c>
      <c r="M4" s="28">
        <f t="shared" si="0"/>
        <v>3500.0995000000003</v>
      </c>
      <c r="N4" s="28">
        <f t="shared" si="0"/>
        <v>3500.0995000000003</v>
      </c>
      <c r="O4" s="28">
        <f t="shared" si="0"/>
        <v>3500.0995000000003</v>
      </c>
      <c r="P4" s="28">
        <f t="shared" si="0"/>
        <v>3608.3500000000004</v>
      </c>
      <c r="Q4" s="28">
        <f t="shared" si="0"/>
        <v>3608.3500000000004</v>
      </c>
      <c r="R4" s="28">
        <f t="shared" si="0"/>
        <v>3608.3500000000004</v>
      </c>
      <c r="S4" s="28">
        <f t="shared" si="0"/>
        <v>3716.6005</v>
      </c>
      <c r="T4" s="28">
        <f t="shared" si="0"/>
        <v>3716.6005</v>
      </c>
      <c r="U4" s="28">
        <f t="shared" si="0"/>
        <v>3716.6005</v>
      </c>
      <c r="V4" s="28">
        <f t="shared" si="0"/>
        <v>3716.6005</v>
      </c>
      <c r="W4" s="28">
        <f t="shared" si="0"/>
        <v>3828.0985150000001</v>
      </c>
      <c r="X4" s="28">
        <f t="shared" si="0"/>
        <v>3828.0985150000001</v>
      </c>
      <c r="Y4" s="28">
        <f t="shared" si="0"/>
        <v>3828.0985150000001</v>
      </c>
      <c r="Z4" s="28">
        <f t="shared" si="0"/>
        <v>3828.0985150000001</v>
      </c>
      <c r="AA4" s="28">
        <f t="shared" si="0"/>
        <v>3942.94147045</v>
      </c>
      <c r="AB4" s="28">
        <f t="shared" si="0"/>
        <v>3942.94147045</v>
      </c>
      <c r="AC4" s="28">
        <f t="shared" si="0"/>
        <v>3942.94147045</v>
      </c>
      <c r="AD4" s="28">
        <f t="shared" si="0"/>
        <v>4061.2297145635002</v>
      </c>
      <c r="AE4" s="28">
        <f t="shared" si="0"/>
        <v>4061.2297145635002</v>
      </c>
      <c r="AF4" s="28">
        <f t="shared" si="0"/>
        <v>4061.2297145635002</v>
      </c>
      <c r="AG4" s="28">
        <f t="shared" si="0"/>
        <v>4061.2297145635002</v>
      </c>
      <c r="AH4" s="28">
        <f t="shared" si="0"/>
        <v>4061.2297145635002</v>
      </c>
      <c r="AI4" s="28">
        <f t="shared" si="0"/>
        <v>4183.066606000405</v>
      </c>
      <c r="AJ4" s="28">
        <f t="shared" si="0"/>
        <v>4183.066606000405</v>
      </c>
      <c r="AK4" s="28">
        <f t="shared" si="0"/>
        <v>4183.066606000405</v>
      </c>
      <c r="AL4" s="28">
        <f t="shared" si="0"/>
        <v>4183.066606000405</v>
      </c>
      <c r="AM4" s="28">
        <f t="shared" si="0"/>
        <v>4308.5586041804172</v>
      </c>
      <c r="AN4" s="28">
        <f t="shared" si="0"/>
        <v>4308.5586041804172</v>
      </c>
      <c r="AO4" s="28">
        <f t="shared" si="0"/>
        <v>4308.5586041804172</v>
      </c>
      <c r="AP4" s="28">
        <f t="shared" si="0"/>
        <v>4308.5586041804172</v>
      </c>
      <c r="AQ4" s="28">
        <f t="shared" si="0"/>
        <v>4308.5586041804172</v>
      </c>
      <c r="AR4" s="28">
        <f t="shared" si="0"/>
        <v>4308.5586041804172</v>
      </c>
      <c r="AS4" s="28">
        <f t="shared" si="0"/>
        <v>4308.5586041804172</v>
      </c>
      <c r="AT4" s="28">
        <f t="shared" si="0"/>
        <v>4308.5586041804172</v>
      </c>
      <c r="AU4" s="28">
        <f t="shared" si="0"/>
        <v>4308.5586041804172</v>
      </c>
      <c r="AV4" s="28">
        <f t="shared" si="0"/>
        <v>4308.5586041804172</v>
      </c>
      <c r="AW4" s="28">
        <f t="shared" si="0"/>
        <v>4308.5586041804172</v>
      </c>
      <c r="AX4" s="28">
        <f t="shared" si="0"/>
        <v>4308.5586041804172</v>
      </c>
      <c r="AY4" s="28">
        <f t="shared" si="0"/>
        <v>4308.5586041804172</v>
      </c>
    </row>
    <row r="5" spans="1:51" x14ac:dyDescent="0.35">
      <c r="A5" s="2" t="s">
        <v>207</v>
      </c>
      <c r="B5" s="33">
        <f>'Salary Variables'!$C$13</f>
        <v>0.1</v>
      </c>
      <c r="C5" s="33">
        <f>'Salary Variables'!$C$13</f>
        <v>0.1</v>
      </c>
      <c r="D5" s="33">
        <f>'Salary Variables'!$C$13</f>
        <v>0.1</v>
      </c>
      <c r="E5" s="33">
        <f>'Salary Variables'!$C$13</f>
        <v>0.1</v>
      </c>
      <c r="F5" s="33">
        <f>'Salary Variables'!$C$13</f>
        <v>0.1</v>
      </c>
      <c r="G5" s="33">
        <f>'Salary Variables'!$C$13</f>
        <v>0.1</v>
      </c>
      <c r="H5" s="33">
        <f>'Salary Variables'!$C$13</f>
        <v>0.1</v>
      </c>
      <c r="I5" s="33">
        <f>'Salary Variables'!$C$13</f>
        <v>0.1</v>
      </c>
      <c r="J5" s="33">
        <f>'Salary Variables'!$C$13</f>
        <v>0.1</v>
      </c>
      <c r="K5" s="33">
        <f>'Salary Variables'!$C$13</f>
        <v>0.1</v>
      </c>
      <c r="L5" s="33">
        <f>'Salary Variables'!$C$13</f>
        <v>0.1</v>
      </c>
      <c r="M5" s="33">
        <f>'Salary Variables'!$C$13</f>
        <v>0.1</v>
      </c>
      <c r="N5" s="33">
        <f>'Salary Variables'!$C$13</f>
        <v>0.1</v>
      </c>
      <c r="O5" s="33">
        <f>'Salary Variables'!$C$13</f>
        <v>0.1</v>
      </c>
      <c r="P5" s="33">
        <f>'Salary Variables'!$C$13</f>
        <v>0.1</v>
      </c>
      <c r="Q5" s="33">
        <f>'Salary Variables'!$C$13</f>
        <v>0.1</v>
      </c>
      <c r="R5" s="33">
        <f>'Salary Variables'!$C$13</f>
        <v>0.1</v>
      </c>
      <c r="S5" s="33">
        <f>'Salary Variables'!$C$13</f>
        <v>0.1</v>
      </c>
      <c r="T5" s="33">
        <f>'Salary Variables'!$C$13</f>
        <v>0.1</v>
      </c>
      <c r="U5" s="33">
        <f>'Salary Variables'!$C$13</f>
        <v>0.1</v>
      </c>
      <c r="V5" s="33">
        <f>'Salary Variables'!$C$13</f>
        <v>0.1</v>
      </c>
      <c r="W5" s="33">
        <f>'Salary Variables'!$C$13</f>
        <v>0.1</v>
      </c>
      <c r="X5" s="33">
        <f>'Salary Variables'!$C$13</f>
        <v>0.1</v>
      </c>
      <c r="Y5" s="33">
        <f>'Salary Variables'!$C$13</f>
        <v>0.1</v>
      </c>
      <c r="Z5" s="33">
        <f>'Salary Variables'!$C$13</f>
        <v>0.1</v>
      </c>
      <c r="AA5" s="33">
        <f>'Salary Variables'!$C$13</f>
        <v>0.1</v>
      </c>
      <c r="AB5" s="33">
        <f>'Salary Variables'!$C$13</f>
        <v>0.1</v>
      </c>
      <c r="AC5" s="33">
        <f>'Salary Variables'!$C$13</f>
        <v>0.1</v>
      </c>
      <c r="AD5" s="33">
        <f>'Salary Variables'!$C$13</f>
        <v>0.1</v>
      </c>
      <c r="AE5" s="33">
        <f>'Salary Variables'!$C$13</f>
        <v>0.1</v>
      </c>
      <c r="AF5" s="33">
        <f>'Salary Variables'!$C$13</f>
        <v>0.1</v>
      </c>
      <c r="AG5" s="33">
        <f>'Salary Variables'!$C$13</f>
        <v>0.1</v>
      </c>
      <c r="AH5" s="33">
        <f>'Salary Variables'!$C$13</f>
        <v>0.1</v>
      </c>
      <c r="AI5" s="33">
        <f>'Salary Variables'!$C$13</f>
        <v>0.1</v>
      </c>
      <c r="AJ5" s="33">
        <f>'Salary Variables'!$C$13</f>
        <v>0.1</v>
      </c>
      <c r="AK5" s="33">
        <f>'Salary Variables'!$C$13</f>
        <v>0.1</v>
      </c>
      <c r="AL5" s="33">
        <f>'Salary Variables'!$C$13</f>
        <v>0.1</v>
      </c>
      <c r="AM5" s="33">
        <f>'Salary Variables'!$C$13</f>
        <v>0.1</v>
      </c>
      <c r="AN5" s="33">
        <f>'Salary Variables'!$C$13</f>
        <v>0.1</v>
      </c>
      <c r="AO5" s="33">
        <f>'Salary Variables'!$C$13</f>
        <v>0.1</v>
      </c>
      <c r="AP5" s="33">
        <f>'Salary Variables'!$C$13</f>
        <v>0.1</v>
      </c>
      <c r="AQ5" s="33">
        <f>'Salary Variables'!$C$13</f>
        <v>0.1</v>
      </c>
      <c r="AR5" s="33">
        <f>'Salary Variables'!$C$13</f>
        <v>0.1</v>
      </c>
      <c r="AS5" s="33">
        <f>'Salary Variables'!$C$13</f>
        <v>0.1</v>
      </c>
      <c r="AT5" s="33">
        <f>'Salary Variables'!$C$13</f>
        <v>0.1</v>
      </c>
      <c r="AU5" s="33">
        <f>'Salary Variables'!$C$13</f>
        <v>0.1</v>
      </c>
      <c r="AV5" s="33">
        <f>'Salary Variables'!$C$13</f>
        <v>0.1</v>
      </c>
      <c r="AW5" s="33">
        <f>'Salary Variables'!$C$13</f>
        <v>0.1</v>
      </c>
      <c r="AX5" s="33">
        <f>'Salary Variables'!$C$13</f>
        <v>0.1</v>
      </c>
      <c r="AY5" s="33">
        <f>'Salary Variables'!$C$13</f>
        <v>0.1</v>
      </c>
    </row>
    <row r="6" spans="1:51" x14ac:dyDescent="0.35">
      <c r="A6" s="2" t="s">
        <v>179</v>
      </c>
      <c r="B6" s="28">
        <f>B2*B5</f>
        <v>6388.8926219270015</v>
      </c>
      <c r="C6" s="28">
        <f t="shared" ref="C6:AY6" si="1">C4*2</f>
        <v>6388.8926219270015</v>
      </c>
      <c r="D6" s="28">
        <f t="shared" si="1"/>
        <v>6388.8926219270015</v>
      </c>
      <c r="E6" s="28">
        <f t="shared" si="1"/>
        <v>6586.4872391000017</v>
      </c>
      <c r="F6" s="28">
        <f t="shared" si="1"/>
        <v>6586.4872391000017</v>
      </c>
      <c r="G6" s="28">
        <f t="shared" si="1"/>
        <v>6586.4872391000017</v>
      </c>
      <c r="H6" s="28">
        <f t="shared" si="1"/>
        <v>6586.4872391000017</v>
      </c>
      <c r="I6" s="28">
        <f t="shared" si="1"/>
        <v>6790.1930300000013</v>
      </c>
      <c r="J6" s="28">
        <f t="shared" si="1"/>
        <v>6790.1930300000013</v>
      </c>
      <c r="K6" s="28">
        <f t="shared" si="1"/>
        <v>6790.1930300000013</v>
      </c>
      <c r="L6" s="28">
        <f t="shared" si="1"/>
        <v>6790.1930300000013</v>
      </c>
      <c r="M6" s="28">
        <f t="shared" si="1"/>
        <v>7000.1990000000005</v>
      </c>
      <c r="N6" s="28">
        <f t="shared" si="1"/>
        <v>7000.1990000000005</v>
      </c>
      <c r="O6" s="28">
        <f t="shared" si="1"/>
        <v>7000.1990000000005</v>
      </c>
      <c r="P6" s="28">
        <f t="shared" si="1"/>
        <v>7216.7000000000007</v>
      </c>
      <c r="Q6" s="28">
        <f t="shared" si="1"/>
        <v>7216.7000000000007</v>
      </c>
      <c r="R6" s="28">
        <f t="shared" si="1"/>
        <v>7216.7000000000007</v>
      </c>
      <c r="S6" s="28">
        <f t="shared" si="1"/>
        <v>7433.201</v>
      </c>
      <c r="T6" s="28">
        <f t="shared" si="1"/>
        <v>7433.201</v>
      </c>
      <c r="U6" s="28">
        <f t="shared" si="1"/>
        <v>7433.201</v>
      </c>
      <c r="V6" s="28">
        <f t="shared" si="1"/>
        <v>7433.201</v>
      </c>
      <c r="W6" s="28">
        <f t="shared" si="1"/>
        <v>7656.1970300000003</v>
      </c>
      <c r="X6" s="28">
        <f t="shared" si="1"/>
        <v>7656.1970300000003</v>
      </c>
      <c r="Y6" s="28">
        <f t="shared" si="1"/>
        <v>7656.1970300000003</v>
      </c>
      <c r="Z6" s="28">
        <f t="shared" si="1"/>
        <v>7656.1970300000003</v>
      </c>
      <c r="AA6" s="28">
        <f t="shared" si="1"/>
        <v>7885.8829409</v>
      </c>
      <c r="AB6" s="28">
        <f t="shared" si="1"/>
        <v>7885.8829409</v>
      </c>
      <c r="AC6" s="28">
        <f t="shared" si="1"/>
        <v>7885.8829409</v>
      </c>
      <c r="AD6" s="28">
        <f t="shared" si="1"/>
        <v>8122.4594291270005</v>
      </c>
      <c r="AE6" s="28">
        <f t="shared" si="1"/>
        <v>8122.4594291270005</v>
      </c>
      <c r="AF6" s="28">
        <f t="shared" si="1"/>
        <v>8122.4594291270005</v>
      </c>
      <c r="AG6" s="28">
        <f t="shared" si="1"/>
        <v>8122.4594291270005</v>
      </c>
      <c r="AH6" s="28">
        <f t="shared" si="1"/>
        <v>8122.4594291270005</v>
      </c>
      <c r="AI6" s="28">
        <f t="shared" si="1"/>
        <v>8366.1332120008101</v>
      </c>
      <c r="AJ6" s="28">
        <f t="shared" si="1"/>
        <v>8366.1332120008101</v>
      </c>
      <c r="AK6" s="28">
        <f t="shared" si="1"/>
        <v>8366.1332120008101</v>
      </c>
      <c r="AL6" s="28">
        <f t="shared" si="1"/>
        <v>8366.1332120008101</v>
      </c>
      <c r="AM6" s="28">
        <f t="shared" si="1"/>
        <v>8617.1172083608344</v>
      </c>
      <c r="AN6" s="28">
        <f t="shared" si="1"/>
        <v>8617.1172083608344</v>
      </c>
      <c r="AO6" s="28">
        <f t="shared" si="1"/>
        <v>8617.1172083608344</v>
      </c>
      <c r="AP6" s="28">
        <f t="shared" si="1"/>
        <v>8617.1172083608344</v>
      </c>
      <c r="AQ6" s="28">
        <f t="shared" si="1"/>
        <v>8617.1172083608344</v>
      </c>
      <c r="AR6" s="28">
        <f t="shared" si="1"/>
        <v>8617.1172083608344</v>
      </c>
      <c r="AS6" s="28">
        <f t="shared" si="1"/>
        <v>8617.1172083608344</v>
      </c>
      <c r="AT6" s="28">
        <f t="shared" si="1"/>
        <v>8617.1172083608344</v>
      </c>
      <c r="AU6" s="28">
        <f t="shared" si="1"/>
        <v>8617.1172083608344</v>
      </c>
      <c r="AV6" s="28">
        <f t="shared" si="1"/>
        <v>8617.1172083608344</v>
      </c>
      <c r="AW6" s="28">
        <f t="shared" si="1"/>
        <v>8617.1172083608344</v>
      </c>
      <c r="AX6" s="28">
        <f t="shared" si="1"/>
        <v>8617.1172083608344</v>
      </c>
      <c r="AY6" s="28">
        <f t="shared" si="1"/>
        <v>8617.1172083608344</v>
      </c>
    </row>
    <row r="7" spans="1:51" x14ac:dyDescent="0.35">
      <c r="A7" s="2" t="s">
        <v>180</v>
      </c>
      <c r="B7" s="29">
        <f>SUM(B6,B4)</f>
        <v>9583.3389328905032</v>
      </c>
      <c r="C7" s="29">
        <f t="shared" ref="C7:AY7" si="2">SUM(C6,C4)</f>
        <v>9583.3389328905032</v>
      </c>
      <c r="D7" s="29">
        <f t="shared" si="2"/>
        <v>9583.3389328905032</v>
      </c>
      <c r="E7" s="29">
        <f t="shared" si="2"/>
        <v>9879.7308586500021</v>
      </c>
      <c r="F7" s="29">
        <f t="shared" si="2"/>
        <v>9879.7308586500021</v>
      </c>
      <c r="G7" s="29">
        <f t="shared" si="2"/>
        <v>9879.7308586500021</v>
      </c>
      <c r="H7" s="29">
        <f t="shared" si="2"/>
        <v>9879.7308586500021</v>
      </c>
      <c r="I7" s="29">
        <f t="shared" si="2"/>
        <v>10185.289545000001</v>
      </c>
      <c r="J7" s="29">
        <f t="shared" si="2"/>
        <v>10185.289545000001</v>
      </c>
      <c r="K7" s="29">
        <f t="shared" si="2"/>
        <v>10185.289545000001</v>
      </c>
      <c r="L7" s="29">
        <f t="shared" si="2"/>
        <v>10185.289545000001</v>
      </c>
      <c r="M7" s="29">
        <f t="shared" si="2"/>
        <v>10500.298500000001</v>
      </c>
      <c r="N7" s="29">
        <f t="shared" si="2"/>
        <v>10500.298500000001</v>
      </c>
      <c r="O7" s="29">
        <f t="shared" si="2"/>
        <v>10500.298500000001</v>
      </c>
      <c r="P7" s="29">
        <f t="shared" si="2"/>
        <v>10825.050000000001</v>
      </c>
      <c r="Q7" s="29">
        <f t="shared" si="2"/>
        <v>10825.050000000001</v>
      </c>
      <c r="R7" s="29">
        <f t="shared" si="2"/>
        <v>10825.050000000001</v>
      </c>
      <c r="S7" s="29">
        <f t="shared" si="2"/>
        <v>11149.8015</v>
      </c>
      <c r="T7" s="29">
        <f t="shared" si="2"/>
        <v>11149.8015</v>
      </c>
      <c r="U7" s="29">
        <f t="shared" si="2"/>
        <v>11149.8015</v>
      </c>
      <c r="V7" s="29">
        <f t="shared" si="2"/>
        <v>11149.8015</v>
      </c>
      <c r="W7" s="29">
        <f t="shared" si="2"/>
        <v>11484.295545000001</v>
      </c>
      <c r="X7" s="29">
        <f t="shared" si="2"/>
        <v>11484.295545000001</v>
      </c>
      <c r="Y7" s="29">
        <f t="shared" si="2"/>
        <v>11484.295545000001</v>
      </c>
      <c r="Z7" s="29">
        <f t="shared" si="2"/>
        <v>11484.295545000001</v>
      </c>
      <c r="AA7" s="29">
        <f t="shared" si="2"/>
        <v>11828.82441135</v>
      </c>
      <c r="AB7" s="29">
        <f t="shared" si="2"/>
        <v>11828.82441135</v>
      </c>
      <c r="AC7" s="29">
        <f t="shared" si="2"/>
        <v>11828.82441135</v>
      </c>
      <c r="AD7" s="29">
        <f t="shared" si="2"/>
        <v>12183.689143690501</v>
      </c>
      <c r="AE7" s="29">
        <f t="shared" si="2"/>
        <v>12183.689143690501</v>
      </c>
      <c r="AF7" s="29">
        <f t="shared" si="2"/>
        <v>12183.689143690501</v>
      </c>
      <c r="AG7" s="29">
        <f t="shared" si="2"/>
        <v>12183.689143690501</v>
      </c>
      <c r="AH7" s="29">
        <f t="shared" si="2"/>
        <v>12183.689143690501</v>
      </c>
      <c r="AI7" s="29">
        <f t="shared" si="2"/>
        <v>12549.199818001216</v>
      </c>
      <c r="AJ7" s="29">
        <f t="shared" si="2"/>
        <v>12549.199818001216</v>
      </c>
      <c r="AK7" s="29">
        <f t="shared" si="2"/>
        <v>12549.199818001216</v>
      </c>
      <c r="AL7" s="29">
        <f t="shared" si="2"/>
        <v>12549.199818001216</v>
      </c>
      <c r="AM7" s="29">
        <f t="shared" si="2"/>
        <v>12925.675812541253</v>
      </c>
      <c r="AN7" s="29">
        <f t="shared" si="2"/>
        <v>12925.675812541253</v>
      </c>
      <c r="AO7" s="29">
        <f t="shared" si="2"/>
        <v>12925.675812541253</v>
      </c>
      <c r="AP7" s="29">
        <f t="shared" si="2"/>
        <v>12925.675812541253</v>
      </c>
      <c r="AQ7" s="29">
        <f t="shared" si="2"/>
        <v>12925.675812541253</v>
      </c>
      <c r="AR7" s="29">
        <f t="shared" si="2"/>
        <v>12925.675812541253</v>
      </c>
      <c r="AS7" s="29">
        <f t="shared" si="2"/>
        <v>12925.675812541253</v>
      </c>
      <c r="AT7" s="29">
        <f t="shared" si="2"/>
        <v>12925.675812541253</v>
      </c>
      <c r="AU7" s="29">
        <f t="shared" si="2"/>
        <v>12925.675812541253</v>
      </c>
      <c r="AV7" s="29">
        <f t="shared" si="2"/>
        <v>12925.675812541253</v>
      </c>
      <c r="AW7" s="29">
        <f t="shared" si="2"/>
        <v>12925.675812541253</v>
      </c>
      <c r="AX7" s="29">
        <f t="shared" si="2"/>
        <v>12925.675812541253</v>
      </c>
      <c r="AY7" s="29">
        <f t="shared" si="2"/>
        <v>12925.675812541253</v>
      </c>
    </row>
    <row r="8" spans="1:51" x14ac:dyDescent="0.35">
      <c r="A8" s="2" t="s">
        <v>181</v>
      </c>
      <c r="B8" s="28">
        <f>B7*12</f>
        <v>115000.06719468604</v>
      </c>
      <c r="C8" s="28">
        <f t="shared" ref="C8:AY8" si="3">C7*12</f>
        <v>115000.06719468604</v>
      </c>
      <c r="D8" s="28">
        <f t="shared" si="3"/>
        <v>115000.06719468604</v>
      </c>
      <c r="E8" s="28">
        <f t="shared" si="3"/>
        <v>118556.77030380003</v>
      </c>
      <c r="F8" s="28">
        <f t="shared" si="3"/>
        <v>118556.77030380003</v>
      </c>
      <c r="G8" s="28">
        <f t="shared" si="3"/>
        <v>118556.77030380003</v>
      </c>
      <c r="H8" s="28">
        <f t="shared" si="3"/>
        <v>118556.77030380003</v>
      </c>
      <c r="I8" s="28">
        <f t="shared" si="3"/>
        <v>122223.47454000002</v>
      </c>
      <c r="J8" s="28">
        <f t="shared" si="3"/>
        <v>122223.47454000002</v>
      </c>
      <c r="K8" s="28">
        <f t="shared" si="3"/>
        <v>122223.47454000002</v>
      </c>
      <c r="L8" s="28">
        <f t="shared" si="3"/>
        <v>122223.47454000002</v>
      </c>
      <c r="M8" s="28">
        <f t="shared" si="3"/>
        <v>126003.58200000001</v>
      </c>
      <c r="N8" s="28">
        <f t="shared" si="3"/>
        <v>126003.58200000001</v>
      </c>
      <c r="O8" s="28">
        <f t="shared" si="3"/>
        <v>126003.58200000001</v>
      </c>
      <c r="P8" s="28">
        <f t="shared" si="3"/>
        <v>129900.6</v>
      </c>
      <c r="Q8" s="28">
        <f t="shared" si="3"/>
        <v>129900.6</v>
      </c>
      <c r="R8" s="28">
        <f t="shared" si="3"/>
        <v>129900.6</v>
      </c>
      <c r="S8" s="28">
        <f t="shared" si="3"/>
        <v>133797.61799999999</v>
      </c>
      <c r="T8" s="28">
        <f t="shared" si="3"/>
        <v>133797.61799999999</v>
      </c>
      <c r="U8" s="28">
        <f t="shared" si="3"/>
        <v>133797.61799999999</v>
      </c>
      <c r="V8" s="28">
        <f t="shared" si="3"/>
        <v>133797.61799999999</v>
      </c>
      <c r="W8" s="28">
        <f t="shared" si="3"/>
        <v>137811.54654000001</v>
      </c>
      <c r="X8" s="28">
        <f t="shared" si="3"/>
        <v>137811.54654000001</v>
      </c>
      <c r="Y8" s="28">
        <f t="shared" si="3"/>
        <v>137811.54654000001</v>
      </c>
      <c r="Z8" s="28">
        <f t="shared" si="3"/>
        <v>137811.54654000001</v>
      </c>
      <c r="AA8" s="28">
        <f t="shared" si="3"/>
        <v>141945.89293620002</v>
      </c>
      <c r="AB8" s="28">
        <f t="shared" si="3"/>
        <v>141945.89293620002</v>
      </c>
      <c r="AC8" s="28">
        <f t="shared" si="3"/>
        <v>141945.89293620002</v>
      </c>
      <c r="AD8" s="28">
        <f t="shared" si="3"/>
        <v>146204.26972428602</v>
      </c>
      <c r="AE8" s="28">
        <f t="shared" si="3"/>
        <v>146204.26972428602</v>
      </c>
      <c r="AF8" s="28">
        <f t="shared" si="3"/>
        <v>146204.26972428602</v>
      </c>
      <c r="AG8" s="28">
        <f t="shared" si="3"/>
        <v>146204.26972428602</v>
      </c>
      <c r="AH8" s="28">
        <f t="shared" si="3"/>
        <v>146204.26972428602</v>
      </c>
      <c r="AI8" s="28">
        <f t="shared" si="3"/>
        <v>150590.39781601459</v>
      </c>
      <c r="AJ8" s="28">
        <f t="shared" si="3"/>
        <v>150590.39781601459</v>
      </c>
      <c r="AK8" s="28">
        <f t="shared" si="3"/>
        <v>150590.39781601459</v>
      </c>
      <c r="AL8" s="28">
        <f t="shared" si="3"/>
        <v>150590.39781601459</v>
      </c>
      <c r="AM8" s="28">
        <f t="shared" si="3"/>
        <v>155108.10975049503</v>
      </c>
      <c r="AN8" s="28">
        <f t="shared" si="3"/>
        <v>155108.10975049503</v>
      </c>
      <c r="AO8" s="28">
        <f t="shared" si="3"/>
        <v>155108.10975049503</v>
      </c>
      <c r="AP8" s="28">
        <f t="shared" si="3"/>
        <v>155108.10975049503</v>
      </c>
      <c r="AQ8" s="28">
        <f t="shared" si="3"/>
        <v>155108.10975049503</v>
      </c>
      <c r="AR8" s="28">
        <f t="shared" si="3"/>
        <v>155108.10975049503</v>
      </c>
      <c r="AS8" s="28">
        <f t="shared" si="3"/>
        <v>155108.10975049503</v>
      </c>
      <c r="AT8" s="28">
        <f t="shared" si="3"/>
        <v>155108.10975049503</v>
      </c>
      <c r="AU8" s="28">
        <f t="shared" si="3"/>
        <v>155108.10975049503</v>
      </c>
      <c r="AV8" s="28">
        <f t="shared" si="3"/>
        <v>155108.10975049503</v>
      </c>
      <c r="AW8" s="28">
        <f t="shared" si="3"/>
        <v>155108.10975049503</v>
      </c>
      <c r="AX8" s="28">
        <f t="shared" si="3"/>
        <v>155108.10975049503</v>
      </c>
      <c r="AY8" s="28">
        <f t="shared" si="3"/>
        <v>155108.10975049503</v>
      </c>
    </row>
    <row r="11" spans="1:51" x14ac:dyDescent="0.35">
      <c r="A11" s="2" t="s">
        <v>270</v>
      </c>
      <c r="B11" s="26">
        <f>AY54</f>
        <v>950809.37059021078</v>
      </c>
    </row>
    <row r="12" spans="1:51" x14ac:dyDescent="0.35">
      <c r="A12" s="2" t="s">
        <v>271</v>
      </c>
      <c r="B12" s="26">
        <f>B11/25</f>
        <v>38032.374823608428</v>
      </c>
    </row>
    <row r="13" spans="1:51" x14ac:dyDescent="0.35">
      <c r="A13" s="2" t="s">
        <v>183</v>
      </c>
      <c r="B13" s="26">
        <f>B12/12</f>
        <v>3169.3645686340355</v>
      </c>
    </row>
    <row r="14" spans="1:51" x14ac:dyDescent="0.35">
      <c r="A14" s="2" t="s">
        <v>272</v>
      </c>
      <c r="B14" s="2" t="s">
        <v>273</v>
      </c>
    </row>
    <row r="16" spans="1:51" x14ac:dyDescent="0.35">
      <c r="A16" s="2" t="s">
        <v>261</v>
      </c>
      <c r="B16" s="28">
        <f>AY38</f>
        <v>13539717.243979529</v>
      </c>
    </row>
    <row r="17" spans="1:4" x14ac:dyDescent="0.35">
      <c r="A17" s="2" t="s">
        <v>184</v>
      </c>
      <c r="B17" s="28">
        <f>B16/25</f>
        <v>541588.68975918111</v>
      </c>
      <c r="C17" s="2" t="s">
        <v>182</v>
      </c>
    </row>
    <row r="18" spans="1:4" x14ac:dyDescent="0.35">
      <c r="A18" s="2" t="s">
        <v>183</v>
      </c>
      <c r="B18" s="30">
        <f>B17/12</f>
        <v>45132.39081326509</v>
      </c>
      <c r="C18" s="2" t="s">
        <v>185</v>
      </c>
    </row>
    <row r="19" spans="1:4" x14ac:dyDescent="0.35">
      <c r="A19" s="2" t="s">
        <v>198</v>
      </c>
      <c r="B19" s="2" t="s">
        <v>199</v>
      </c>
      <c r="C19" s="2" t="s">
        <v>200</v>
      </c>
    </row>
    <row r="21" spans="1:4" x14ac:dyDescent="0.35">
      <c r="C21" s="16" t="s">
        <v>243</v>
      </c>
      <c r="D21" s="16" t="s">
        <v>262</v>
      </c>
    </row>
    <row r="22" spans="1:4" x14ac:dyDescent="0.35">
      <c r="A22" s="2" t="s">
        <v>197</v>
      </c>
      <c r="B22" s="30">
        <f>C22</f>
        <v>7198</v>
      </c>
      <c r="C22" s="56">
        <v>7198</v>
      </c>
      <c r="D22" s="2">
        <f>8329*(1-30.9%)</f>
        <v>5755.3390000000009</v>
      </c>
    </row>
    <row r="23" spans="1:4" x14ac:dyDescent="0.35">
      <c r="A23" s="2" t="s">
        <v>201</v>
      </c>
      <c r="B23" s="28">
        <f>B22*12</f>
        <v>86376</v>
      </c>
    </row>
    <row r="24" spans="1:4" x14ac:dyDescent="0.35">
      <c r="A24" s="2" t="s">
        <v>198</v>
      </c>
      <c r="B24" s="2" t="s">
        <v>199</v>
      </c>
    </row>
    <row r="25" spans="1:4" x14ac:dyDescent="0.35">
      <c r="A25" s="2" t="s">
        <v>62</v>
      </c>
      <c r="B25" s="17">
        <f>'Salary Variables'!C2</f>
        <v>0.03</v>
      </c>
    </row>
    <row r="26" spans="1:4" x14ac:dyDescent="0.35">
      <c r="A26" s="2" t="s">
        <v>244</v>
      </c>
      <c r="B26" s="17">
        <v>0.03</v>
      </c>
    </row>
    <row r="27" spans="1:4" x14ac:dyDescent="0.35">
      <c r="A27" s="2" t="s">
        <v>246</v>
      </c>
      <c r="B27" s="25">
        <v>0.153</v>
      </c>
    </row>
    <row r="29" spans="1:4" x14ac:dyDescent="0.35">
      <c r="A29" s="2" t="s">
        <v>251</v>
      </c>
      <c r="B29" s="26">
        <f>AY47</f>
        <v>360498.361359948</v>
      </c>
    </row>
    <row r="30" spans="1:4" x14ac:dyDescent="0.35">
      <c r="A30" s="2" t="s">
        <v>259</v>
      </c>
      <c r="B30" s="26">
        <f>B29/25</f>
        <v>14419.93445439792</v>
      </c>
    </row>
    <row r="31" spans="1:4" x14ac:dyDescent="0.35">
      <c r="A31" s="2" t="s">
        <v>260</v>
      </c>
      <c r="B31" s="26">
        <f>B30/12</f>
        <v>1201.6612045331601</v>
      </c>
    </row>
    <row r="33" spans="1:51" x14ac:dyDescent="0.35">
      <c r="A33" s="2" t="s">
        <v>1</v>
      </c>
      <c r="B33" s="2">
        <v>2010</v>
      </c>
      <c r="C33" s="2">
        <v>2011</v>
      </c>
      <c r="D33" s="2">
        <v>2012</v>
      </c>
      <c r="E33" s="2">
        <v>2013</v>
      </c>
      <c r="F33" s="2">
        <v>2014</v>
      </c>
      <c r="G33" s="2">
        <v>2015</v>
      </c>
      <c r="H33" s="2">
        <v>2016</v>
      </c>
      <c r="I33" s="2">
        <v>2017</v>
      </c>
      <c r="J33" s="2">
        <v>2018</v>
      </c>
      <c r="K33" s="2">
        <v>2019</v>
      </c>
      <c r="L33" s="2">
        <v>2020</v>
      </c>
      <c r="M33" s="2">
        <v>2021</v>
      </c>
      <c r="N33" s="2">
        <v>2022</v>
      </c>
      <c r="O33" s="2">
        <v>2023</v>
      </c>
      <c r="P33" s="2">
        <v>2024</v>
      </c>
      <c r="Q33" s="2">
        <v>2025</v>
      </c>
      <c r="R33" s="2">
        <v>2026</v>
      </c>
      <c r="S33" s="2">
        <v>2027</v>
      </c>
      <c r="T33" s="2">
        <v>2028</v>
      </c>
      <c r="U33" s="2">
        <v>2029</v>
      </c>
      <c r="V33" s="2">
        <v>2030</v>
      </c>
      <c r="W33" s="2">
        <v>2031</v>
      </c>
      <c r="X33" s="2">
        <v>2032</v>
      </c>
      <c r="Y33" s="2">
        <v>2033</v>
      </c>
      <c r="Z33" s="2">
        <v>2034</v>
      </c>
      <c r="AA33" s="2">
        <v>2035</v>
      </c>
      <c r="AB33" s="2">
        <v>2036</v>
      </c>
      <c r="AC33" s="2">
        <v>2037</v>
      </c>
      <c r="AD33" s="2">
        <v>2038</v>
      </c>
      <c r="AE33" s="2">
        <v>2039</v>
      </c>
      <c r="AF33" s="2">
        <v>2040</v>
      </c>
      <c r="AG33" s="2">
        <v>2041</v>
      </c>
      <c r="AH33" s="2">
        <v>2042</v>
      </c>
      <c r="AI33" s="2">
        <v>2043</v>
      </c>
      <c r="AJ33" s="2">
        <v>2044</v>
      </c>
      <c r="AK33" s="2">
        <v>2045</v>
      </c>
      <c r="AL33" s="2">
        <v>2046</v>
      </c>
      <c r="AM33" s="2">
        <v>2047</v>
      </c>
      <c r="AN33" s="2">
        <v>2048</v>
      </c>
      <c r="AO33" s="2">
        <v>2049</v>
      </c>
      <c r="AP33" s="2">
        <v>2050</v>
      </c>
      <c r="AQ33" s="2">
        <v>2051</v>
      </c>
      <c r="AR33" s="2">
        <v>2052</v>
      </c>
      <c r="AS33" s="2">
        <v>2053</v>
      </c>
      <c r="AT33" s="2">
        <v>2054</v>
      </c>
      <c r="AU33" s="2">
        <v>2055</v>
      </c>
      <c r="AV33" s="2">
        <v>2056</v>
      </c>
      <c r="AW33" s="2">
        <v>2057</v>
      </c>
      <c r="AX33" s="2">
        <v>2058</v>
      </c>
      <c r="AY33" s="2">
        <v>2059</v>
      </c>
    </row>
    <row r="34" spans="1:51" x14ac:dyDescent="0.35">
      <c r="A34" s="2" t="s">
        <v>249</v>
      </c>
      <c r="B34" s="26">
        <f>B8</f>
        <v>115000.06719468604</v>
      </c>
      <c r="C34" s="26">
        <f t="shared" ref="C34:AY34" si="4">B38+C8</f>
        <v>232922.28609678906</v>
      </c>
      <c r="D34" s="26">
        <f t="shared" si="4"/>
        <v>353840.90858119447</v>
      </c>
      <c r="E34" s="26">
        <f t="shared" si="4"/>
        <v>481388.7763720426</v>
      </c>
      <c r="F34" s="26">
        <f t="shared" si="4"/>
        <v>612177.63548345619</v>
      </c>
      <c r="G34" s="26">
        <f t="shared" si="4"/>
        <v>746289.83950489084</v>
      </c>
      <c r="H34" s="26">
        <f t="shared" si="4"/>
        <v>883809.83463051007</v>
      </c>
      <c r="I34" s="26">
        <f t="shared" si="4"/>
        <v>1028490.9170684714</v>
      </c>
      <c r="J34" s="26">
        <f t="shared" si="4"/>
        <v>1176848.3458111815</v>
      </c>
      <c r="K34" s="26">
        <f t="shared" si="4"/>
        <v>1328975.5368182436</v>
      </c>
      <c r="L34" s="26">
        <f t="shared" si="4"/>
        <v>1484968.2797487953</v>
      </c>
      <c r="M34" s="26">
        <f t="shared" si="4"/>
        <v>1648704.9057372122</v>
      </c>
      <c r="N34" s="26">
        <f t="shared" si="4"/>
        <v>1816602.0793919947</v>
      </c>
      <c r="O34" s="26">
        <f t="shared" si="4"/>
        <v>1988765.5202293452</v>
      </c>
      <c r="P34" s="26">
        <f t="shared" si="4"/>
        <v>2169200.652098373</v>
      </c>
      <c r="Q34" s="26">
        <f t="shared" si="4"/>
        <v>2354220.6406681929</v>
      </c>
      <c r="R34" s="26">
        <f t="shared" si="4"/>
        <v>2543941.987147572</v>
      </c>
      <c r="S34" s="26">
        <f t="shared" si="4"/>
        <v>2742381.1710409918</v>
      </c>
      <c r="T34" s="26">
        <f t="shared" si="4"/>
        <v>2945862.6945971432</v>
      </c>
      <c r="U34" s="26">
        <f t="shared" si="4"/>
        <v>3154514.6836668565</v>
      </c>
      <c r="V34" s="26">
        <f t="shared" si="4"/>
        <v>3368468.5197788309</v>
      </c>
      <c r="W34" s="26">
        <f t="shared" si="4"/>
        <v>3591872.8514064108</v>
      </c>
      <c r="X34" s="26">
        <f t="shared" si="4"/>
        <v>3820953.8871006477</v>
      </c>
      <c r="Y34" s="26">
        <f t="shared" si="4"/>
        <v>4055855.871911875</v>
      </c>
      <c r="Z34" s="26">
        <f t="shared" si="4"/>
        <v>4296726.7161571551</v>
      </c>
      <c r="AA34" s="26">
        <f t="shared" si="4"/>
        <v>4547852.4349509086</v>
      </c>
      <c r="AB34" s="26">
        <f t="shared" si="4"/>
        <v>4805359.2582592107</v>
      </c>
      <c r="AC34" s="26">
        <f t="shared" si="4"/>
        <v>5069409.3299477771</v>
      </c>
      <c r="AD34" s="26">
        <f t="shared" si="4"/>
        <v>5344427.290746036</v>
      </c>
      <c r="AE34" s="26">
        <f t="shared" si="4"/>
        <v>5626433.4579281788</v>
      </c>
      <c r="AF34" s="26">
        <f t="shared" si="4"/>
        <v>5915605.4018184198</v>
      </c>
      <c r="AG34" s="26">
        <f t="shared" si="4"/>
        <v>6212125.2048029117</v>
      </c>
      <c r="AH34" s="26">
        <f t="shared" si="4"/>
        <v>6516179.5759812398</v>
      </c>
      <c r="AI34" s="26">
        <f t="shared" si="4"/>
        <v>6832346.096822938</v>
      </c>
      <c r="AJ34" s="26">
        <f t="shared" si="4"/>
        <v>7156546.408959223</v>
      </c>
      <c r="AK34" s="26">
        <f t="shared" si="4"/>
        <v>7488984.6510268915</v>
      </c>
      <c r="AL34" s="26">
        <f t="shared" si="4"/>
        <v>7829870.1488254992</v>
      </c>
      <c r="AM34" s="26">
        <f t="shared" si="4"/>
        <v>8183935.2590576503</v>
      </c>
      <c r="AN34" s="26">
        <f t="shared" si="4"/>
        <v>8546997.1637407988</v>
      </c>
      <c r="AO34" s="26">
        <f t="shared" si="4"/>
        <v>8919284.4714219477</v>
      </c>
      <c r="AP34" s="26">
        <f t="shared" si="4"/>
        <v>9301031.5995912738</v>
      </c>
      <c r="AQ34" s="26">
        <f t="shared" si="4"/>
        <v>9692478.9222873822</v>
      </c>
      <c r="AR34" s="26">
        <f t="shared" si="4"/>
        <v>10093872.921453198</v>
      </c>
      <c r="AS34" s="26">
        <f t="shared" si="4"/>
        <v>10505466.342137819</v>
      </c>
      <c r="AT34" s="26">
        <f t="shared" si="4"/>
        <v>10927518.351642035</v>
      </c>
      <c r="AU34" s="26">
        <f t="shared" si="4"/>
        <v>11360294.702707753</v>
      </c>
      <c r="AV34" s="26">
        <f t="shared" si="4"/>
        <v>11804067.900854051</v>
      </c>
      <c r="AW34" s="26">
        <f t="shared" si="4"/>
        <v>12259117.375965247</v>
      </c>
      <c r="AX34" s="26">
        <f t="shared" si="4"/>
        <v>12725729.658239018</v>
      </c>
      <c r="AY34" s="26">
        <f t="shared" si="4"/>
        <v>13204198.558605365</v>
      </c>
    </row>
    <row r="35" spans="1:51" x14ac:dyDescent="0.35">
      <c r="A35" s="2" t="s">
        <v>245</v>
      </c>
      <c r="B35" s="17">
        <f>$B$26</f>
        <v>0.03</v>
      </c>
      <c r="C35" s="17">
        <f>$B$26</f>
        <v>0.03</v>
      </c>
      <c r="D35" s="17">
        <f t="shared" ref="D35:AY35" si="5">$B$26</f>
        <v>0.03</v>
      </c>
      <c r="E35" s="17">
        <f t="shared" si="5"/>
        <v>0.03</v>
      </c>
      <c r="F35" s="17">
        <f t="shared" si="5"/>
        <v>0.03</v>
      </c>
      <c r="G35" s="17">
        <f t="shared" si="5"/>
        <v>0.03</v>
      </c>
      <c r="H35" s="17">
        <f t="shared" si="5"/>
        <v>0.03</v>
      </c>
      <c r="I35" s="17">
        <f t="shared" si="5"/>
        <v>0.03</v>
      </c>
      <c r="J35" s="17">
        <f t="shared" si="5"/>
        <v>0.03</v>
      </c>
      <c r="K35" s="17">
        <f t="shared" si="5"/>
        <v>0.03</v>
      </c>
      <c r="L35" s="17">
        <f t="shared" si="5"/>
        <v>0.03</v>
      </c>
      <c r="M35" s="17">
        <f t="shared" si="5"/>
        <v>0.03</v>
      </c>
      <c r="N35" s="17">
        <f t="shared" si="5"/>
        <v>0.03</v>
      </c>
      <c r="O35" s="17">
        <f t="shared" si="5"/>
        <v>0.03</v>
      </c>
      <c r="P35" s="17">
        <f t="shared" si="5"/>
        <v>0.03</v>
      </c>
      <c r="Q35" s="17">
        <f t="shared" si="5"/>
        <v>0.03</v>
      </c>
      <c r="R35" s="17">
        <f t="shared" si="5"/>
        <v>0.03</v>
      </c>
      <c r="S35" s="17">
        <f t="shared" si="5"/>
        <v>0.03</v>
      </c>
      <c r="T35" s="17">
        <f t="shared" si="5"/>
        <v>0.03</v>
      </c>
      <c r="U35" s="17">
        <f t="shared" si="5"/>
        <v>0.03</v>
      </c>
      <c r="V35" s="17">
        <f t="shared" si="5"/>
        <v>0.03</v>
      </c>
      <c r="W35" s="17">
        <f t="shared" si="5"/>
        <v>0.03</v>
      </c>
      <c r="X35" s="17">
        <f t="shared" si="5"/>
        <v>0.03</v>
      </c>
      <c r="Y35" s="17">
        <f t="shared" si="5"/>
        <v>0.03</v>
      </c>
      <c r="Z35" s="17">
        <f t="shared" si="5"/>
        <v>0.03</v>
      </c>
      <c r="AA35" s="17">
        <f t="shared" si="5"/>
        <v>0.03</v>
      </c>
      <c r="AB35" s="17">
        <f t="shared" si="5"/>
        <v>0.03</v>
      </c>
      <c r="AC35" s="17">
        <f t="shared" si="5"/>
        <v>0.03</v>
      </c>
      <c r="AD35" s="17">
        <f t="shared" si="5"/>
        <v>0.03</v>
      </c>
      <c r="AE35" s="17">
        <f t="shared" si="5"/>
        <v>0.03</v>
      </c>
      <c r="AF35" s="17">
        <f t="shared" si="5"/>
        <v>0.03</v>
      </c>
      <c r="AG35" s="17">
        <f t="shared" si="5"/>
        <v>0.03</v>
      </c>
      <c r="AH35" s="17">
        <f t="shared" si="5"/>
        <v>0.03</v>
      </c>
      <c r="AI35" s="17">
        <f t="shared" si="5"/>
        <v>0.03</v>
      </c>
      <c r="AJ35" s="17">
        <f t="shared" si="5"/>
        <v>0.03</v>
      </c>
      <c r="AK35" s="17">
        <f t="shared" si="5"/>
        <v>0.03</v>
      </c>
      <c r="AL35" s="17">
        <f t="shared" si="5"/>
        <v>0.03</v>
      </c>
      <c r="AM35" s="17">
        <f t="shared" si="5"/>
        <v>0.03</v>
      </c>
      <c r="AN35" s="17">
        <f t="shared" si="5"/>
        <v>0.03</v>
      </c>
      <c r="AO35" s="17">
        <f t="shared" si="5"/>
        <v>0.03</v>
      </c>
      <c r="AP35" s="17">
        <f t="shared" si="5"/>
        <v>0.03</v>
      </c>
      <c r="AQ35" s="17">
        <f t="shared" si="5"/>
        <v>0.03</v>
      </c>
      <c r="AR35" s="17">
        <f t="shared" si="5"/>
        <v>0.03</v>
      </c>
      <c r="AS35" s="17">
        <f t="shared" si="5"/>
        <v>0.03</v>
      </c>
      <c r="AT35" s="17">
        <f t="shared" si="5"/>
        <v>0.03</v>
      </c>
      <c r="AU35" s="17">
        <f t="shared" si="5"/>
        <v>0.03</v>
      </c>
      <c r="AV35" s="17">
        <f t="shared" si="5"/>
        <v>0.03</v>
      </c>
      <c r="AW35" s="17">
        <f t="shared" si="5"/>
        <v>0.03</v>
      </c>
      <c r="AX35" s="17">
        <f t="shared" si="5"/>
        <v>0.03</v>
      </c>
      <c r="AY35" s="17">
        <f t="shared" si="5"/>
        <v>0.03</v>
      </c>
    </row>
    <row r="36" spans="1:51" x14ac:dyDescent="0.35">
      <c r="A36" s="2" t="s">
        <v>247</v>
      </c>
      <c r="B36" s="26">
        <f>B35*B34</f>
        <v>3450.002015840581</v>
      </c>
      <c r="C36" s="26">
        <f>C35*C34</f>
        <v>6987.6685829036714</v>
      </c>
      <c r="D36" s="26">
        <f>D35*D34</f>
        <v>10615.227257435834</v>
      </c>
      <c r="E36" s="26">
        <f t="shared" ref="E36:AY36" si="6">E35*E34</f>
        <v>14441.663291161278</v>
      </c>
      <c r="F36" s="26">
        <f t="shared" si="6"/>
        <v>18365.329064503687</v>
      </c>
      <c r="G36" s="26">
        <f t="shared" si="6"/>
        <v>22388.695185146724</v>
      </c>
      <c r="H36" s="26">
        <f t="shared" si="6"/>
        <v>26514.295038915301</v>
      </c>
      <c r="I36" s="26">
        <f t="shared" si="6"/>
        <v>30854.727512054142</v>
      </c>
      <c r="J36" s="26">
        <f t="shared" si="6"/>
        <v>35305.450374335443</v>
      </c>
      <c r="K36" s="26">
        <f t="shared" si="6"/>
        <v>39869.266104547307</v>
      </c>
      <c r="L36" s="26">
        <f t="shared" si="6"/>
        <v>44549.048392463861</v>
      </c>
      <c r="M36" s="26">
        <f t="shared" si="6"/>
        <v>49461.147172116362</v>
      </c>
      <c r="N36" s="26">
        <f t="shared" si="6"/>
        <v>54498.062381759839</v>
      </c>
      <c r="O36" s="26">
        <f t="shared" si="6"/>
        <v>59662.965606880352</v>
      </c>
      <c r="P36" s="26">
        <f t="shared" si="6"/>
        <v>65076.019562951187</v>
      </c>
      <c r="Q36" s="26">
        <f t="shared" si="6"/>
        <v>70626.619220045788</v>
      </c>
      <c r="R36" s="26">
        <f t="shared" si="6"/>
        <v>76318.259614427152</v>
      </c>
      <c r="S36" s="26">
        <f t="shared" si="6"/>
        <v>82271.435131229751</v>
      </c>
      <c r="T36" s="26">
        <f t="shared" si="6"/>
        <v>88375.880837914287</v>
      </c>
      <c r="U36" s="26">
        <f t="shared" si="6"/>
        <v>94635.44051000569</v>
      </c>
      <c r="V36" s="26">
        <f t="shared" si="6"/>
        <v>101054.05559336493</v>
      </c>
      <c r="W36" s="26">
        <f t="shared" si="6"/>
        <v>107756.18554219232</v>
      </c>
      <c r="X36" s="26">
        <f t="shared" si="6"/>
        <v>114628.61661301943</v>
      </c>
      <c r="Y36" s="26">
        <f t="shared" si="6"/>
        <v>121675.67615735624</v>
      </c>
      <c r="Z36" s="26">
        <f t="shared" si="6"/>
        <v>128901.80148471466</v>
      </c>
      <c r="AA36" s="26">
        <f t="shared" si="6"/>
        <v>136435.57304852727</v>
      </c>
      <c r="AB36" s="26">
        <f t="shared" si="6"/>
        <v>144160.77774777633</v>
      </c>
      <c r="AC36" s="26">
        <f t="shared" si="6"/>
        <v>152082.27989843331</v>
      </c>
      <c r="AD36" s="26">
        <f t="shared" si="6"/>
        <v>160332.81872238108</v>
      </c>
      <c r="AE36" s="26">
        <f t="shared" si="6"/>
        <v>168793.00373784537</v>
      </c>
      <c r="AF36" s="26">
        <f t="shared" si="6"/>
        <v>177468.16205455258</v>
      </c>
      <c r="AG36" s="26">
        <f t="shared" si="6"/>
        <v>186363.75614408735</v>
      </c>
      <c r="AH36" s="26">
        <f t="shared" si="6"/>
        <v>195485.38727943719</v>
      </c>
      <c r="AI36" s="26">
        <f t="shared" si="6"/>
        <v>204970.38290468813</v>
      </c>
      <c r="AJ36" s="26">
        <f t="shared" si="6"/>
        <v>214696.39226877669</v>
      </c>
      <c r="AK36" s="26">
        <f t="shared" si="6"/>
        <v>224669.53953080674</v>
      </c>
      <c r="AL36" s="26">
        <f t="shared" si="6"/>
        <v>234896.10446476497</v>
      </c>
      <c r="AM36" s="26">
        <f t="shared" si="6"/>
        <v>245518.05777172951</v>
      </c>
      <c r="AN36" s="26">
        <f t="shared" si="6"/>
        <v>256409.91491222396</v>
      </c>
      <c r="AO36" s="26">
        <f t="shared" si="6"/>
        <v>267578.53414265841</v>
      </c>
      <c r="AP36" s="26">
        <f t="shared" si="6"/>
        <v>279030.94798773818</v>
      </c>
      <c r="AQ36" s="26">
        <f t="shared" si="6"/>
        <v>290774.36766862147</v>
      </c>
      <c r="AR36" s="26">
        <f t="shared" si="6"/>
        <v>302816.18764359591</v>
      </c>
      <c r="AS36" s="26">
        <f t="shared" si="6"/>
        <v>315163.99026413454</v>
      </c>
      <c r="AT36" s="26">
        <f t="shared" si="6"/>
        <v>327825.55054926104</v>
      </c>
      <c r="AU36" s="26">
        <f t="shared" si="6"/>
        <v>340808.84108123259</v>
      </c>
      <c r="AV36" s="26">
        <f t="shared" si="6"/>
        <v>354122.03702562151</v>
      </c>
      <c r="AW36" s="26">
        <f t="shared" si="6"/>
        <v>367773.52127895737</v>
      </c>
      <c r="AX36" s="26">
        <f t="shared" si="6"/>
        <v>381771.88974717056</v>
      </c>
      <c r="AY36" s="26">
        <f t="shared" si="6"/>
        <v>396125.95675816096</v>
      </c>
    </row>
    <row r="37" spans="1:51" x14ac:dyDescent="0.35">
      <c r="A37" s="2" t="s">
        <v>215</v>
      </c>
      <c r="B37" s="26">
        <f>B36*$B$27</f>
        <v>527.85030842360891</v>
      </c>
      <c r="C37" s="26">
        <f>C36*$B$27</f>
        <v>1069.1132931842617</v>
      </c>
      <c r="D37" s="26">
        <f t="shared" ref="D37:AY37" si="7">D36*$B$27</f>
        <v>1624.1297703876826</v>
      </c>
      <c r="E37" s="26">
        <f t="shared" si="7"/>
        <v>2209.5744835476753</v>
      </c>
      <c r="F37" s="26">
        <f t="shared" si="7"/>
        <v>2809.8953468690638</v>
      </c>
      <c r="G37" s="26">
        <f t="shared" si="7"/>
        <v>3425.4703633274485</v>
      </c>
      <c r="H37" s="26">
        <f t="shared" si="7"/>
        <v>4056.6871409540408</v>
      </c>
      <c r="I37" s="26">
        <f t="shared" si="7"/>
        <v>4720.7733093442839</v>
      </c>
      <c r="J37" s="26">
        <f t="shared" si="7"/>
        <v>5401.733907273323</v>
      </c>
      <c r="K37" s="26">
        <f t="shared" si="7"/>
        <v>6099.9977139957382</v>
      </c>
      <c r="L37" s="26">
        <f t="shared" si="7"/>
        <v>6816.0044040469702</v>
      </c>
      <c r="M37" s="26">
        <f t="shared" si="7"/>
        <v>7567.5555173338034</v>
      </c>
      <c r="N37" s="26">
        <f t="shared" si="7"/>
        <v>8338.2035444092544</v>
      </c>
      <c r="O37" s="26">
        <f t="shared" si="7"/>
        <v>9128.4337378526943</v>
      </c>
      <c r="P37" s="26">
        <f t="shared" si="7"/>
        <v>9956.6309931315318</v>
      </c>
      <c r="Q37" s="26">
        <f t="shared" si="7"/>
        <v>10805.872740667006</v>
      </c>
      <c r="R37" s="26">
        <f t="shared" si="7"/>
        <v>11676.693721007354</v>
      </c>
      <c r="S37" s="26">
        <f t="shared" si="7"/>
        <v>12587.529575078152</v>
      </c>
      <c r="T37" s="26">
        <f t="shared" si="7"/>
        <v>13521.509768200885</v>
      </c>
      <c r="U37" s="26">
        <f t="shared" si="7"/>
        <v>14479.22239803087</v>
      </c>
      <c r="V37" s="26">
        <f t="shared" si="7"/>
        <v>15461.270505784834</v>
      </c>
      <c r="W37" s="26">
        <f t="shared" si="7"/>
        <v>16486.696387955424</v>
      </c>
      <c r="X37" s="26">
        <f t="shared" si="7"/>
        <v>17538.178341791972</v>
      </c>
      <c r="Y37" s="26">
        <f t="shared" si="7"/>
        <v>18616.378452075503</v>
      </c>
      <c r="Z37" s="26">
        <f t="shared" si="7"/>
        <v>19721.975627161341</v>
      </c>
      <c r="AA37" s="26">
        <f t="shared" si="7"/>
        <v>20874.642676424672</v>
      </c>
      <c r="AB37" s="26">
        <f t="shared" si="7"/>
        <v>22056.598995409779</v>
      </c>
      <c r="AC37" s="26">
        <f t="shared" si="7"/>
        <v>23268.588824460294</v>
      </c>
      <c r="AD37" s="26">
        <f t="shared" si="7"/>
        <v>24530.921264524306</v>
      </c>
      <c r="AE37" s="26">
        <f t="shared" si="7"/>
        <v>25825.329571890343</v>
      </c>
      <c r="AF37" s="26">
        <f t="shared" si="7"/>
        <v>27152.628794346543</v>
      </c>
      <c r="AG37" s="26">
        <f t="shared" si="7"/>
        <v>28513.654690045365</v>
      </c>
      <c r="AH37" s="26">
        <f t="shared" si="7"/>
        <v>29909.264253753889</v>
      </c>
      <c r="AI37" s="26">
        <f t="shared" si="7"/>
        <v>31360.468584417282</v>
      </c>
      <c r="AJ37" s="26">
        <f t="shared" si="7"/>
        <v>32848.548017122834</v>
      </c>
      <c r="AK37" s="26">
        <f t="shared" si="7"/>
        <v>34374.439548213428</v>
      </c>
      <c r="AL37" s="26">
        <f t="shared" si="7"/>
        <v>35939.103983109038</v>
      </c>
      <c r="AM37" s="26">
        <f t="shared" si="7"/>
        <v>37564.262839074618</v>
      </c>
      <c r="AN37" s="26">
        <f t="shared" si="7"/>
        <v>39230.716981570265</v>
      </c>
      <c r="AO37" s="26">
        <f t="shared" si="7"/>
        <v>40939.515723826735</v>
      </c>
      <c r="AP37" s="26">
        <f t="shared" si="7"/>
        <v>42691.735042123939</v>
      </c>
      <c r="AQ37" s="26">
        <f t="shared" si="7"/>
        <v>44488.478253299087</v>
      </c>
      <c r="AR37" s="26">
        <f t="shared" si="7"/>
        <v>46330.876709470176</v>
      </c>
      <c r="AS37" s="26">
        <f t="shared" si="7"/>
        <v>48220.090510412585</v>
      </c>
      <c r="AT37" s="26">
        <f t="shared" si="7"/>
        <v>50157.30923403694</v>
      </c>
      <c r="AU37" s="26">
        <f t="shared" si="7"/>
        <v>52143.752685428582</v>
      </c>
      <c r="AV37" s="26">
        <f t="shared" si="7"/>
        <v>54180.67166492009</v>
      </c>
      <c r="AW37" s="26">
        <f t="shared" si="7"/>
        <v>56269.348755680476</v>
      </c>
      <c r="AX37" s="26">
        <f t="shared" si="7"/>
        <v>58411.099131317096</v>
      </c>
      <c r="AY37" s="26">
        <f t="shared" si="7"/>
        <v>60607.271383998625</v>
      </c>
    </row>
    <row r="38" spans="1:51" s="18" customFormat="1" x14ac:dyDescent="0.35">
      <c r="A38" s="18" t="s">
        <v>248</v>
      </c>
      <c r="B38" s="27">
        <f>B34+(B36-B37)</f>
        <v>117922.21890210301</v>
      </c>
      <c r="C38" s="27">
        <f>C34+(C36-C37)</f>
        <v>238840.84138650846</v>
      </c>
      <c r="D38" s="27">
        <f t="shared" ref="D38:AS38" si="8">D34+(D36-D37)</f>
        <v>362832.0060682426</v>
      </c>
      <c r="E38" s="27">
        <f t="shared" si="8"/>
        <v>493620.86517965619</v>
      </c>
      <c r="F38" s="27">
        <f t="shared" si="8"/>
        <v>627733.06920109084</v>
      </c>
      <c r="G38" s="27">
        <f t="shared" si="8"/>
        <v>765253.06432671007</v>
      </c>
      <c r="H38" s="27">
        <f t="shared" si="8"/>
        <v>906267.44252847135</v>
      </c>
      <c r="I38" s="27">
        <f t="shared" si="8"/>
        <v>1054624.8712711814</v>
      </c>
      <c r="J38" s="27">
        <f t="shared" si="8"/>
        <v>1206752.0622782435</v>
      </c>
      <c r="K38" s="27">
        <f t="shared" si="8"/>
        <v>1362744.8052087952</v>
      </c>
      <c r="L38" s="27">
        <f t="shared" si="8"/>
        <v>1522701.3237372122</v>
      </c>
      <c r="M38" s="27">
        <f t="shared" si="8"/>
        <v>1690598.4973919948</v>
      </c>
      <c r="N38" s="27">
        <f t="shared" si="8"/>
        <v>1862761.9382293453</v>
      </c>
      <c r="O38" s="27">
        <f t="shared" si="8"/>
        <v>2039300.052098373</v>
      </c>
      <c r="P38" s="27">
        <f t="shared" si="8"/>
        <v>2224320.0406681928</v>
      </c>
      <c r="Q38" s="27">
        <f t="shared" si="8"/>
        <v>2414041.3871475719</v>
      </c>
      <c r="R38" s="27">
        <f t="shared" si="8"/>
        <v>2608583.553040992</v>
      </c>
      <c r="S38" s="27">
        <f t="shared" si="8"/>
        <v>2812065.0765971434</v>
      </c>
      <c r="T38" s="27">
        <f t="shared" si="8"/>
        <v>3020717.0656668567</v>
      </c>
      <c r="U38" s="27">
        <f t="shared" si="8"/>
        <v>3234670.9017788311</v>
      </c>
      <c r="V38" s="27">
        <f t="shared" si="8"/>
        <v>3454061.3048664108</v>
      </c>
      <c r="W38" s="27">
        <f t="shared" si="8"/>
        <v>3683142.3405606477</v>
      </c>
      <c r="X38" s="27">
        <f t="shared" si="8"/>
        <v>3918044.325371875</v>
      </c>
      <c r="Y38" s="27">
        <f t="shared" si="8"/>
        <v>4158915.1696171556</v>
      </c>
      <c r="Z38" s="27">
        <f t="shared" si="8"/>
        <v>4405906.5420147087</v>
      </c>
      <c r="AA38" s="27">
        <f t="shared" si="8"/>
        <v>4663413.3653230108</v>
      </c>
      <c r="AB38" s="27">
        <f t="shared" si="8"/>
        <v>4927463.4370115772</v>
      </c>
      <c r="AC38" s="27">
        <f t="shared" si="8"/>
        <v>5198223.0210217498</v>
      </c>
      <c r="AD38" s="27">
        <f t="shared" si="8"/>
        <v>5480229.1882038927</v>
      </c>
      <c r="AE38" s="27">
        <f t="shared" si="8"/>
        <v>5769401.1320941336</v>
      </c>
      <c r="AF38" s="27">
        <f t="shared" si="8"/>
        <v>6065920.9350786256</v>
      </c>
      <c r="AG38" s="27">
        <f t="shared" si="8"/>
        <v>6369975.3062569536</v>
      </c>
      <c r="AH38" s="27">
        <f t="shared" si="8"/>
        <v>6681755.6990069235</v>
      </c>
      <c r="AI38" s="27">
        <f t="shared" si="8"/>
        <v>7005956.0111432085</v>
      </c>
      <c r="AJ38" s="27">
        <f t="shared" si="8"/>
        <v>7338394.2532108771</v>
      </c>
      <c r="AK38" s="27">
        <f t="shared" si="8"/>
        <v>7679279.7510094848</v>
      </c>
      <c r="AL38" s="27">
        <f t="shared" si="8"/>
        <v>8028827.1493071551</v>
      </c>
      <c r="AM38" s="27">
        <f t="shared" si="8"/>
        <v>8391889.0539903045</v>
      </c>
      <c r="AN38" s="27">
        <f t="shared" si="8"/>
        <v>8764176.3616714533</v>
      </c>
      <c r="AO38" s="27">
        <f t="shared" si="8"/>
        <v>9145923.4898407795</v>
      </c>
      <c r="AP38" s="27">
        <f t="shared" si="8"/>
        <v>9537370.8125368878</v>
      </c>
      <c r="AQ38" s="27">
        <f t="shared" si="8"/>
        <v>9938764.8117027041</v>
      </c>
      <c r="AR38" s="27">
        <f t="shared" si="8"/>
        <v>10350358.232387325</v>
      </c>
      <c r="AS38" s="27">
        <f t="shared" si="8"/>
        <v>10772410.241891541</v>
      </c>
      <c r="AT38" s="27">
        <f>AT34+(AT36-AT37)</f>
        <v>11205186.592957258</v>
      </c>
      <c r="AU38" s="27">
        <f t="shared" ref="AU38:AY38" si="9">AU34+(AU36-AU37)</f>
        <v>11648959.791103557</v>
      </c>
      <c r="AV38" s="27">
        <f t="shared" si="9"/>
        <v>12104009.266214753</v>
      </c>
      <c r="AW38" s="27">
        <f t="shared" si="9"/>
        <v>12570621.548488524</v>
      </c>
      <c r="AX38" s="27">
        <f t="shared" si="9"/>
        <v>13049090.448854871</v>
      </c>
      <c r="AY38" s="27">
        <f t="shared" si="9"/>
        <v>13539717.243979529</v>
      </c>
    </row>
    <row r="40" spans="1:51" x14ac:dyDescent="0.35">
      <c r="B40" s="26"/>
    </row>
    <row r="42" spans="1:51" x14ac:dyDescent="0.35">
      <c r="A42" s="2" t="s">
        <v>251</v>
      </c>
      <c r="B42" s="54" t="s">
        <v>252</v>
      </c>
    </row>
    <row r="43" spans="1:51" x14ac:dyDescent="0.35">
      <c r="A43" s="2" t="s">
        <v>253</v>
      </c>
      <c r="B43" s="2">
        <f>'Net Salary P2'!B14*3</f>
        <v>3564</v>
      </c>
      <c r="C43" s="26">
        <f>B47+$B$43</f>
        <v>7218.56124</v>
      </c>
      <c r="D43" s="26">
        <f t="shared" ref="D43:AT43" si="10">C47+$B$43</f>
        <v>10965.984881108401</v>
      </c>
      <c r="E43" s="26">
        <f t="shared" si="10"/>
        <v>14808.630556937365</v>
      </c>
      <c r="F43" s="26">
        <f t="shared" si="10"/>
        <v>18748.917859389141</v>
      </c>
      <c r="G43" s="26">
        <f t="shared" si="10"/>
        <v>22789.32786219622</v>
      </c>
      <c r="H43" s="26">
        <f t="shared" si="10"/>
        <v>26932.404683174627</v>
      </c>
      <c r="I43" s="26">
        <f t="shared" si="10"/>
        <v>31180.757086174093</v>
      </c>
      <c r="J43" s="26">
        <f t="shared" si="10"/>
        <v>35537.060123733776</v>
      </c>
      <c r="K43" s="26">
        <f t="shared" si="10"/>
        <v>40004.056821477854</v>
      </c>
      <c r="L43" s="26">
        <f t="shared" si="10"/>
        <v>44584.559905311609</v>
      </c>
      <c r="M43" s="26">
        <f t="shared" si="10"/>
        <v>49281.453572505576</v>
      </c>
      <c r="N43" s="26">
        <f t="shared" si="10"/>
        <v>54097.695307782946</v>
      </c>
      <c r="O43" s="26">
        <f t="shared" si="10"/>
        <v>59036.317745553708</v>
      </c>
      <c r="P43" s="26">
        <f t="shared" si="10"/>
        <v>64100.43057946823</v>
      </c>
      <c r="Q43" s="26">
        <f t="shared" si="10"/>
        <v>69293.22252049252</v>
      </c>
      <c r="R43" s="26">
        <f t="shared" si="10"/>
        <v>74617.963304738238</v>
      </c>
      <c r="S43" s="26">
        <f t="shared" si="10"/>
        <v>80078.005752311641</v>
      </c>
      <c r="T43" s="26">
        <f t="shared" si="10"/>
        <v>85676.787878477873</v>
      </c>
      <c r="U43" s="26">
        <f t="shared" si="10"/>
        <v>91417.835058469995</v>
      </c>
      <c r="V43" s="26">
        <f t="shared" si="10"/>
        <v>97304.762247305713</v>
      </c>
      <c r="W43" s="26">
        <f t="shared" si="10"/>
        <v>103341.27625600975</v>
      </c>
      <c r="X43" s="26">
        <f t="shared" si="10"/>
        <v>109531.17808567495</v>
      </c>
      <c r="Y43" s="26">
        <f t="shared" si="10"/>
        <v>115878.36532083196</v>
      </c>
      <c r="Z43" s="26">
        <f t="shared" si="10"/>
        <v>122386.83458363429</v>
      </c>
      <c r="AA43" s="26">
        <f t="shared" si="10"/>
        <v>129060.68405040444</v>
      </c>
      <c r="AB43" s="26">
        <f t="shared" si="10"/>
        <v>135904.11603212522</v>
      </c>
      <c r="AC43" s="26">
        <f t="shared" si="10"/>
        <v>142921.43962050154</v>
      </c>
      <c r="AD43" s="26">
        <f t="shared" si="10"/>
        <v>150117.07340125847</v>
      </c>
      <c r="AE43" s="26">
        <f t="shared" si="10"/>
        <v>157495.54823638446</v>
      </c>
      <c r="AF43" s="26">
        <f t="shared" si="10"/>
        <v>165061.51011707098</v>
      </c>
      <c r="AG43" s="26">
        <f t="shared" si="10"/>
        <v>172819.72308914576</v>
      </c>
      <c r="AH43" s="26">
        <f t="shared" si="10"/>
        <v>180775.07225284094</v>
      </c>
      <c r="AI43" s="26">
        <f t="shared" si="10"/>
        <v>188932.56683878563</v>
      </c>
      <c r="AJ43" s="26">
        <f t="shared" si="10"/>
        <v>197297.34336215918</v>
      </c>
      <c r="AK43" s="26">
        <f t="shared" si="10"/>
        <v>205874.66885699166</v>
      </c>
      <c r="AL43" s="26">
        <f t="shared" si="10"/>
        <v>214669.94419264782</v>
      </c>
      <c r="AM43" s="26">
        <f t="shared" si="10"/>
        <v>223688.707474583</v>
      </c>
      <c r="AN43" s="26">
        <f t="shared" si="10"/>
        <v>232936.63753151215</v>
      </c>
      <c r="AO43" s="26">
        <f t="shared" si="10"/>
        <v>242419.55749118788</v>
      </c>
      <c r="AP43" s="26">
        <f t="shared" si="10"/>
        <v>252143.43844703896</v>
      </c>
      <c r="AQ43" s="26">
        <f t="shared" si="10"/>
        <v>262114.40321797822</v>
      </c>
      <c r="AR43" s="26">
        <f t="shared" si="10"/>
        <v>272338.73020374705</v>
      </c>
      <c r="AS43" s="26">
        <f t="shared" si="10"/>
        <v>282822.85733822425</v>
      </c>
      <c r="AT43" s="26">
        <f t="shared" si="10"/>
        <v>293573.38614318852</v>
      </c>
      <c r="AU43" s="26">
        <f t="shared" ref="AU43" si="11">AT47+$B$43</f>
        <v>304597.08588508691</v>
      </c>
      <c r="AV43" s="26">
        <f t="shared" ref="AV43" si="12">AU47+$B$43</f>
        <v>315900.89783742698</v>
      </c>
      <c r="AW43" s="26">
        <f t="shared" ref="AW43" si="13">AV47+$B$43</f>
        <v>327491.93965147599</v>
      </c>
      <c r="AX43" s="26">
        <f t="shared" ref="AX43" si="14">AW47+$B$43</f>
        <v>339377.50983801996</v>
      </c>
      <c r="AY43" s="26">
        <f t="shared" ref="AY43" si="15">AX47+$B$43</f>
        <v>351565.09236300405</v>
      </c>
    </row>
    <row r="44" spans="1:51" x14ac:dyDescent="0.35">
      <c r="A44" s="2" t="s">
        <v>257</v>
      </c>
      <c r="B44" s="17">
        <f>$B$26</f>
        <v>0.03</v>
      </c>
      <c r="C44" s="17">
        <f>$B$26</f>
        <v>0.03</v>
      </c>
      <c r="D44" s="17">
        <f t="shared" ref="D44:AS44" si="16">$B$26</f>
        <v>0.03</v>
      </c>
      <c r="E44" s="17">
        <f t="shared" si="16"/>
        <v>0.03</v>
      </c>
      <c r="F44" s="17">
        <f t="shared" si="16"/>
        <v>0.03</v>
      </c>
      <c r="G44" s="17">
        <f t="shared" si="16"/>
        <v>0.03</v>
      </c>
      <c r="H44" s="17">
        <f t="shared" si="16"/>
        <v>0.03</v>
      </c>
      <c r="I44" s="17">
        <f t="shared" si="16"/>
        <v>0.03</v>
      </c>
      <c r="J44" s="17">
        <f t="shared" si="16"/>
        <v>0.03</v>
      </c>
      <c r="K44" s="17">
        <f t="shared" si="16"/>
        <v>0.03</v>
      </c>
      <c r="L44" s="17">
        <f t="shared" si="16"/>
        <v>0.03</v>
      </c>
      <c r="M44" s="17">
        <f t="shared" si="16"/>
        <v>0.03</v>
      </c>
      <c r="N44" s="17">
        <f t="shared" si="16"/>
        <v>0.03</v>
      </c>
      <c r="O44" s="17">
        <f t="shared" si="16"/>
        <v>0.03</v>
      </c>
      <c r="P44" s="17">
        <f t="shared" si="16"/>
        <v>0.03</v>
      </c>
      <c r="Q44" s="17">
        <f t="shared" si="16"/>
        <v>0.03</v>
      </c>
      <c r="R44" s="17">
        <f t="shared" si="16"/>
        <v>0.03</v>
      </c>
      <c r="S44" s="17">
        <f t="shared" si="16"/>
        <v>0.03</v>
      </c>
      <c r="T44" s="17">
        <f t="shared" si="16"/>
        <v>0.03</v>
      </c>
      <c r="U44" s="17">
        <f t="shared" si="16"/>
        <v>0.03</v>
      </c>
      <c r="V44" s="17">
        <f t="shared" si="16"/>
        <v>0.03</v>
      </c>
      <c r="W44" s="17">
        <f t="shared" si="16"/>
        <v>0.03</v>
      </c>
      <c r="X44" s="17">
        <f t="shared" si="16"/>
        <v>0.03</v>
      </c>
      <c r="Y44" s="17">
        <f t="shared" si="16"/>
        <v>0.03</v>
      </c>
      <c r="Z44" s="17">
        <f t="shared" si="16"/>
        <v>0.03</v>
      </c>
      <c r="AA44" s="17">
        <f t="shared" si="16"/>
        <v>0.03</v>
      </c>
      <c r="AB44" s="17">
        <f t="shared" si="16"/>
        <v>0.03</v>
      </c>
      <c r="AC44" s="17">
        <f t="shared" si="16"/>
        <v>0.03</v>
      </c>
      <c r="AD44" s="17">
        <f t="shared" si="16"/>
        <v>0.03</v>
      </c>
      <c r="AE44" s="17">
        <f t="shared" si="16"/>
        <v>0.03</v>
      </c>
      <c r="AF44" s="17">
        <f t="shared" si="16"/>
        <v>0.03</v>
      </c>
      <c r="AG44" s="17">
        <f t="shared" si="16"/>
        <v>0.03</v>
      </c>
      <c r="AH44" s="17">
        <f t="shared" si="16"/>
        <v>0.03</v>
      </c>
      <c r="AI44" s="17">
        <f t="shared" si="16"/>
        <v>0.03</v>
      </c>
      <c r="AJ44" s="17">
        <f t="shared" si="16"/>
        <v>0.03</v>
      </c>
      <c r="AK44" s="17">
        <f t="shared" si="16"/>
        <v>0.03</v>
      </c>
      <c r="AL44" s="17">
        <f t="shared" si="16"/>
        <v>0.03</v>
      </c>
      <c r="AM44" s="17">
        <f t="shared" si="16"/>
        <v>0.03</v>
      </c>
      <c r="AN44" s="17">
        <f t="shared" si="16"/>
        <v>0.03</v>
      </c>
      <c r="AO44" s="17">
        <f t="shared" si="16"/>
        <v>0.03</v>
      </c>
      <c r="AP44" s="17">
        <f t="shared" si="16"/>
        <v>0.03</v>
      </c>
      <c r="AQ44" s="17">
        <f t="shared" si="16"/>
        <v>0.03</v>
      </c>
      <c r="AR44" s="17">
        <f t="shared" si="16"/>
        <v>0.03</v>
      </c>
      <c r="AS44" s="17">
        <f t="shared" si="16"/>
        <v>0.03</v>
      </c>
      <c r="AT44" s="17">
        <f>$B$26</f>
        <v>0.03</v>
      </c>
      <c r="AU44" s="17">
        <f t="shared" ref="AU44:AY44" si="17">$B$26</f>
        <v>0.03</v>
      </c>
      <c r="AV44" s="17">
        <f t="shared" si="17"/>
        <v>0.03</v>
      </c>
      <c r="AW44" s="17">
        <f t="shared" si="17"/>
        <v>0.03</v>
      </c>
      <c r="AX44" s="17">
        <f t="shared" si="17"/>
        <v>0.03</v>
      </c>
      <c r="AY44" s="17">
        <f t="shared" si="17"/>
        <v>0.03</v>
      </c>
    </row>
    <row r="45" spans="1:51" x14ac:dyDescent="0.35">
      <c r="A45" s="2" t="s">
        <v>244</v>
      </c>
      <c r="B45" s="26">
        <f>B44*B43</f>
        <v>106.92</v>
      </c>
      <c r="C45" s="26">
        <f>C44*C43</f>
        <v>216.55683719999999</v>
      </c>
      <c r="D45" s="26">
        <f t="shared" ref="D45:AS45" si="18">D44*D43</f>
        <v>328.97954643325204</v>
      </c>
      <c r="E45" s="26">
        <f t="shared" si="18"/>
        <v>444.25891670812092</v>
      </c>
      <c r="F45" s="26">
        <f t="shared" si="18"/>
        <v>562.4675357816742</v>
      </c>
      <c r="G45" s="26">
        <f t="shared" si="18"/>
        <v>683.67983586588662</v>
      </c>
      <c r="H45" s="26">
        <f t="shared" si="18"/>
        <v>807.97214049523882</v>
      </c>
      <c r="I45" s="26">
        <f t="shared" si="18"/>
        <v>935.42271258522271</v>
      </c>
      <c r="J45" s="26">
        <f t="shared" si="18"/>
        <v>1066.1118037120132</v>
      </c>
      <c r="K45" s="26">
        <f t="shared" si="18"/>
        <v>1200.1217046443355</v>
      </c>
      <c r="L45" s="26">
        <f t="shared" si="18"/>
        <v>1337.5367971593482</v>
      </c>
      <c r="M45" s="26">
        <f t="shared" si="18"/>
        <v>1478.4436071751672</v>
      </c>
      <c r="N45" s="26">
        <f t="shared" si="18"/>
        <v>1622.9308592334883</v>
      </c>
      <c r="O45" s="26">
        <f t="shared" si="18"/>
        <v>1771.0895323666111</v>
      </c>
      <c r="P45" s="26">
        <f t="shared" si="18"/>
        <v>1923.0129173840469</v>
      </c>
      <c r="Q45" s="26">
        <f t="shared" si="18"/>
        <v>2078.7966756147757</v>
      </c>
      <c r="R45" s="26">
        <f t="shared" si="18"/>
        <v>2238.5388991421469</v>
      </c>
      <c r="S45" s="26">
        <f t="shared" si="18"/>
        <v>2402.3401725693493</v>
      </c>
      <c r="T45" s="26">
        <f t="shared" si="18"/>
        <v>2570.303636354336</v>
      </c>
      <c r="U45" s="26">
        <f t="shared" si="18"/>
        <v>2742.5350517540996</v>
      </c>
      <c r="V45" s="26">
        <f t="shared" si="18"/>
        <v>2919.1428674191711</v>
      </c>
      <c r="W45" s="26">
        <f t="shared" si="18"/>
        <v>3100.2382876802922</v>
      </c>
      <c r="X45" s="26">
        <f t="shared" si="18"/>
        <v>3285.9353425702484</v>
      </c>
      <c r="Y45" s="26">
        <f t="shared" si="18"/>
        <v>3476.3509596249587</v>
      </c>
      <c r="Z45" s="26">
        <f t="shared" si="18"/>
        <v>3671.6050375090285</v>
      </c>
      <c r="AA45" s="26">
        <f t="shared" si="18"/>
        <v>3871.8205215121329</v>
      </c>
      <c r="AB45" s="26">
        <f t="shared" si="18"/>
        <v>4077.1234809637567</v>
      </c>
      <c r="AC45" s="26">
        <f t="shared" si="18"/>
        <v>4287.6431886150458</v>
      </c>
      <c r="AD45" s="26">
        <f t="shared" si="18"/>
        <v>4503.5122020377539</v>
      </c>
      <c r="AE45" s="26">
        <f t="shared" si="18"/>
        <v>4724.8664470915337</v>
      </c>
      <c r="AF45" s="26">
        <f t="shared" si="18"/>
        <v>4951.8453035121292</v>
      </c>
      <c r="AG45" s="26">
        <f t="shared" si="18"/>
        <v>5184.591692674373</v>
      </c>
      <c r="AH45" s="26">
        <f t="shared" si="18"/>
        <v>5423.2521675852277</v>
      </c>
      <c r="AI45" s="26">
        <f t="shared" si="18"/>
        <v>5667.9770051635687</v>
      </c>
      <c r="AJ45" s="26">
        <f t="shared" si="18"/>
        <v>5918.9203008647755</v>
      </c>
      <c r="AK45" s="26">
        <f t="shared" si="18"/>
        <v>6176.2400657097496</v>
      </c>
      <c r="AL45" s="26">
        <f t="shared" si="18"/>
        <v>6440.0983257794342</v>
      </c>
      <c r="AM45" s="26">
        <f t="shared" si="18"/>
        <v>6710.6612242374895</v>
      </c>
      <c r="AN45" s="26">
        <f t="shared" si="18"/>
        <v>6988.099125945364</v>
      </c>
      <c r="AO45" s="26">
        <f t="shared" si="18"/>
        <v>7272.5867247356364</v>
      </c>
      <c r="AP45" s="26">
        <f t="shared" si="18"/>
        <v>7564.3031534111688</v>
      </c>
      <c r="AQ45" s="26">
        <f t="shared" si="18"/>
        <v>7863.4320965393463</v>
      </c>
      <c r="AR45" s="26">
        <f t="shared" si="18"/>
        <v>8170.1619061124111</v>
      </c>
      <c r="AS45" s="26">
        <f t="shared" si="18"/>
        <v>8484.6857201467265</v>
      </c>
      <c r="AT45" s="26">
        <f>AT44*AT43</f>
        <v>8807.2015842956553</v>
      </c>
      <c r="AU45" s="26">
        <f t="shared" ref="AU45:AY45" si="19">AU44*AU43</f>
        <v>9137.9125765526078</v>
      </c>
      <c r="AV45" s="26">
        <f t="shared" si="19"/>
        <v>9477.0269351228089</v>
      </c>
      <c r="AW45" s="26">
        <f t="shared" si="19"/>
        <v>9824.75818954428</v>
      </c>
      <c r="AX45" s="26">
        <f t="shared" si="19"/>
        <v>10181.325295140599</v>
      </c>
      <c r="AY45" s="26">
        <f t="shared" si="19"/>
        <v>10546.952770890121</v>
      </c>
    </row>
    <row r="46" spans="1:51" x14ac:dyDescent="0.35">
      <c r="A46" s="2" t="s">
        <v>215</v>
      </c>
      <c r="B46" s="26">
        <f>B45*$B$27</f>
        <v>16.35876</v>
      </c>
      <c r="C46" s="26">
        <f>C45*$B$27</f>
        <v>33.133196091599999</v>
      </c>
      <c r="D46" s="26">
        <f t="shared" ref="D46:AS46" si="20">D45*$B$27</f>
        <v>50.333870604287561</v>
      </c>
      <c r="E46" s="26">
        <f t="shared" si="20"/>
        <v>67.971614256342505</v>
      </c>
      <c r="F46" s="26">
        <f t="shared" si="20"/>
        <v>86.057532974596157</v>
      </c>
      <c r="G46" s="26">
        <f t="shared" si="20"/>
        <v>104.60301488748065</v>
      </c>
      <c r="H46" s="26">
        <f t="shared" si="20"/>
        <v>123.61973749577153</v>
      </c>
      <c r="I46" s="26">
        <f t="shared" si="20"/>
        <v>143.11967502553907</v>
      </c>
      <c r="J46" s="26">
        <f t="shared" si="20"/>
        <v>163.11510596793801</v>
      </c>
      <c r="K46" s="26">
        <f t="shared" si="20"/>
        <v>183.61862081058334</v>
      </c>
      <c r="L46" s="26">
        <f t="shared" si="20"/>
        <v>204.64312996538027</v>
      </c>
      <c r="M46" s="26">
        <f t="shared" si="20"/>
        <v>226.20187189780057</v>
      </c>
      <c r="N46" s="26">
        <f t="shared" si="20"/>
        <v>248.30842146272369</v>
      </c>
      <c r="O46" s="26">
        <f t="shared" si="20"/>
        <v>270.97669845209151</v>
      </c>
      <c r="P46" s="26">
        <f t="shared" si="20"/>
        <v>294.22097635975916</v>
      </c>
      <c r="Q46" s="26">
        <f t="shared" si="20"/>
        <v>318.0558913690607</v>
      </c>
      <c r="R46" s="26">
        <f t="shared" si="20"/>
        <v>342.49645156874845</v>
      </c>
      <c r="S46" s="26">
        <f t="shared" si="20"/>
        <v>367.55804640311044</v>
      </c>
      <c r="T46" s="26">
        <f t="shared" si="20"/>
        <v>393.25645636221338</v>
      </c>
      <c r="U46" s="26">
        <f t="shared" si="20"/>
        <v>419.60786291837724</v>
      </c>
      <c r="V46" s="26">
        <f t="shared" si="20"/>
        <v>446.62885871513316</v>
      </c>
      <c r="W46" s="26">
        <f t="shared" si="20"/>
        <v>474.3364580150847</v>
      </c>
      <c r="X46" s="26">
        <f t="shared" si="20"/>
        <v>502.74810741324802</v>
      </c>
      <c r="Y46" s="26">
        <f t="shared" si="20"/>
        <v>531.88169682261866</v>
      </c>
      <c r="Z46" s="26">
        <f t="shared" si="20"/>
        <v>561.75557073888137</v>
      </c>
      <c r="AA46" s="26">
        <f t="shared" si="20"/>
        <v>592.38853979135638</v>
      </c>
      <c r="AB46" s="26">
        <f t="shared" si="20"/>
        <v>623.79989258745479</v>
      </c>
      <c r="AC46" s="26">
        <f t="shared" si="20"/>
        <v>656.00940785810201</v>
      </c>
      <c r="AD46" s="26">
        <f t="shared" si="20"/>
        <v>689.0373669117763</v>
      </c>
      <c r="AE46" s="26">
        <f t="shared" si="20"/>
        <v>722.90456640500463</v>
      </c>
      <c r="AF46" s="26">
        <f t="shared" si="20"/>
        <v>757.63233143735579</v>
      </c>
      <c r="AG46" s="26">
        <f t="shared" si="20"/>
        <v>793.24252897917904</v>
      </c>
      <c r="AH46" s="26">
        <f t="shared" si="20"/>
        <v>829.7575816405398</v>
      </c>
      <c r="AI46" s="26">
        <f t="shared" si="20"/>
        <v>867.20048179002595</v>
      </c>
      <c r="AJ46" s="26">
        <f t="shared" si="20"/>
        <v>905.59480603231066</v>
      </c>
      <c r="AK46" s="26">
        <f t="shared" si="20"/>
        <v>944.96473005359167</v>
      </c>
      <c r="AL46" s="26">
        <f t="shared" si="20"/>
        <v>985.33504384425339</v>
      </c>
      <c r="AM46" s="26">
        <f t="shared" si="20"/>
        <v>1026.7311673083359</v>
      </c>
      <c r="AN46" s="26">
        <f t="shared" si="20"/>
        <v>1069.1791662696407</v>
      </c>
      <c r="AO46" s="26">
        <f t="shared" si="20"/>
        <v>1112.7057688845523</v>
      </c>
      <c r="AP46" s="26">
        <f t="shared" si="20"/>
        <v>1157.3383824719087</v>
      </c>
      <c r="AQ46" s="26">
        <f t="shared" si="20"/>
        <v>1203.10511077052</v>
      </c>
      <c r="AR46" s="26">
        <f t="shared" si="20"/>
        <v>1250.0347716351989</v>
      </c>
      <c r="AS46" s="26">
        <f t="shared" si="20"/>
        <v>1298.1569151824492</v>
      </c>
      <c r="AT46" s="26">
        <f>AT45*$B$27</f>
        <v>1347.5018423972351</v>
      </c>
      <c r="AU46" s="26">
        <f t="shared" ref="AU46:AY46" si="21">AU45*$B$27</f>
        <v>1398.1006242125491</v>
      </c>
      <c r="AV46" s="26">
        <f t="shared" si="21"/>
        <v>1449.9851210737897</v>
      </c>
      <c r="AW46" s="26">
        <f t="shared" si="21"/>
        <v>1503.1880030002749</v>
      </c>
      <c r="AX46" s="26">
        <f t="shared" si="21"/>
        <v>1557.7427701565116</v>
      </c>
      <c r="AY46" s="26">
        <f t="shared" si="21"/>
        <v>1613.6837739461885</v>
      </c>
    </row>
    <row r="47" spans="1:51" x14ac:dyDescent="0.35">
      <c r="A47" s="2" t="s">
        <v>258</v>
      </c>
      <c r="B47" s="27">
        <f>B43+(B45-B46)</f>
        <v>3654.56124</v>
      </c>
      <c r="C47" s="27">
        <f>C43+(C45-C46)</f>
        <v>7401.9848811084003</v>
      </c>
      <c r="D47" s="27">
        <f t="shared" ref="D47:AS47" si="22">D43+(D45-D46)</f>
        <v>11244.630556937365</v>
      </c>
      <c r="E47" s="27">
        <f t="shared" si="22"/>
        <v>15184.917859389143</v>
      </c>
      <c r="F47" s="27">
        <f t="shared" si="22"/>
        <v>19225.32786219622</v>
      </c>
      <c r="G47" s="27">
        <f t="shared" si="22"/>
        <v>23368.404683174627</v>
      </c>
      <c r="H47" s="27">
        <f t="shared" si="22"/>
        <v>27616.757086174093</v>
      </c>
      <c r="I47" s="27">
        <f t="shared" si="22"/>
        <v>31973.060123733776</v>
      </c>
      <c r="J47" s="27">
        <f t="shared" si="22"/>
        <v>36440.056821477854</v>
      </c>
      <c r="K47" s="27">
        <f t="shared" si="22"/>
        <v>41020.559905311609</v>
      </c>
      <c r="L47" s="27">
        <f t="shared" si="22"/>
        <v>45717.453572505576</v>
      </c>
      <c r="M47" s="27">
        <f t="shared" si="22"/>
        <v>50533.695307782946</v>
      </c>
      <c r="N47" s="27">
        <f t="shared" si="22"/>
        <v>55472.317745553708</v>
      </c>
      <c r="O47" s="27">
        <f t="shared" si="22"/>
        <v>60536.43057946823</v>
      </c>
      <c r="P47" s="27">
        <f t="shared" si="22"/>
        <v>65729.22252049252</v>
      </c>
      <c r="Q47" s="27">
        <f t="shared" si="22"/>
        <v>71053.963304738238</v>
      </c>
      <c r="R47" s="27">
        <f t="shared" si="22"/>
        <v>76514.005752311641</v>
      </c>
      <c r="S47" s="27">
        <f t="shared" si="22"/>
        <v>82112.787878477873</v>
      </c>
      <c r="T47" s="27">
        <f t="shared" si="22"/>
        <v>87853.835058469995</v>
      </c>
      <c r="U47" s="27">
        <f t="shared" si="22"/>
        <v>93740.762247305713</v>
      </c>
      <c r="V47" s="27">
        <f t="shared" si="22"/>
        <v>99777.276256009747</v>
      </c>
      <c r="W47" s="27">
        <f t="shared" si="22"/>
        <v>105967.17808567495</v>
      </c>
      <c r="X47" s="27">
        <f t="shared" si="22"/>
        <v>112314.36532083196</v>
      </c>
      <c r="Y47" s="27">
        <f t="shared" si="22"/>
        <v>118822.83458363429</v>
      </c>
      <c r="Z47" s="27">
        <f t="shared" si="22"/>
        <v>125496.68405040444</v>
      </c>
      <c r="AA47" s="27">
        <f t="shared" si="22"/>
        <v>132340.11603212522</v>
      </c>
      <c r="AB47" s="27">
        <f t="shared" si="22"/>
        <v>139357.43962050154</v>
      </c>
      <c r="AC47" s="27">
        <f t="shared" si="22"/>
        <v>146553.07340125847</v>
      </c>
      <c r="AD47" s="27">
        <f t="shared" si="22"/>
        <v>153931.54823638446</v>
      </c>
      <c r="AE47" s="27">
        <f t="shared" si="22"/>
        <v>161497.51011707098</v>
      </c>
      <c r="AF47" s="27">
        <f t="shared" si="22"/>
        <v>169255.72308914576</v>
      </c>
      <c r="AG47" s="27">
        <f t="shared" si="22"/>
        <v>177211.07225284094</v>
      </c>
      <c r="AH47" s="27">
        <f t="shared" si="22"/>
        <v>185368.56683878563</v>
      </c>
      <c r="AI47" s="27">
        <f t="shared" si="22"/>
        <v>193733.34336215918</v>
      </c>
      <c r="AJ47" s="27">
        <f t="shared" si="22"/>
        <v>202310.66885699166</v>
      </c>
      <c r="AK47" s="27">
        <f t="shared" si="22"/>
        <v>211105.94419264782</v>
      </c>
      <c r="AL47" s="27">
        <f t="shared" si="22"/>
        <v>220124.707474583</v>
      </c>
      <c r="AM47" s="27">
        <f t="shared" si="22"/>
        <v>229372.63753151215</v>
      </c>
      <c r="AN47" s="27">
        <f t="shared" si="22"/>
        <v>238855.55749118788</v>
      </c>
      <c r="AO47" s="27">
        <f t="shared" si="22"/>
        <v>248579.43844703896</v>
      </c>
      <c r="AP47" s="27">
        <f t="shared" si="22"/>
        <v>258550.40321797822</v>
      </c>
      <c r="AQ47" s="27">
        <f t="shared" si="22"/>
        <v>268774.73020374705</v>
      </c>
      <c r="AR47" s="27">
        <f t="shared" si="22"/>
        <v>279258.85733822425</v>
      </c>
      <c r="AS47" s="27">
        <f t="shared" si="22"/>
        <v>290009.38614318852</v>
      </c>
      <c r="AT47" s="27">
        <f>AT43+(AT45-AT46)</f>
        <v>301033.08588508691</v>
      </c>
      <c r="AU47" s="27">
        <f t="shared" ref="AU47:AY47" si="23">AU43+(AU45-AU46)</f>
        <v>312336.89783742698</v>
      </c>
      <c r="AV47" s="27">
        <f t="shared" si="23"/>
        <v>323927.93965147599</v>
      </c>
      <c r="AW47" s="27">
        <f t="shared" si="23"/>
        <v>335813.50983801996</v>
      </c>
      <c r="AX47" s="27">
        <f t="shared" si="23"/>
        <v>348001.09236300405</v>
      </c>
      <c r="AY47" s="27">
        <f t="shared" si="23"/>
        <v>360498.361359948</v>
      </c>
    </row>
    <row r="49" spans="1:51" x14ac:dyDescent="0.35">
      <c r="A49" s="2" t="s">
        <v>268</v>
      </c>
    </row>
    <row r="50" spans="1:51" x14ac:dyDescent="0.35">
      <c r="A50" s="2" t="s">
        <v>269</v>
      </c>
      <c r="B50" s="28">
        <f>'Net Salary P2'!$B$2</f>
        <v>9400</v>
      </c>
      <c r="C50" s="26">
        <f>B54+$B$50</f>
        <v>19038.853999999999</v>
      </c>
      <c r="D50" s="26">
        <f t="shared" ref="D50:AS50" si="24">C54+$B$50</f>
        <v>28922.631280139998</v>
      </c>
      <c r="E50" s="26">
        <f t="shared" si="24"/>
        <v>39057.555340968356</v>
      </c>
      <c r="F50" s="26">
        <f t="shared" si="24"/>
        <v>49450.007822182364</v>
      </c>
      <c r="G50" s="26">
        <f t="shared" si="24"/>
        <v>60106.53252094402</v>
      </c>
      <c r="H50" s="26">
        <f t="shared" si="24"/>
        <v>71033.839512301201</v>
      </c>
      <c r="I50" s="26">
        <f t="shared" si="24"/>
        <v>82238.809374308781</v>
      </c>
      <c r="J50" s="26">
        <f t="shared" si="24"/>
        <v>93728.497520509962</v>
      </c>
      <c r="K50" s="26">
        <f t="shared" si="24"/>
        <v>105510.13864250612</v>
      </c>
      <c r="L50" s="26">
        <f t="shared" si="24"/>
        <v>117591.15126541221</v>
      </c>
      <c r="M50" s="26">
        <f t="shared" si="24"/>
        <v>129979.14241906632</v>
      </c>
      <c r="N50" s="26">
        <f t="shared" si="24"/>
        <v>142681.91242793479</v>
      </c>
      <c r="O50" s="26">
        <f t="shared" si="24"/>
        <v>155707.45982272862</v>
      </c>
      <c r="P50" s="26">
        <f t="shared" si="24"/>
        <v>169063.98637682415</v>
      </c>
      <c r="Q50" s="26">
        <f t="shared" si="24"/>
        <v>182759.90227065925</v>
      </c>
      <c r="R50" s="26">
        <f t="shared" si="24"/>
        <v>196803.83138735671</v>
      </c>
      <c r="S50" s="26">
        <f t="shared" si="24"/>
        <v>211204.61674290945</v>
      </c>
      <c r="T50" s="26">
        <f t="shared" si="24"/>
        <v>225971.32605434678</v>
      </c>
      <c r="U50" s="26">
        <f t="shared" si="24"/>
        <v>241113.25744938772</v>
      </c>
      <c r="V50" s="26">
        <f t="shared" si="24"/>
        <v>256639.94532117667</v>
      </c>
      <c r="W50" s="26">
        <f t="shared" si="24"/>
        <v>272561.16633178777</v>
      </c>
      <c r="X50" s="26">
        <f t="shared" si="24"/>
        <v>288886.94556827849</v>
      </c>
      <c r="Y50" s="26">
        <f t="shared" si="24"/>
        <v>305627.56285516842</v>
      </c>
      <c r="Z50" s="26">
        <f t="shared" si="24"/>
        <v>322793.55922731827</v>
      </c>
      <c r="AA50" s="26">
        <f t="shared" si="24"/>
        <v>340395.74356728443</v>
      </c>
      <c r="AB50" s="26">
        <f t="shared" si="24"/>
        <v>358445.19941132911</v>
      </c>
      <c r="AC50" s="26">
        <f t="shared" si="24"/>
        <v>376953.29192837101</v>
      </c>
      <c r="AD50" s="26">
        <f t="shared" si="24"/>
        <v>395931.67507627094</v>
      </c>
      <c r="AE50" s="26">
        <f t="shared" si="24"/>
        <v>415392.29893995897</v>
      </c>
      <c r="AF50" s="26">
        <f t="shared" si="24"/>
        <v>435347.41725602333</v>
      </c>
      <c r="AG50" s="26">
        <f t="shared" si="24"/>
        <v>455809.59512849886</v>
      </c>
      <c r="AH50" s="26">
        <f t="shared" si="24"/>
        <v>476791.71694071399</v>
      </c>
      <c r="AI50" s="26">
        <f t="shared" si="24"/>
        <v>498306.99446817755</v>
      </c>
      <c r="AJ50" s="26">
        <f t="shared" si="24"/>
        <v>520368.97519761394</v>
      </c>
      <c r="AK50" s="26">
        <f t="shared" si="24"/>
        <v>542991.55085738527</v>
      </c>
      <c r="AL50" s="26">
        <f t="shared" si="24"/>
        <v>566188.96616467147</v>
      </c>
      <c r="AM50" s="26">
        <f t="shared" si="24"/>
        <v>589975.82779491576</v>
      </c>
      <c r="AN50" s="26">
        <f t="shared" si="24"/>
        <v>614367.11357918452</v>
      </c>
      <c r="AO50" s="26">
        <f t="shared" si="24"/>
        <v>639378.18193523155</v>
      </c>
      <c r="AP50" s="26">
        <f t="shared" si="24"/>
        <v>665024.7815382058</v>
      </c>
      <c r="AQ50" s="26">
        <f t="shared" si="24"/>
        <v>691323.06123709166</v>
      </c>
      <c r="AR50" s="26">
        <f t="shared" si="24"/>
        <v>718289.5802231261</v>
      </c>
      <c r="AS50" s="26">
        <f t="shared" si="24"/>
        <v>745941.31845659576</v>
      </c>
      <c r="AT50" s="26">
        <f>AS54+$B$50</f>
        <v>774295.68735857785</v>
      </c>
      <c r="AU50" s="26">
        <f t="shared" ref="AU50:AY50" si="25">AT54+$B$50</f>
        <v>803370.54077435937</v>
      </c>
      <c r="AV50" s="26">
        <f t="shared" si="25"/>
        <v>833184.18621543585</v>
      </c>
      <c r="AW50" s="26">
        <f t="shared" si="25"/>
        <v>863755.39638717007</v>
      </c>
      <c r="AX50" s="26">
        <f t="shared" si="25"/>
        <v>895103.42100936803</v>
      </c>
      <c r="AY50" s="26">
        <f t="shared" si="25"/>
        <v>927247.99893721612</v>
      </c>
    </row>
    <row r="51" spans="1:51" x14ac:dyDescent="0.35">
      <c r="A51" s="2" t="s">
        <v>257</v>
      </c>
      <c r="B51" s="17">
        <f>$B$26</f>
        <v>0.03</v>
      </c>
      <c r="C51" s="17">
        <f>$B$26</f>
        <v>0.03</v>
      </c>
      <c r="D51" s="17">
        <f t="shared" ref="D51:AS51" si="26">$B$26</f>
        <v>0.03</v>
      </c>
      <c r="E51" s="17">
        <f t="shared" si="26"/>
        <v>0.03</v>
      </c>
      <c r="F51" s="17">
        <f t="shared" si="26"/>
        <v>0.03</v>
      </c>
      <c r="G51" s="17">
        <f t="shared" si="26"/>
        <v>0.03</v>
      </c>
      <c r="H51" s="17">
        <f t="shared" si="26"/>
        <v>0.03</v>
      </c>
      <c r="I51" s="17">
        <f t="shared" si="26"/>
        <v>0.03</v>
      </c>
      <c r="J51" s="17">
        <f t="shared" si="26"/>
        <v>0.03</v>
      </c>
      <c r="K51" s="17">
        <f t="shared" si="26"/>
        <v>0.03</v>
      </c>
      <c r="L51" s="17">
        <f t="shared" si="26"/>
        <v>0.03</v>
      </c>
      <c r="M51" s="17">
        <f t="shared" si="26"/>
        <v>0.03</v>
      </c>
      <c r="N51" s="17">
        <f t="shared" si="26"/>
        <v>0.03</v>
      </c>
      <c r="O51" s="17">
        <f t="shared" si="26"/>
        <v>0.03</v>
      </c>
      <c r="P51" s="17">
        <f t="shared" si="26"/>
        <v>0.03</v>
      </c>
      <c r="Q51" s="17">
        <f t="shared" si="26"/>
        <v>0.03</v>
      </c>
      <c r="R51" s="17">
        <f t="shared" si="26"/>
        <v>0.03</v>
      </c>
      <c r="S51" s="17">
        <f t="shared" si="26"/>
        <v>0.03</v>
      </c>
      <c r="T51" s="17">
        <f t="shared" si="26"/>
        <v>0.03</v>
      </c>
      <c r="U51" s="17">
        <f t="shared" si="26"/>
        <v>0.03</v>
      </c>
      <c r="V51" s="17">
        <f t="shared" si="26"/>
        <v>0.03</v>
      </c>
      <c r="W51" s="17">
        <f t="shared" si="26"/>
        <v>0.03</v>
      </c>
      <c r="X51" s="17">
        <f t="shared" si="26"/>
        <v>0.03</v>
      </c>
      <c r="Y51" s="17">
        <f t="shared" si="26"/>
        <v>0.03</v>
      </c>
      <c r="Z51" s="17">
        <f t="shared" si="26"/>
        <v>0.03</v>
      </c>
      <c r="AA51" s="17">
        <f t="shared" si="26"/>
        <v>0.03</v>
      </c>
      <c r="AB51" s="17">
        <f t="shared" si="26"/>
        <v>0.03</v>
      </c>
      <c r="AC51" s="17">
        <f t="shared" si="26"/>
        <v>0.03</v>
      </c>
      <c r="AD51" s="17">
        <f t="shared" si="26"/>
        <v>0.03</v>
      </c>
      <c r="AE51" s="17">
        <f t="shared" si="26"/>
        <v>0.03</v>
      </c>
      <c r="AF51" s="17">
        <f t="shared" si="26"/>
        <v>0.03</v>
      </c>
      <c r="AG51" s="17">
        <f t="shared" si="26"/>
        <v>0.03</v>
      </c>
      <c r="AH51" s="17">
        <f t="shared" si="26"/>
        <v>0.03</v>
      </c>
      <c r="AI51" s="17">
        <f t="shared" si="26"/>
        <v>0.03</v>
      </c>
      <c r="AJ51" s="17">
        <f t="shared" si="26"/>
        <v>0.03</v>
      </c>
      <c r="AK51" s="17">
        <f t="shared" si="26"/>
        <v>0.03</v>
      </c>
      <c r="AL51" s="17">
        <f t="shared" si="26"/>
        <v>0.03</v>
      </c>
      <c r="AM51" s="17">
        <f t="shared" si="26"/>
        <v>0.03</v>
      </c>
      <c r="AN51" s="17">
        <f t="shared" si="26"/>
        <v>0.03</v>
      </c>
      <c r="AO51" s="17">
        <f t="shared" si="26"/>
        <v>0.03</v>
      </c>
      <c r="AP51" s="17">
        <f t="shared" si="26"/>
        <v>0.03</v>
      </c>
      <c r="AQ51" s="17">
        <f t="shared" si="26"/>
        <v>0.03</v>
      </c>
      <c r="AR51" s="17">
        <f t="shared" si="26"/>
        <v>0.03</v>
      </c>
      <c r="AS51" s="17">
        <f t="shared" si="26"/>
        <v>0.03</v>
      </c>
      <c r="AT51" s="17">
        <f>$B$26</f>
        <v>0.03</v>
      </c>
      <c r="AU51" s="17">
        <f t="shared" ref="AU51:AY51" si="27">$B$26</f>
        <v>0.03</v>
      </c>
      <c r="AV51" s="17">
        <f t="shared" si="27"/>
        <v>0.03</v>
      </c>
      <c r="AW51" s="17">
        <f t="shared" si="27"/>
        <v>0.03</v>
      </c>
      <c r="AX51" s="17">
        <f t="shared" si="27"/>
        <v>0.03</v>
      </c>
      <c r="AY51" s="17">
        <f t="shared" si="27"/>
        <v>0.03</v>
      </c>
    </row>
    <row r="52" spans="1:51" x14ac:dyDescent="0.35">
      <c r="A52" s="2" t="s">
        <v>244</v>
      </c>
      <c r="B52" s="26">
        <f>B51*B50</f>
        <v>282</v>
      </c>
      <c r="C52" s="26">
        <f>C51*C50</f>
        <v>571.16561999999999</v>
      </c>
      <c r="D52" s="26">
        <f t="shared" ref="D52:AS52" si="28">D51*D50</f>
        <v>867.67893840419993</v>
      </c>
      <c r="E52" s="26">
        <f t="shared" si="28"/>
        <v>1171.7266602290506</v>
      </c>
      <c r="F52" s="26">
        <f t="shared" si="28"/>
        <v>1483.5002346654708</v>
      </c>
      <c r="G52" s="26">
        <f t="shared" si="28"/>
        <v>1803.1959756283206</v>
      </c>
      <c r="H52" s="26">
        <f t="shared" si="28"/>
        <v>2131.0151853690359</v>
      </c>
      <c r="I52" s="26">
        <f t="shared" si="28"/>
        <v>2467.1642812292635</v>
      </c>
      <c r="J52" s="26">
        <f t="shared" si="28"/>
        <v>2811.8549256152987</v>
      </c>
      <c r="K52" s="26">
        <f t="shared" si="28"/>
        <v>3165.3041592751833</v>
      </c>
      <c r="L52" s="26">
        <f t="shared" si="28"/>
        <v>3527.7345379623662</v>
      </c>
      <c r="M52" s="26">
        <f t="shared" si="28"/>
        <v>3899.3742725719894</v>
      </c>
      <c r="N52" s="26">
        <f t="shared" si="28"/>
        <v>4280.4573728380437</v>
      </c>
      <c r="O52" s="26">
        <f t="shared" si="28"/>
        <v>4671.2237946818586</v>
      </c>
      <c r="P52" s="26">
        <f t="shared" si="28"/>
        <v>5071.9195913047242</v>
      </c>
      <c r="Q52" s="26">
        <f t="shared" si="28"/>
        <v>5482.7970681197776</v>
      </c>
      <c r="R52" s="26">
        <f t="shared" si="28"/>
        <v>5904.1149416207008</v>
      </c>
      <c r="S52" s="26">
        <f t="shared" si="28"/>
        <v>6336.1385022872837</v>
      </c>
      <c r="T52" s="26">
        <f t="shared" si="28"/>
        <v>6779.1397816304034</v>
      </c>
      <c r="U52" s="26">
        <f t="shared" si="28"/>
        <v>7233.3977234816311</v>
      </c>
      <c r="V52" s="26">
        <f t="shared" si="28"/>
        <v>7699.1983596352993</v>
      </c>
      <c r="W52" s="26">
        <f t="shared" si="28"/>
        <v>8176.8349899536324</v>
      </c>
      <c r="X52" s="26">
        <f t="shared" si="28"/>
        <v>8666.6083670483549</v>
      </c>
      <c r="Y52" s="26">
        <f t="shared" si="28"/>
        <v>9168.826885655053</v>
      </c>
      <c r="Z52" s="26">
        <f t="shared" si="28"/>
        <v>9683.8067768195469</v>
      </c>
      <c r="AA52" s="26">
        <f t="shared" si="28"/>
        <v>10211.872307018533</v>
      </c>
      <c r="AB52" s="26">
        <f t="shared" si="28"/>
        <v>10753.355982339874</v>
      </c>
      <c r="AC52" s="26">
        <f t="shared" si="28"/>
        <v>11308.59875785113</v>
      </c>
      <c r="AD52" s="26">
        <f t="shared" si="28"/>
        <v>11877.950252288128</v>
      </c>
      <c r="AE52" s="26">
        <f t="shared" si="28"/>
        <v>12461.768968198769</v>
      </c>
      <c r="AF52" s="26">
        <f t="shared" si="28"/>
        <v>13060.422517680699</v>
      </c>
      <c r="AG52" s="26">
        <f t="shared" si="28"/>
        <v>13674.287853854965</v>
      </c>
      <c r="AH52" s="26">
        <f t="shared" si="28"/>
        <v>14303.751508221419</v>
      </c>
      <c r="AI52" s="26">
        <f t="shared" si="28"/>
        <v>14949.209834045327</v>
      </c>
      <c r="AJ52" s="26">
        <f t="shared" si="28"/>
        <v>15611.069255928418</v>
      </c>
      <c r="AK52" s="26">
        <f t="shared" si="28"/>
        <v>16289.746525721557</v>
      </c>
      <c r="AL52" s="26">
        <f t="shared" si="28"/>
        <v>16985.668984940145</v>
      </c>
      <c r="AM52" s="26">
        <f t="shared" si="28"/>
        <v>17699.274833847474</v>
      </c>
      <c r="AN52" s="26">
        <f t="shared" si="28"/>
        <v>18431.013407375536</v>
      </c>
      <c r="AO52" s="26">
        <f t="shared" si="28"/>
        <v>19181.345458056945</v>
      </c>
      <c r="AP52" s="26">
        <f t="shared" si="28"/>
        <v>19950.743446146174</v>
      </c>
      <c r="AQ52" s="26">
        <f t="shared" si="28"/>
        <v>20739.69183711275</v>
      </c>
      <c r="AR52" s="26">
        <f t="shared" si="28"/>
        <v>21548.687406693782</v>
      </c>
      <c r="AS52" s="26">
        <f t="shared" si="28"/>
        <v>22378.239553697873</v>
      </c>
      <c r="AT52" s="26">
        <f>AT51*AT50</f>
        <v>23228.870620757334</v>
      </c>
      <c r="AU52" s="26">
        <f t="shared" ref="AU52:AY52" si="29">AU51*AU50</f>
        <v>24101.11622323078</v>
      </c>
      <c r="AV52" s="26">
        <f t="shared" si="29"/>
        <v>24995.525586463074</v>
      </c>
      <c r="AW52" s="26">
        <f t="shared" si="29"/>
        <v>25912.661891615102</v>
      </c>
      <c r="AX52" s="26">
        <f t="shared" si="29"/>
        <v>26853.102630281039</v>
      </c>
      <c r="AY52" s="26">
        <f t="shared" si="29"/>
        <v>27817.439968116483</v>
      </c>
    </row>
    <row r="53" spans="1:51" x14ac:dyDescent="0.35">
      <c r="A53" s="2" t="s">
        <v>215</v>
      </c>
      <c r="B53" s="26">
        <f>B52*$B$27</f>
        <v>43.146000000000001</v>
      </c>
      <c r="C53" s="26">
        <f>C52*$B$27</f>
        <v>87.388339860000002</v>
      </c>
      <c r="D53" s="26">
        <f t="shared" ref="D53:AS53" si="30">D52*$B$27</f>
        <v>132.75487757584258</v>
      </c>
      <c r="E53" s="26">
        <f t="shared" si="30"/>
        <v>179.27417901504475</v>
      </c>
      <c r="F53" s="26">
        <f t="shared" si="30"/>
        <v>226.97553590381702</v>
      </c>
      <c r="G53" s="26">
        <f t="shared" si="30"/>
        <v>275.88898427113304</v>
      </c>
      <c r="H53" s="26">
        <f t="shared" si="30"/>
        <v>326.04532336146247</v>
      </c>
      <c r="I53" s="26">
        <f t="shared" si="30"/>
        <v>377.47613502807729</v>
      </c>
      <c r="J53" s="26">
        <f t="shared" si="30"/>
        <v>430.21380361914072</v>
      </c>
      <c r="K53" s="26">
        <f t="shared" si="30"/>
        <v>484.29153636910303</v>
      </c>
      <c r="L53" s="26">
        <f t="shared" si="30"/>
        <v>539.74338430824207</v>
      </c>
      <c r="M53" s="26">
        <f t="shared" si="30"/>
        <v>596.60426370351433</v>
      </c>
      <c r="N53" s="26">
        <f t="shared" si="30"/>
        <v>654.90997804422068</v>
      </c>
      <c r="O53" s="26">
        <f t="shared" si="30"/>
        <v>714.69724058632437</v>
      </c>
      <c r="P53" s="26">
        <f t="shared" si="30"/>
        <v>776.00369746962281</v>
      </c>
      <c r="Q53" s="26">
        <f t="shared" si="30"/>
        <v>838.86795142232597</v>
      </c>
      <c r="R53" s="26">
        <f t="shared" si="30"/>
        <v>903.32958606796717</v>
      </c>
      <c r="S53" s="26">
        <f t="shared" si="30"/>
        <v>969.42919084995435</v>
      </c>
      <c r="T53" s="26">
        <f t="shared" si="30"/>
        <v>1037.2083865894517</v>
      </c>
      <c r="U53" s="26">
        <f t="shared" si="30"/>
        <v>1106.7098516926897</v>
      </c>
      <c r="V53" s="26">
        <f t="shared" si="30"/>
        <v>1177.9773490242007</v>
      </c>
      <c r="W53" s="26">
        <f t="shared" si="30"/>
        <v>1251.0557534629058</v>
      </c>
      <c r="X53" s="26">
        <f t="shared" si="30"/>
        <v>1325.9910801583983</v>
      </c>
      <c r="Y53" s="26">
        <f t="shared" si="30"/>
        <v>1402.8305135052231</v>
      </c>
      <c r="Z53" s="26">
        <f t="shared" si="30"/>
        <v>1481.6224368533906</v>
      </c>
      <c r="AA53" s="26">
        <f t="shared" si="30"/>
        <v>1562.4164629738357</v>
      </c>
      <c r="AB53" s="26">
        <f t="shared" si="30"/>
        <v>1645.2634652980007</v>
      </c>
      <c r="AC53" s="26">
        <f t="shared" si="30"/>
        <v>1730.2156099512229</v>
      </c>
      <c r="AD53" s="26">
        <f t="shared" si="30"/>
        <v>1817.3263886000836</v>
      </c>
      <c r="AE53" s="26">
        <f t="shared" si="30"/>
        <v>1906.6506521344115</v>
      </c>
      <c r="AF53" s="26">
        <f t="shared" si="30"/>
        <v>1998.244645205147</v>
      </c>
      <c r="AG53" s="26">
        <f t="shared" si="30"/>
        <v>2092.1660416398095</v>
      </c>
      <c r="AH53" s="26">
        <f t="shared" si="30"/>
        <v>2188.4739807578771</v>
      </c>
      <c r="AI53" s="26">
        <f t="shared" si="30"/>
        <v>2287.2291046089349</v>
      </c>
      <c r="AJ53" s="26">
        <f t="shared" si="30"/>
        <v>2388.4935961570477</v>
      </c>
      <c r="AK53" s="26">
        <f t="shared" si="30"/>
        <v>2492.3312184353981</v>
      </c>
      <c r="AL53" s="26">
        <f t="shared" si="30"/>
        <v>2598.8073546958422</v>
      </c>
      <c r="AM53" s="26">
        <f t="shared" si="30"/>
        <v>2707.9890495786635</v>
      </c>
      <c r="AN53" s="26">
        <f t="shared" si="30"/>
        <v>2819.9450513284569</v>
      </c>
      <c r="AO53" s="26">
        <f t="shared" si="30"/>
        <v>2934.7458550827128</v>
      </c>
      <c r="AP53" s="26">
        <f t="shared" si="30"/>
        <v>3052.4637472603645</v>
      </c>
      <c r="AQ53" s="26">
        <f t="shared" si="30"/>
        <v>3173.1728510782509</v>
      </c>
      <c r="AR53" s="26">
        <f t="shared" si="30"/>
        <v>3296.9491732241486</v>
      </c>
      <c r="AS53" s="26">
        <f t="shared" si="30"/>
        <v>3423.8706517157743</v>
      </c>
      <c r="AT53" s="26">
        <f>AT52*$B$27</f>
        <v>3554.0172049758721</v>
      </c>
      <c r="AU53" s="26">
        <f t="shared" ref="AU53:AY53" si="31">AU52*$B$27</f>
        <v>3687.4707821543093</v>
      </c>
      <c r="AV53" s="26">
        <f t="shared" si="31"/>
        <v>3824.3154147288501</v>
      </c>
      <c r="AW53" s="26">
        <f t="shared" si="31"/>
        <v>3964.6372694171105</v>
      </c>
      <c r="AX53" s="26">
        <f t="shared" si="31"/>
        <v>4108.5247024329992</v>
      </c>
      <c r="AY53" s="26">
        <f t="shared" si="31"/>
        <v>4256.0683151218218</v>
      </c>
    </row>
    <row r="54" spans="1:51" x14ac:dyDescent="0.35">
      <c r="A54" s="2" t="s">
        <v>258</v>
      </c>
      <c r="B54" s="27">
        <f>B50+(B52-B53)</f>
        <v>9638.8539999999994</v>
      </c>
      <c r="C54" s="27">
        <f>C50+(C52-C53)</f>
        <v>19522.631280139998</v>
      </c>
      <c r="D54" s="27">
        <f t="shared" ref="D54:AS54" si="32">D50+(D52-D53)</f>
        <v>29657.555340968356</v>
      </c>
      <c r="E54" s="27">
        <f t="shared" si="32"/>
        <v>40050.007822182364</v>
      </c>
      <c r="F54" s="27">
        <f t="shared" si="32"/>
        <v>50706.53252094402</v>
      </c>
      <c r="G54" s="27">
        <f t="shared" si="32"/>
        <v>61633.839512301209</v>
      </c>
      <c r="H54" s="27">
        <f t="shared" si="32"/>
        <v>72838.809374308781</v>
      </c>
      <c r="I54" s="27">
        <f t="shared" si="32"/>
        <v>84328.497520509962</v>
      </c>
      <c r="J54" s="27">
        <f t="shared" si="32"/>
        <v>96110.138642506121</v>
      </c>
      <c r="K54" s="27">
        <f t="shared" si="32"/>
        <v>108191.15126541221</v>
      </c>
      <c r="L54" s="27">
        <f t="shared" si="32"/>
        <v>120579.14241906632</v>
      </c>
      <c r="M54" s="27">
        <f t="shared" si="32"/>
        <v>133281.91242793479</v>
      </c>
      <c r="N54" s="27">
        <f t="shared" si="32"/>
        <v>146307.45982272862</v>
      </c>
      <c r="O54" s="27">
        <f t="shared" si="32"/>
        <v>159663.98637682415</v>
      </c>
      <c r="P54" s="27">
        <f t="shared" si="32"/>
        <v>173359.90227065925</v>
      </c>
      <c r="Q54" s="27">
        <f t="shared" si="32"/>
        <v>187403.83138735671</v>
      </c>
      <c r="R54" s="27">
        <f t="shared" si="32"/>
        <v>201804.61674290945</v>
      </c>
      <c r="S54" s="27">
        <f t="shared" si="32"/>
        <v>216571.32605434678</v>
      </c>
      <c r="T54" s="27">
        <f t="shared" si="32"/>
        <v>231713.25744938772</v>
      </c>
      <c r="U54" s="27">
        <f t="shared" si="32"/>
        <v>247239.94532117667</v>
      </c>
      <c r="V54" s="27">
        <f t="shared" si="32"/>
        <v>263161.16633178777</v>
      </c>
      <c r="W54" s="27">
        <f t="shared" si="32"/>
        <v>279486.94556827849</v>
      </c>
      <c r="X54" s="27">
        <f t="shared" si="32"/>
        <v>296227.56285516842</v>
      </c>
      <c r="Y54" s="27">
        <f t="shared" si="32"/>
        <v>313393.55922731827</v>
      </c>
      <c r="Z54" s="27">
        <f t="shared" si="32"/>
        <v>330995.74356728443</v>
      </c>
      <c r="AA54" s="27">
        <f t="shared" si="32"/>
        <v>349045.19941132911</v>
      </c>
      <c r="AB54" s="27">
        <f t="shared" si="32"/>
        <v>367553.29192837101</v>
      </c>
      <c r="AC54" s="27">
        <f t="shared" si="32"/>
        <v>386531.67507627094</v>
      </c>
      <c r="AD54" s="27">
        <f t="shared" si="32"/>
        <v>405992.29893995897</v>
      </c>
      <c r="AE54" s="27">
        <f t="shared" si="32"/>
        <v>425947.41725602333</v>
      </c>
      <c r="AF54" s="27">
        <f t="shared" si="32"/>
        <v>446409.59512849886</v>
      </c>
      <c r="AG54" s="27">
        <f t="shared" si="32"/>
        <v>467391.71694071399</v>
      </c>
      <c r="AH54" s="27">
        <f t="shared" si="32"/>
        <v>488906.99446817755</v>
      </c>
      <c r="AI54" s="27">
        <f t="shared" si="32"/>
        <v>510968.97519761394</v>
      </c>
      <c r="AJ54" s="27">
        <f t="shared" si="32"/>
        <v>533591.55085738527</v>
      </c>
      <c r="AK54" s="27">
        <f t="shared" si="32"/>
        <v>556788.96616467147</v>
      </c>
      <c r="AL54" s="27">
        <f t="shared" si="32"/>
        <v>580575.82779491576</v>
      </c>
      <c r="AM54" s="27">
        <f t="shared" si="32"/>
        <v>604967.11357918452</v>
      </c>
      <c r="AN54" s="27">
        <f t="shared" si="32"/>
        <v>629978.18193523155</v>
      </c>
      <c r="AO54" s="27">
        <f t="shared" si="32"/>
        <v>655624.7815382058</v>
      </c>
      <c r="AP54" s="27">
        <f t="shared" si="32"/>
        <v>681923.06123709166</v>
      </c>
      <c r="AQ54" s="27">
        <f t="shared" si="32"/>
        <v>708889.5802231261</v>
      </c>
      <c r="AR54" s="27">
        <f t="shared" si="32"/>
        <v>736541.31845659576</v>
      </c>
      <c r="AS54" s="27">
        <f t="shared" si="32"/>
        <v>764895.68735857785</v>
      </c>
      <c r="AT54" s="27">
        <f>AT50+(AT52-AT53)</f>
        <v>793970.54077435937</v>
      </c>
      <c r="AU54" s="27">
        <f t="shared" ref="AU54:AY54" si="33">AU50+(AU52-AU53)</f>
        <v>823784.18621543585</v>
      </c>
      <c r="AV54" s="27">
        <f t="shared" si="33"/>
        <v>854355.39638717007</v>
      </c>
      <c r="AW54" s="27">
        <f t="shared" si="33"/>
        <v>885703.42100936803</v>
      </c>
      <c r="AX54" s="27">
        <f t="shared" si="33"/>
        <v>917847.99893721612</v>
      </c>
      <c r="AY54" s="27">
        <f t="shared" si="33"/>
        <v>950809.37059021078</v>
      </c>
    </row>
  </sheetData>
  <hyperlinks>
    <hyperlink ref="B42" r:id="rId1" xr:uid="{DC3AC62C-788D-42E6-B041-DA3AF4FF2A8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4FE6-B451-4D0C-BFEC-B4190171C9BE}">
  <sheetPr>
    <tabColor theme="8" tint="0.79998168889431442"/>
  </sheetPr>
  <dimension ref="A1:BI58"/>
  <sheetViews>
    <sheetView topLeftCell="A25" zoomScale="90" zoomScaleNormal="66" workbookViewId="0">
      <selection activeCell="E32" sqref="E32"/>
    </sheetView>
  </sheetViews>
  <sheetFormatPr defaultColWidth="9.1796875" defaultRowHeight="14.5" x14ac:dyDescent="0.35"/>
  <cols>
    <col min="1" max="1" width="30.7265625" style="2" bestFit="1" customWidth="1"/>
    <col min="2" max="2" width="13.26953125" style="2" bestFit="1" customWidth="1"/>
    <col min="3" max="3" width="9.1796875" style="2"/>
    <col min="4" max="4" width="43.453125" style="2" bestFit="1" customWidth="1"/>
    <col min="5" max="5" width="21" style="2" bestFit="1" customWidth="1"/>
    <col min="6" max="7" width="14.453125" style="2" customWidth="1"/>
    <col min="8" max="49" width="19" style="2" bestFit="1" customWidth="1"/>
    <col min="50" max="55" width="15" style="2" bestFit="1" customWidth="1"/>
    <col min="56" max="59" width="9.1796875" style="2"/>
    <col min="60" max="60" width="38.81640625" style="2" bestFit="1" customWidth="1"/>
    <col min="61" max="16384" width="9.1796875" style="2"/>
  </cols>
  <sheetData>
    <row r="1" spans="1:61" x14ac:dyDescent="0.35">
      <c r="A1" s="2" t="s">
        <v>62</v>
      </c>
      <c r="B1" s="17">
        <f>'Salary Variables'!$C$2</f>
        <v>0.03</v>
      </c>
      <c r="D1" s="2" t="s">
        <v>1</v>
      </c>
      <c r="E1" s="2">
        <v>2010</v>
      </c>
      <c r="F1" s="2">
        <v>2011</v>
      </c>
      <c r="G1" s="2">
        <v>2012</v>
      </c>
      <c r="H1" s="2">
        <v>2013</v>
      </c>
      <c r="I1" s="2">
        <v>2014</v>
      </c>
      <c r="J1" s="2">
        <v>2015</v>
      </c>
      <c r="K1" s="2">
        <v>2016</v>
      </c>
      <c r="L1" s="2">
        <v>2017</v>
      </c>
      <c r="M1" s="2">
        <v>2018</v>
      </c>
      <c r="N1" s="2">
        <v>2019</v>
      </c>
      <c r="O1" s="2">
        <v>2020</v>
      </c>
      <c r="P1" s="2">
        <v>2021</v>
      </c>
      <c r="Q1" s="2">
        <v>2022</v>
      </c>
      <c r="R1" s="2">
        <v>2023</v>
      </c>
      <c r="S1" s="2">
        <v>2024</v>
      </c>
      <c r="T1" s="2">
        <v>2025</v>
      </c>
      <c r="U1" s="2">
        <v>2026</v>
      </c>
      <c r="V1" s="2">
        <v>2027</v>
      </c>
      <c r="W1" s="2">
        <v>2028</v>
      </c>
      <c r="X1" s="2">
        <v>2029</v>
      </c>
      <c r="Y1" s="2">
        <v>2030</v>
      </c>
      <c r="Z1" s="2">
        <v>2031</v>
      </c>
      <c r="AA1" s="2">
        <v>2032</v>
      </c>
      <c r="AB1" s="2">
        <v>2033</v>
      </c>
      <c r="AC1" s="2">
        <v>2034</v>
      </c>
      <c r="AD1" s="2">
        <v>2035</v>
      </c>
      <c r="AE1" s="2">
        <v>2036</v>
      </c>
      <c r="AF1" s="2">
        <v>2037</v>
      </c>
      <c r="AG1" s="2">
        <v>2038</v>
      </c>
      <c r="AH1" s="2">
        <v>2039</v>
      </c>
      <c r="AI1" s="2">
        <v>2040</v>
      </c>
      <c r="AJ1" s="2">
        <v>2041</v>
      </c>
      <c r="AK1" s="2">
        <v>2042</v>
      </c>
      <c r="AL1" s="2">
        <v>2043</v>
      </c>
      <c r="AM1" s="2">
        <v>2044</v>
      </c>
      <c r="AN1" s="2">
        <v>2045</v>
      </c>
      <c r="AO1" s="2">
        <v>2046</v>
      </c>
      <c r="AP1" s="2">
        <v>2047</v>
      </c>
      <c r="AQ1" s="2">
        <v>2048</v>
      </c>
      <c r="AR1" s="2">
        <v>2049</v>
      </c>
      <c r="AS1" s="2">
        <v>2050</v>
      </c>
      <c r="AT1" s="2">
        <v>2051</v>
      </c>
      <c r="AU1" s="2">
        <v>2052</v>
      </c>
      <c r="AV1" s="2">
        <v>2053</v>
      </c>
      <c r="AW1" s="2">
        <v>2054</v>
      </c>
      <c r="AX1" s="2">
        <v>2055</v>
      </c>
      <c r="AY1" s="2">
        <v>2056</v>
      </c>
      <c r="AZ1" s="2">
        <v>2057</v>
      </c>
      <c r="BA1" s="2">
        <v>2058</v>
      </c>
      <c r="BB1" s="2">
        <v>2059</v>
      </c>
    </row>
    <row r="2" spans="1:61" x14ac:dyDescent="0.35">
      <c r="A2" s="2" t="s">
        <v>194</v>
      </c>
      <c r="B2" s="28">
        <f>'Salary Variables'!$C$14</f>
        <v>9400</v>
      </c>
      <c r="D2" s="2" t="s">
        <v>195</v>
      </c>
      <c r="E2" s="29" cm="1">
        <f t="array" ref="E2:S2">TRANSPOSE('Income - P2 Helper'!N3:N17)</f>
        <v>63888.926219270012</v>
      </c>
      <c r="F2" s="29">
        <v>63888.926219270012</v>
      </c>
      <c r="G2" s="29">
        <v>63888.926219270012</v>
      </c>
      <c r="H2" s="29">
        <v>65864.872391000012</v>
      </c>
      <c r="I2" s="29">
        <v>65864.872391000012</v>
      </c>
      <c r="J2" s="29">
        <v>65864.872391000012</v>
      </c>
      <c r="K2" s="29">
        <v>65864.872391000012</v>
      </c>
      <c r="L2" s="29">
        <v>67901.930300000007</v>
      </c>
      <c r="M2" s="29">
        <v>67901.930300000007</v>
      </c>
      <c r="N2" s="29">
        <v>67901.930300000007</v>
      </c>
      <c r="O2" s="29">
        <v>67901.930300000007</v>
      </c>
      <c r="P2" s="29">
        <v>70001.990000000005</v>
      </c>
      <c r="Q2" s="29">
        <v>70001.990000000005</v>
      </c>
      <c r="R2" s="29">
        <v>70001.990000000005</v>
      </c>
      <c r="S2" s="29">
        <v>72167</v>
      </c>
      <c r="T2" s="29" cm="1">
        <f t="array" ref="T2:BB2">TRANSPOSE(Income!P3:P37)</f>
        <v>72167</v>
      </c>
      <c r="U2" s="29">
        <v>72167</v>
      </c>
      <c r="V2" s="29">
        <v>74332.009999999995</v>
      </c>
      <c r="W2" s="29">
        <v>74332.009999999995</v>
      </c>
      <c r="X2" s="29">
        <v>74332.009999999995</v>
      </c>
      <c r="Y2" s="29">
        <v>74332.009999999995</v>
      </c>
      <c r="Z2" s="29">
        <v>76561.970300000001</v>
      </c>
      <c r="AA2" s="29">
        <v>76561.970300000001</v>
      </c>
      <c r="AB2" s="29">
        <v>76561.970300000001</v>
      </c>
      <c r="AC2" s="29">
        <v>76561.970300000001</v>
      </c>
      <c r="AD2" s="29">
        <v>78858.829408999998</v>
      </c>
      <c r="AE2" s="29">
        <v>78858.829408999998</v>
      </c>
      <c r="AF2" s="29">
        <v>78858.829408999998</v>
      </c>
      <c r="AG2" s="29">
        <v>81224.594291269997</v>
      </c>
      <c r="AH2" s="29">
        <v>81224.594291269997</v>
      </c>
      <c r="AI2" s="29">
        <v>81224.594291269997</v>
      </c>
      <c r="AJ2" s="29">
        <v>81224.594291269997</v>
      </c>
      <c r="AK2" s="29">
        <v>81224.594291269997</v>
      </c>
      <c r="AL2" s="29">
        <v>83661.332120008097</v>
      </c>
      <c r="AM2" s="29">
        <v>83661.332120008097</v>
      </c>
      <c r="AN2" s="29">
        <v>83661.332120008097</v>
      </c>
      <c r="AO2" s="29">
        <v>83661.332120008097</v>
      </c>
      <c r="AP2" s="29">
        <v>86171.17208360834</v>
      </c>
      <c r="AQ2" s="29">
        <v>86171.17208360834</v>
      </c>
      <c r="AR2" s="29">
        <v>86171.17208360834</v>
      </c>
      <c r="AS2" s="29">
        <v>86171.17208360834</v>
      </c>
      <c r="AT2" s="29">
        <v>86171.17208360834</v>
      </c>
      <c r="AU2" s="29">
        <v>86171.17208360834</v>
      </c>
      <c r="AV2" s="29">
        <v>86171.17208360834</v>
      </c>
      <c r="AW2" s="29">
        <v>86171.17208360834</v>
      </c>
      <c r="AX2" s="2">
        <v>86171.17208360834</v>
      </c>
      <c r="AY2" s="2">
        <v>86171.17208360834</v>
      </c>
      <c r="AZ2" s="2">
        <v>86171.17208360834</v>
      </c>
      <c r="BA2" s="2">
        <v>86171.17208360834</v>
      </c>
      <c r="BB2" s="2">
        <v>86171.17208360834</v>
      </c>
      <c r="BH2" s="2" t="s">
        <v>206</v>
      </c>
      <c r="BI2" s="2" cm="1">
        <f t="array" ref="BI2:BI37">TRANSPOSE(T17:BC17)</f>
        <v>38333.579818866674</v>
      </c>
    </row>
    <row r="3" spans="1:61" x14ac:dyDescent="0.35">
      <c r="D3" s="2" t="s">
        <v>186</v>
      </c>
      <c r="E3" s="29">
        <f>E2*12</f>
        <v>766667.11463124014</v>
      </c>
      <c r="F3" s="29">
        <f t="shared" ref="F3:AW3" si="0">F2*12</f>
        <v>766667.11463124014</v>
      </c>
      <c r="G3" s="29">
        <f t="shared" si="0"/>
        <v>766667.11463124014</v>
      </c>
      <c r="H3" s="29">
        <f t="shared" si="0"/>
        <v>790378.46869200014</v>
      </c>
      <c r="I3" s="29">
        <f t="shared" si="0"/>
        <v>790378.46869200014</v>
      </c>
      <c r="J3" s="29">
        <f t="shared" si="0"/>
        <v>790378.46869200014</v>
      </c>
      <c r="K3" s="29">
        <f t="shared" si="0"/>
        <v>790378.46869200014</v>
      </c>
      <c r="L3" s="29">
        <f t="shared" si="0"/>
        <v>814823.16360000009</v>
      </c>
      <c r="M3" s="29">
        <f t="shared" si="0"/>
        <v>814823.16360000009</v>
      </c>
      <c r="N3" s="29">
        <f t="shared" si="0"/>
        <v>814823.16360000009</v>
      </c>
      <c r="O3" s="29">
        <f t="shared" si="0"/>
        <v>814823.16360000009</v>
      </c>
      <c r="P3" s="29">
        <f t="shared" si="0"/>
        <v>840023.88000000012</v>
      </c>
      <c r="Q3" s="29">
        <f t="shared" si="0"/>
        <v>840023.88000000012</v>
      </c>
      <c r="R3" s="29">
        <f t="shared" si="0"/>
        <v>840023.88000000012</v>
      </c>
      <c r="S3" s="29">
        <f t="shared" si="0"/>
        <v>866004</v>
      </c>
      <c r="T3" s="29">
        <f t="shared" si="0"/>
        <v>866004</v>
      </c>
      <c r="U3" s="29">
        <f t="shared" si="0"/>
        <v>866004</v>
      </c>
      <c r="V3" s="29">
        <f t="shared" si="0"/>
        <v>891984.11999999988</v>
      </c>
      <c r="W3" s="29">
        <f t="shared" si="0"/>
        <v>891984.11999999988</v>
      </c>
      <c r="X3" s="29">
        <f t="shared" si="0"/>
        <v>891984.11999999988</v>
      </c>
      <c r="Y3" s="29">
        <f t="shared" si="0"/>
        <v>891984.11999999988</v>
      </c>
      <c r="Z3" s="29">
        <f t="shared" si="0"/>
        <v>918743.64360000007</v>
      </c>
      <c r="AA3" s="29">
        <f t="shared" si="0"/>
        <v>918743.64360000007</v>
      </c>
      <c r="AB3" s="29">
        <f t="shared" si="0"/>
        <v>918743.64360000007</v>
      </c>
      <c r="AC3" s="29">
        <f t="shared" si="0"/>
        <v>918743.64360000007</v>
      </c>
      <c r="AD3" s="29">
        <f t="shared" si="0"/>
        <v>946305.95290799998</v>
      </c>
      <c r="AE3" s="29">
        <f t="shared" si="0"/>
        <v>946305.95290799998</v>
      </c>
      <c r="AF3" s="29">
        <f t="shared" si="0"/>
        <v>946305.95290799998</v>
      </c>
      <c r="AG3" s="29">
        <f t="shared" si="0"/>
        <v>974695.13149523991</v>
      </c>
      <c r="AH3" s="29">
        <f t="shared" si="0"/>
        <v>974695.13149523991</v>
      </c>
      <c r="AI3" s="29">
        <f t="shared" si="0"/>
        <v>974695.13149523991</v>
      </c>
      <c r="AJ3" s="29">
        <f t="shared" si="0"/>
        <v>974695.13149523991</v>
      </c>
      <c r="AK3" s="29">
        <f t="shared" si="0"/>
        <v>974695.13149523991</v>
      </c>
      <c r="AL3" s="29">
        <f t="shared" si="0"/>
        <v>1003935.9854400972</v>
      </c>
      <c r="AM3" s="29">
        <f t="shared" si="0"/>
        <v>1003935.9854400972</v>
      </c>
      <c r="AN3" s="29">
        <f t="shared" si="0"/>
        <v>1003935.9854400972</v>
      </c>
      <c r="AO3" s="29">
        <f t="shared" si="0"/>
        <v>1003935.9854400972</v>
      </c>
      <c r="AP3" s="29">
        <f t="shared" si="0"/>
        <v>1034054.0650033001</v>
      </c>
      <c r="AQ3" s="29">
        <f t="shared" si="0"/>
        <v>1034054.0650033001</v>
      </c>
      <c r="AR3" s="29">
        <f t="shared" si="0"/>
        <v>1034054.0650033001</v>
      </c>
      <c r="AS3" s="29">
        <f t="shared" si="0"/>
        <v>1034054.0650033001</v>
      </c>
      <c r="AT3" s="29">
        <f t="shared" si="0"/>
        <v>1034054.0650033001</v>
      </c>
      <c r="AU3" s="29">
        <f t="shared" si="0"/>
        <v>1034054.0650033001</v>
      </c>
      <c r="AV3" s="29">
        <f t="shared" si="0"/>
        <v>1034054.0650033001</v>
      </c>
      <c r="AW3" s="29">
        <f t="shared" si="0"/>
        <v>1034054.0650033001</v>
      </c>
      <c r="AX3" s="29">
        <f t="shared" ref="AX3:BB3" si="1">AX2*12</f>
        <v>1034054.0650033001</v>
      </c>
      <c r="AY3" s="29">
        <f t="shared" si="1"/>
        <v>1034054.0650033001</v>
      </c>
      <c r="AZ3" s="29">
        <f t="shared" si="1"/>
        <v>1034054.0650033001</v>
      </c>
      <c r="BA3" s="29">
        <f t="shared" si="1"/>
        <v>1034054.0650033001</v>
      </c>
      <c r="BB3" s="29">
        <f t="shared" si="1"/>
        <v>1034054.0650033001</v>
      </c>
      <c r="BI3" s="2">
        <v>38333.579818866674</v>
      </c>
    </row>
    <row r="4" spans="1:61" x14ac:dyDescent="0.35">
      <c r="A4" s="2" t="str" cm="1">
        <f t="array" ref="A4:B12">'Salary Variables'!$B$16:$C$24</f>
        <v>AM (%)</v>
      </c>
      <c r="B4" s="25">
        <v>0.08</v>
      </c>
      <c r="D4" s="2" t="s">
        <v>277</v>
      </c>
      <c r="E4" s="29">
        <f>'Pensions P2'!B4*12</f>
        <v>38333.355731562013</v>
      </c>
      <c r="F4" s="29">
        <f>'Pensions P2'!C4*12</f>
        <v>38333.355731562013</v>
      </c>
      <c r="G4" s="29">
        <f>'Pensions P2'!D4*12</f>
        <v>38333.355731562013</v>
      </c>
      <c r="H4" s="29">
        <f>'Pensions P2'!E4*12</f>
        <v>39518.923434600008</v>
      </c>
      <c r="I4" s="29">
        <f>'Pensions P2'!F4*12</f>
        <v>39518.923434600008</v>
      </c>
      <c r="J4" s="29">
        <f>'Pensions P2'!G4*12</f>
        <v>39518.923434600008</v>
      </c>
      <c r="K4" s="29">
        <f>'Pensions P2'!H4*12</f>
        <v>39518.923434600008</v>
      </c>
      <c r="L4" s="29">
        <f>'Pensions P2'!I4*12</f>
        <v>40741.158180000006</v>
      </c>
      <c r="M4" s="29">
        <f>'Pensions P2'!J4*12</f>
        <v>40741.158180000006</v>
      </c>
      <c r="N4" s="29">
        <f>'Pensions P2'!K4*12</f>
        <v>40741.158180000006</v>
      </c>
      <c r="O4" s="29">
        <f>'Pensions P2'!L4*12</f>
        <v>40741.158180000006</v>
      </c>
      <c r="P4" s="29">
        <f>'Pensions P2'!M4*12</f>
        <v>42001.194000000003</v>
      </c>
      <c r="Q4" s="29">
        <f>'Pensions P2'!N4*12</f>
        <v>42001.194000000003</v>
      </c>
      <c r="R4" s="29">
        <f>'Pensions P2'!O4*12</f>
        <v>42001.194000000003</v>
      </c>
      <c r="S4" s="29">
        <f>'Pensions P2'!P4*12</f>
        <v>43300.200000000004</v>
      </c>
      <c r="T4" s="29">
        <f>'Pensions P2'!Q4*12</f>
        <v>43300.200000000004</v>
      </c>
      <c r="U4" s="29">
        <f>'Pensions P2'!R4*12</f>
        <v>43300.200000000004</v>
      </c>
      <c r="V4" s="29">
        <f>'Pensions P2'!S4*12</f>
        <v>44599.205999999998</v>
      </c>
      <c r="W4" s="29">
        <f>'Pensions P2'!T4*12</f>
        <v>44599.205999999998</v>
      </c>
      <c r="X4" s="29">
        <f>'Pensions P2'!U4*12</f>
        <v>44599.205999999998</v>
      </c>
      <c r="Y4" s="29">
        <f>'Pensions P2'!V4*12</f>
        <v>44599.205999999998</v>
      </c>
      <c r="Z4" s="29">
        <f>'Pensions P2'!W4*12</f>
        <v>45937.182180000003</v>
      </c>
      <c r="AA4" s="29">
        <f>'Pensions P2'!X4*12</f>
        <v>45937.182180000003</v>
      </c>
      <c r="AB4" s="29">
        <f>'Pensions P2'!Y4*12</f>
        <v>45937.182180000003</v>
      </c>
      <c r="AC4" s="29">
        <f>'Pensions P2'!Z4*12</f>
        <v>45937.182180000003</v>
      </c>
      <c r="AD4" s="29">
        <f>'Pensions P2'!AA4*12</f>
        <v>47315.297645400002</v>
      </c>
      <c r="AE4" s="29">
        <f>'Pensions P2'!AB4*12</f>
        <v>47315.297645400002</v>
      </c>
      <c r="AF4" s="29">
        <f>'Pensions P2'!AC4*12</f>
        <v>47315.297645400002</v>
      </c>
      <c r="AG4" s="29">
        <f>'Pensions P2'!AD4*12</f>
        <v>48734.756574762003</v>
      </c>
      <c r="AH4" s="29">
        <f>'Pensions P2'!AE4*12</f>
        <v>48734.756574762003</v>
      </c>
      <c r="AI4" s="29">
        <f>'Pensions P2'!AF4*12</f>
        <v>48734.756574762003</v>
      </c>
      <c r="AJ4" s="29">
        <f>'Pensions P2'!AG4*12</f>
        <v>48734.756574762003</v>
      </c>
      <c r="AK4" s="29">
        <f>'Pensions P2'!AH4*12</f>
        <v>48734.756574762003</v>
      </c>
      <c r="AL4" s="29">
        <f>'Pensions P2'!AI4*12</f>
        <v>50196.799272004864</v>
      </c>
      <c r="AM4" s="29">
        <f>'Pensions P2'!AJ4*12</f>
        <v>50196.799272004864</v>
      </c>
      <c r="AN4" s="29">
        <f>'Pensions P2'!AK4*12</f>
        <v>50196.799272004864</v>
      </c>
      <c r="AO4" s="29">
        <f>'Pensions P2'!AL4*12</f>
        <v>50196.799272004864</v>
      </c>
      <c r="AP4" s="29">
        <f>'Pensions P2'!AM4*12</f>
        <v>51702.70325016501</v>
      </c>
      <c r="AQ4" s="29">
        <f>'Pensions P2'!AN4*12</f>
        <v>51702.70325016501</v>
      </c>
      <c r="AR4" s="29">
        <f>'Pensions P2'!AO4*12</f>
        <v>51702.70325016501</v>
      </c>
      <c r="AS4" s="29">
        <f>'Pensions P2'!AP4*12</f>
        <v>51702.70325016501</v>
      </c>
      <c r="AT4" s="29">
        <f>'Pensions P2'!AQ4*12</f>
        <v>51702.70325016501</v>
      </c>
      <c r="AU4" s="29">
        <f>'Pensions P2'!AR4*12</f>
        <v>51702.70325016501</v>
      </c>
      <c r="AV4" s="29">
        <f>'Pensions P2'!AS4*12</f>
        <v>51702.70325016501</v>
      </c>
      <c r="AW4" s="29">
        <f>'Pensions P2'!AT4*12</f>
        <v>51702.70325016501</v>
      </c>
      <c r="AX4" s="29">
        <f>'Pensions P2'!AU4*12</f>
        <v>51702.70325016501</v>
      </c>
      <c r="AY4" s="29">
        <f>'Pensions P2'!AV4*12</f>
        <v>51702.70325016501</v>
      </c>
      <c r="AZ4" s="29">
        <f>'Pensions P2'!AW4*12</f>
        <v>51702.70325016501</v>
      </c>
      <c r="BA4" s="29">
        <f>'Pensions P2'!AX4*12</f>
        <v>51702.70325016501</v>
      </c>
      <c r="BB4" s="29">
        <f>'Pensions P2'!AY4*12</f>
        <v>51702.70325016501</v>
      </c>
      <c r="BI4" s="2">
        <v>39241.655592192663</v>
      </c>
    </row>
    <row r="5" spans="1:61" x14ac:dyDescent="0.35">
      <c r="A5" s="2" t="str">
        <v>Personal Allowance</v>
      </c>
      <c r="B5" s="28">
        <v>51600</v>
      </c>
      <c r="D5" s="2" t="s">
        <v>187</v>
      </c>
      <c r="E5" s="29">
        <f t="shared" ref="E5:AW5" si="2">E3-E4</f>
        <v>728333.75889967813</v>
      </c>
      <c r="F5" s="29">
        <f t="shared" si="2"/>
        <v>728333.75889967813</v>
      </c>
      <c r="G5" s="29">
        <f t="shared" si="2"/>
        <v>728333.75889967813</v>
      </c>
      <c r="H5" s="29">
        <f t="shared" si="2"/>
        <v>750859.54525740014</v>
      </c>
      <c r="I5" s="29">
        <f t="shared" si="2"/>
        <v>750859.54525740014</v>
      </c>
      <c r="J5" s="29">
        <f t="shared" si="2"/>
        <v>750859.54525740014</v>
      </c>
      <c r="K5" s="29">
        <f t="shared" si="2"/>
        <v>750859.54525740014</v>
      </c>
      <c r="L5" s="29">
        <f t="shared" si="2"/>
        <v>774082.00542000006</v>
      </c>
      <c r="M5" s="29">
        <f t="shared" si="2"/>
        <v>774082.00542000006</v>
      </c>
      <c r="N5" s="29">
        <f t="shared" si="2"/>
        <v>774082.00542000006</v>
      </c>
      <c r="O5" s="29">
        <f t="shared" si="2"/>
        <v>774082.00542000006</v>
      </c>
      <c r="P5" s="29">
        <f t="shared" si="2"/>
        <v>798022.6860000001</v>
      </c>
      <c r="Q5" s="29">
        <f t="shared" si="2"/>
        <v>798022.6860000001</v>
      </c>
      <c r="R5" s="29">
        <f t="shared" si="2"/>
        <v>798022.6860000001</v>
      </c>
      <c r="S5" s="29">
        <f t="shared" si="2"/>
        <v>822703.8</v>
      </c>
      <c r="T5" s="29">
        <f t="shared" si="2"/>
        <v>822703.8</v>
      </c>
      <c r="U5" s="29">
        <f t="shared" si="2"/>
        <v>822703.8</v>
      </c>
      <c r="V5" s="29">
        <f t="shared" si="2"/>
        <v>847384.91399999987</v>
      </c>
      <c r="W5" s="29">
        <f t="shared" si="2"/>
        <v>847384.91399999987</v>
      </c>
      <c r="X5" s="29">
        <f t="shared" si="2"/>
        <v>847384.91399999987</v>
      </c>
      <c r="Y5" s="29">
        <f t="shared" si="2"/>
        <v>847384.91399999987</v>
      </c>
      <c r="Z5" s="29">
        <f t="shared" si="2"/>
        <v>872806.46142000007</v>
      </c>
      <c r="AA5" s="29">
        <f t="shared" si="2"/>
        <v>872806.46142000007</v>
      </c>
      <c r="AB5" s="29">
        <f t="shared" si="2"/>
        <v>872806.46142000007</v>
      </c>
      <c r="AC5" s="29">
        <f t="shared" si="2"/>
        <v>872806.46142000007</v>
      </c>
      <c r="AD5" s="29">
        <f t="shared" si="2"/>
        <v>898990.65526259993</v>
      </c>
      <c r="AE5" s="29">
        <f t="shared" si="2"/>
        <v>898990.65526259993</v>
      </c>
      <c r="AF5" s="29">
        <f t="shared" si="2"/>
        <v>898990.65526259993</v>
      </c>
      <c r="AG5" s="29">
        <f t="shared" si="2"/>
        <v>925960.37492047786</v>
      </c>
      <c r="AH5" s="29">
        <f t="shared" si="2"/>
        <v>925960.37492047786</v>
      </c>
      <c r="AI5" s="29">
        <f t="shared" si="2"/>
        <v>925960.37492047786</v>
      </c>
      <c r="AJ5" s="29">
        <f t="shared" si="2"/>
        <v>925960.37492047786</v>
      </c>
      <c r="AK5" s="29">
        <f t="shared" si="2"/>
        <v>925960.37492047786</v>
      </c>
      <c r="AL5" s="29">
        <f t="shared" si="2"/>
        <v>953739.1861680923</v>
      </c>
      <c r="AM5" s="29">
        <f t="shared" si="2"/>
        <v>953739.1861680923</v>
      </c>
      <c r="AN5" s="29">
        <f t="shared" si="2"/>
        <v>953739.1861680923</v>
      </c>
      <c r="AO5" s="29">
        <f t="shared" si="2"/>
        <v>953739.1861680923</v>
      </c>
      <c r="AP5" s="29">
        <f t="shared" si="2"/>
        <v>982351.3617531351</v>
      </c>
      <c r="AQ5" s="29">
        <f t="shared" si="2"/>
        <v>982351.3617531351</v>
      </c>
      <c r="AR5" s="29">
        <f t="shared" si="2"/>
        <v>982351.3617531351</v>
      </c>
      <c r="AS5" s="29">
        <f t="shared" si="2"/>
        <v>982351.3617531351</v>
      </c>
      <c r="AT5" s="29">
        <f t="shared" si="2"/>
        <v>982351.3617531351</v>
      </c>
      <c r="AU5" s="29">
        <f t="shared" si="2"/>
        <v>982351.3617531351</v>
      </c>
      <c r="AV5" s="29">
        <f t="shared" si="2"/>
        <v>982351.3617531351</v>
      </c>
      <c r="AW5" s="29">
        <f t="shared" si="2"/>
        <v>982351.3617531351</v>
      </c>
      <c r="AX5" s="29">
        <f t="shared" ref="AX5:BB5" si="3">AX3-AX4</f>
        <v>982351.3617531351</v>
      </c>
      <c r="AY5" s="29">
        <f t="shared" si="3"/>
        <v>982351.3617531351</v>
      </c>
      <c r="AZ5" s="29">
        <f t="shared" si="3"/>
        <v>982351.3617531351</v>
      </c>
      <c r="BA5" s="29">
        <f t="shared" si="3"/>
        <v>982351.3617531351</v>
      </c>
      <c r="BB5" s="29">
        <f t="shared" si="3"/>
        <v>982351.3617531351</v>
      </c>
      <c r="BI5" s="2">
        <v>39241.655592192663</v>
      </c>
    </row>
    <row r="6" spans="1:61" x14ac:dyDescent="0.35">
      <c r="A6" s="2" t="str">
        <v>Bottom-Bracket State Tax rate (%)</v>
      </c>
      <c r="B6" s="25">
        <v>0.1201</v>
      </c>
      <c r="D6" s="2" t="s">
        <v>256</v>
      </c>
      <c r="E6" s="28">
        <f>E5-$B$14</f>
        <v>727145.75889967813</v>
      </c>
      <c r="F6" s="28">
        <f t="shared" ref="F6:AW6" si="4">F5-$B$14</f>
        <v>727145.75889967813</v>
      </c>
      <c r="G6" s="28">
        <f t="shared" si="4"/>
        <v>727145.75889967813</v>
      </c>
      <c r="H6" s="28">
        <f t="shared" si="4"/>
        <v>749671.54525740014</v>
      </c>
      <c r="I6" s="28">
        <f t="shared" si="4"/>
        <v>749671.54525740014</v>
      </c>
      <c r="J6" s="28">
        <f t="shared" si="4"/>
        <v>749671.54525740014</v>
      </c>
      <c r="K6" s="28">
        <f t="shared" si="4"/>
        <v>749671.54525740014</v>
      </c>
      <c r="L6" s="28">
        <f t="shared" si="4"/>
        <v>772894.00542000006</v>
      </c>
      <c r="M6" s="28">
        <f t="shared" si="4"/>
        <v>772894.00542000006</v>
      </c>
      <c r="N6" s="28">
        <f t="shared" si="4"/>
        <v>772894.00542000006</v>
      </c>
      <c r="O6" s="28">
        <f t="shared" si="4"/>
        <v>772894.00542000006</v>
      </c>
      <c r="P6" s="28">
        <f t="shared" si="4"/>
        <v>796834.6860000001</v>
      </c>
      <c r="Q6" s="28">
        <f t="shared" si="4"/>
        <v>796834.6860000001</v>
      </c>
      <c r="R6" s="28">
        <f t="shared" si="4"/>
        <v>796834.6860000001</v>
      </c>
      <c r="S6" s="28">
        <f t="shared" si="4"/>
        <v>821515.8</v>
      </c>
      <c r="T6" s="28">
        <f t="shared" si="4"/>
        <v>821515.8</v>
      </c>
      <c r="U6" s="28">
        <f t="shared" si="4"/>
        <v>821515.8</v>
      </c>
      <c r="V6" s="28">
        <f t="shared" si="4"/>
        <v>846196.91399999987</v>
      </c>
      <c r="W6" s="28">
        <f t="shared" si="4"/>
        <v>846196.91399999987</v>
      </c>
      <c r="X6" s="28">
        <f t="shared" si="4"/>
        <v>846196.91399999987</v>
      </c>
      <c r="Y6" s="28">
        <f t="shared" si="4"/>
        <v>846196.91399999987</v>
      </c>
      <c r="Z6" s="28">
        <f t="shared" si="4"/>
        <v>871618.46142000007</v>
      </c>
      <c r="AA6" s="28">
        <f t="shared" si="4"/>
        <v>871618.46142000007</v>
      </c>
      <c r="AB6" s="28">
        <f t="shared" si="4"/>
        <v>871618.46142000007</v>
      </c>
      <c r="AC6" s="28">
        <f t="shared" si="4"/>
        <v>871618.46142000007</v>
      </c>
      <c r="AD6" s="28">
        <f t="shared" si="4"/>
        <v>897802.65526259993</v>
      </c>
      <c r="AE6" s="28">
        <f t="shared" si="4"/>
        <v>897802.65526259993</v>
      </c>
      <c r="AF6" s="28">
        <f t="shared" si="4"/>
        <v>897802.65526259993</v>
      </c>
      <c r="AG6" s="28">
        <f t="shared" si="4"/>
        <v>924772.37492047786</v>
      </c>
      <c r="AH6" s="28">
        <f t="shared" si="4"/>
        <v>924772.37492047786</v>
      </c>
      <c r="AI6" s="28">
        <f t="shared" si="4"/>
        <v>924772.37492047786</v>
      </c>
      <c r="AJ6" s="28">
        <f t="shared" si="4"/>
        <v>924772.37492047786</v>
      </c>
      <c r="AK6" s="28">
        <f t="shared" si="4"/>
        <v>924772.37492047786</v>
      </c>
      <c r="AL6" s="28">
        <f t="shared" si="4"/>
        <v>952551.1861680923</v>
      </c>
      <c r="AM6" s="28">
        <f t="shared" si="4"/>
        <v>952551.1861680923</v>
      </c>
      <c r="AN6" s="28">
        <f t="shared" si="4"/>
        <v>952551.1861680923</v>
      </c>
      <c r="AO6" s="28">
        <f t="shared" si="4"/>
        <v>952551.1861680923</v>
      </c>
      <c r="AP6" s="28">
        <f t="shared" si="4"/>
        <v>981163.3617531351</v>
      </c>
      <c r="AQ6" s="28">
        <f t="shared" si="4"/>
        <v>981163.3617531351</v>
      </c>
      <c r="AR6" s="28">
        <f t="shared" si="4"/>
        <v>981163.3617531351</v>
      </c>
      <c r="AS6" s="28">
        <f t="shared" si="4"/>
        <v>981163.3617531351</v>
      </c>
      <c r="AT6" s="28">
        <f t="shared" si="4"/>
        <v>981163.3617531351</v>
      </c>
      <c r="AU6" s="28">
        <f t="shared" si="4"/>
        <v>981163.3617531351</v>
      </c>
      <c r="AV6" s="28">
        <f t="shared" si="4"/>
        <v>981163.3617531351</v>
      </c>
      <c r="AW6" s="28">
        <f t="shared" si="4"/>
        <v>981163.3617531351</v>
      </c>
      <c r="AX6" s="28">
        <f t="shared" ref="AX6:BB6" si="5">AX5-$B$14</f>
        <v>981163.3617531351</v>
      </c>
      <c r="AY6" s="28">
        <f t="shared" si="5"/>
        <v>981163.3617531351</v>
      </c>
      <c r="AZ6" s="28">
        <f t="shared" si="5"/>
        <v>981163.3617531351</v>
      </c>
      <c r="BA6" s="28">
        <f t="shared" si="5"/>
        <v>981163.3617531351</v>
      </c>
      <c r="BB6" s="28">
        <f t="shared" si="5"/>
        <v>981163.3617531351</v>
      </c>
      <c r="BI6" s="2">
        <v>39241.655592192663</v>
      </c>
    </row>
    <row r="7" spans="1:61" x14ac:dyDescent="0.35">
      <c r="A7" s="2" t="str">
        <v>Top-bracket State Tax rate (%)</v>
      </c>
      <c r="B7" s="25">
        <v>0.15</v>
      </c>
      <c r="D7" s="2" t="s">
        <v>234</v>
      </c>
      <c r="E7" s="28">
        <f>E6*(1-$B$4)</f>
        <v>668974.09818770387</v>
      </c>
      <c r="F7" s="28">
        <f t="shared" ref="F7:AW7" si="6">F6*(1-$B$4)</f>
        <v>668974.09818770387</v>
      </c>
      <c r="G7" s="28">
        <f t="shared" si="6"/>
        <v>668974.09818770387</v>
      </c>
      <c r="H7" s="28">
        <f t="shared" si="6"/>
        <v>689697.8216368081</v>
      </c>
      <c r="I7" s="28">
        <f t="shared" si="6"/>
        <v>689697.8216368081</v>
      </c>
      <c r="J7" s="28">
        <f t="shared" si="6"/>
        <v>689697.8216368081</v>
      </c>
      <c r="K7" s="28">
        <f t="shared" si="6"/>
        <v>689697.8216368081</v>
      </c>
      <c r="L7" s="28">
        <f t="shared" si="6"/>
        <v>711062.48498640012</v>
      </c>
      <c r="M7" s="28">
        <f t="shared" si="6"/>
        <v>711062.48498640012</v>
      </c>
      <c r="N7" s="28">
        <f t="shared" si="6"/>
        <v>711062.48498640012</v>
      </c>
      <c r="O7" s="28">
        <f t="shared" si="6"/>
        <v>711062.48498640012</v>
      </c>
      <c r="P7" s="28">
        <f t="shared" si="6"/>
        <v>733087.91112000018</v>
      </c>
      <c r="Q7" s="28">
        <f t="shared" si="6"/>
        <v>733087.91112000018</v>
      </c>
      <c r="R7" s="28">
        <f t="shared" si="6"/>
        <v>733087.91112000018</v>
      </c>
      <c r="S7" s="28">
        <f t="shared" si="6"/>
        <v>755794.53600000008</v>
      </c>
      <c r="T7" s="28">
        <f t="shared" si="6"/>
        <v>755794.53600000008</v>
      </c>
      <c r="U7" s="28">
        <f t="shared" si="6"/>
        <v>755794.53600000008</v>
      </c>
      <c r="V7" s="28">
        <f t="shared" si="6"/>
        <v>778501.16087999986</v>
      </c>
      <c r="W7" s="28">
        <f t="shared" si="6"/>
        <v>778501.16087999986</v>
      </c>
      <c r="X7" s="28">
        <f t="shared" si="6"/>
        <v>778501.16087999986</v>
      </c>
      <c r="Y7" s="28">
        <f t="shared" si="6"/>
        <v>778501.16087999986</v>
      </c>
      <c r="Z7" s="28">
        <f t="shared" si="6"/>
        <v>801888.98450640007</v>
      </c>
      <c r="AA7" s="28">
        <f t="shared" si="6"/>
        <v>801888.98450640007</v>
      </c>
      <c r="AB7" s="28">
        <f t="shared" si="6"/>
        <v>801888.98450640007</v>
      </c>
      <c r="AC7" s="28">
        <f t="shared" si="6"/>
        <v>801888.98450640007</v>
      </c>
      <c r="AD7" s="28">
        <f t="shared" si="6"/>
        <v>825978.44284159201</v>
      </c>
      <c r="AE7" s="28">
        <f t="shared" si="6"/>
        <v>825978.44284159201</v>
      </c>
      <c r="AF7" s="28">
        <f t="shared" si="6"/>
        <v>825978.44284159201</v>
      </c>
      <c r="AG7" s="28">
        <f t="shared" si="6"/>
        <v>850790.58492683969</v>
      </c>
      <c r="AH7" s="28">
        <f t="shared" si="6"/>
        <v>850790.58492683969</v>
      </c>
      <c r="AI7" s="28">
        <f t="shared" si="6"/>
        <v>850790.58492683969</v>
      </c>
      <c r="AJ7" s="28">
        <f t="shared" si="6"/>
        <v>850790.58492683969</v>
      </c>
      <c r="AK7" s="28">
        <f t="shared" si="6"/>
        <v>850790.58492683969</v>
      </c>
      <c r="AL7" s="28">
        <f t="shared" si="6"/>
        <v>876347.09127464495</v>
      </c>
      <c r="AM7" s="28">
        <f t="shared" si="6"/>
        <v>876347.09127464495</v>
      </c>
      <c r="AN7" s="28">
        <f t="shared" si="6"/>
        <v>876347.09127464495</v>
      </c>
      <c r="AO7" s="28">
        <f t="shared" si="6"/>
        <v>876347.09127464495</v>
      </c>
      <c r="AP7" s="28">
        <f t="shared" si="6"/>
        <v>902670.29281288432</v>
      </c>
      <c r="AQ7" s="28">
        <f t="shared" si="6"/>
        <v>902670.29281288432</v>
      </c>
      <c r="AR7" s="28">
        <f t="shared" si="6"/>
        <v>902670.29281288432</v>
      </c>
      <c r="AS7" s="28">
        <f t="shared" si="6"/>
        <v>902670.29281288432</v>
      </c>
      <c r="AT7" s="28">
        <f t="shared" si="6"/>
        <v>902670.29281288432</v>
      </c>
      <c r="AU7" s="28">
        <f t="shared" si="6"/>
        <v>902670.29281288432</v>
      </c>
      <c r="AV7" s="28">
        <f t="shared" si="6"/>
        <v>902670.29281288432</v>
      </c>
      <c r="AW7" s="28">
        <f t="shared" si="6"/>
        <v>902670.29281288432</v>
      </c>
      <c r="AX7" s="28">
        <f t="shared" ref="AX7:BB7" si="7">AX6*(1-$B$4)</f>
        <v>902670.29281288432</v>
      </c>
      <c r="AY7" s="28">
        <f t="shared" si="7"/>
        <v>902670.29281288432</v>
      </c>
      <c r="AZ7" s="28">
        <f t="shared" si="7"/>
        <v>902670.29281288432</v>
      </c>
      <c r="BA7" s="28">
        <f t="shared" si="7"/>
        <v>902670.29281288432</v>
      </c>
      <c r="BB7" s="28">
        <f t="shared" si="7"/>
        <v>902670.29281288432</v>
      </c>
      <c r="BI7" s="2">
        <v>39241.655592192663</v>
      </c>
    </row>
    <row r="8" spans="1:61" x14ac:dyDescent="0.3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40176.973638718446</v>
      </c>
    </row>
    <row r="9" spans="1:61" x14ac:dyDescent="0.35">
      <c r="A9" s="2" t="str">
        <v>Municipal Tax (%)</v>
      </c>
      <c r="B9" s="25">
        <v>0.25</v>
      </c>
      <c r="D9" s="2" t="s">
        <v>235</v>
      </c>
      <c r="E9" s="28">
        <f t="shared" ref="E9:AW9" si="9">E7-E8</f>
        <v>617374.09818770387</v>
      </c>
      <c r="F9" s="28">
        <f t="shared" si="9"/>
        <v>617374.09818770387</v>
      </c>
      <c r="G9" s="28">
        <f t="shared" si="9"/>
        <v>617374.09818770387</v>
      </c>
      <c r="H9" s="28">
        <f t="shared" si="9"/>
        <v>638097.8216368081</v>
      </c>
      <c r="I9" s="28">
        <f t="shared" si="9"/>
        <v>638097.8216368081</v>
      </c>
      <c r="J9" s="28">
        <f t="shared" si="9"/>
        <v>638097.8216368081</v>
      </c>
      <c r="K9" s="28">
        <f t="shared" si="9"/>
        <v>638097.8216368081</v>
      </c>
      <c r="L9" s="28">
        <f t="shared" si="9"/>
        <v>659462.48498640012</v>
      </c>
      <c r="M9" s="28">
        <f t="shared" si="9"/>
        <v>659462.48498640012</v>
      </c>
      <c r="N9" s="28">
        <f t="shared" si="9"/>
        <v>659462.48498640012</v>
      </c>
      <c r="O9" s="28">
        <f t="shared" si="9"/>
        <v>659462.48498640012</v>
      </c>
      <c r="P9" s="28">
        <f t="shared" si="9"/>
        <v>681487.91112000018</v>
      </c>
      <c r="Q9" s="28">
        <f t="shared" si="9"/>
        <v>681487.91112000018</v>
      </c>
      <c r="R9" s="28">
        <f t="shared" si="9"/>
        <v>681487.91112000018</v>
      </c>
      <c r="S9" s="28">
        <f t="shared" si="9"/>
        <v>704194.53600000008</v>
      </c>
      <c r="T9" s="28">
        <f t="shared" si="9"/>
        <v>704194.53600000008</v>
      </c>
      <c r="U9" s="28">
        <f t="shared" si="9"/>
        <v>704194.53600000008</v>
      </c>
      <c r="V9" s="28">
        <f t="shared" si="9"/>
        <v>726901.16087999986</v>
      </c>
      <c r="W9" s="28">
        <f t="shared" si="9"/>
        <v>726901.16087999986</v>
      </c>
      <c r="X9" s="28">
        <f t="shared" si="9"/>
        <v>726901.16087999986</v>
      </c>
      <c r="Y9" s="28">
        <f t="shared" si="9"/>
        <v>726901.16087999986</v>
      </c>
      <c r="Z9" s="28">
        <f t="shared" si="9"/>
        <v>750288.98450640007</v>
      </c>
      <c r="AA9" s="28">
        <f t="shared" si="9"/>
        <v>750288.98450640007</v>
      </c>
      <c r="AB9" s="28">
        <f t="shared" si="9"/>
        <v>750288.98450640007</v>
      </c>
      <c r="AC9" s="28">
        <f t="shared" si="9"/>
        <v>750288.98450640007</v>
      </c>
      <c r="AD9" s="28">
        <f t="shared" si="9"/>
        <v>774378.44284159201</v>
      </c>
      <c r="AE9" s="28">
        <f t="shared" si="9"/>
        <v>774378.44284159201</v>
      </c>
      <c r="AF9" s="28">
        <f t="shared" si="9"/>
        <v>774378.44284159201</v>
      </c>
      <c r="AG9" s="28">
        <f t="shared" si="9"/>
        <v>799190.58492683969</v>
      </c>
      <c r="AH9" s="28">
        <f t="shared" si="9"/>
        <v>799190.58492683969</v>
      </c>
      <c r="AI9" s="28">
        <f t="shared" si="9"/>
        <v>799190.58492683969</v>
      </c>
      <c r="AJ9" s="28">
        <f t="shared" si="9"/>
        <v>799190.58492683969</v>
      </c>
      <c r="AK9" s="28">
        <f t="shared" si="9"/>
        <v>799190.58492683969</v>
      </c>
      <c r="AL9" s="28">
        <f t="shared" si="9"/>
        <v>824747.09127464495</v>
      </c>
      <c r="AM9" s="28">
        <f t="shared" si="9"/>
        <v>824747.09127464495</v>
      </c>
      <c r="AN9" s="28">
        <f t="shared" si="9"/>
        <v>824747.09127464495</v>
      </c>
      <c r="AO9" s="28">
        <f t="shared" si="9"/>
        <v>824747.09127464495</v>
      </c>
      <c r="AP9" s="28">
        <f t="shared" si="9"/>
        <v>851070.29281288432</v>
      </c>
      <c r="AQ9" s="28">
        <f t="shared" si="9"/>
        <v>851070.29281288432</v>
      </c>
      <c r="AR9" s="28">
        <f t="shared" si="9"/>
        <v>851070.29281288432</v>
      </c>
      <c r="AS9" s="28">
        <f t="shared" si="9"/>
        <v>851070.29281288432</v>
      </c>
      <c r="AT9" s="28">
        <f t="shared" si="9"/>
        <v>851070.29281288432</v>
      </c>
      <c r="AU9" s="28">
        <f t="shared" si="9"/>
        <v>851070.29281288432</v>
      </c>
      <c r="AV9" s="28">
        <f t="shared" si="9"/>
        <v>851070.29281288432</v>
      </c>
      <c r="AW9" s="28">
        <f t="shared" si="9"/>
        <v>851070.29281288432</v>
      </c>
      <c r="AX9" s="28">
        <f t="shared" ref="AX9:BB9" si="10">AX7-AX8</f>
        <v>851070.29281288432</v>
      </c>
      <c r="AY9" s="28">
        <f t="shared" si="10"/>
        <v>851070.29281288432</v>
      </c>
      <c r="AZ9" s="28">
        <f t="shared" si="10"/>
        <v>851070.29281288432</v>
      </c>
      <c r="BA9" s="28">
        <f t="shared" si="10"/>
        <v>851070.29281288432</v>
      </c>
      <c r="BB9" s="28">
        <f t="shared" si="10"/>
        <v>851070.29281288432</v>
      </c>
      <c r="BI9" s="2">
        <v>40176.973638718446</v>
      </c>
    </row>
    <row r="10" spans="1:61" x14ac:dyDescent="0.35">
      <c r="A10" s="2" t="str">
        <v>Capital Gains &lt; 67,500DKK</v>
      </c>
      <c r="B10" s="28">
        <v>0.27</v>
      </c>
      <c r="D10" s="2" t="s">
        <v>189</v>
      </c>
      <c r="E10" s="28">
        <f t="shared" ref="E10:AW10" si="11">E7*$B$9</f>
        <v>167243.52454692597</v>
      </c>
      <c r="F10" s="28">
        <f t="shared" si="11"/>
        <v>167243.52454692597</v>
      </c>
      <c r="G10" s="28">
        <f t="shared" si="11"/>
        <v>167243.52454692597</v>
      </c>
      <c r="H10" s="28">
        <f t="shared" si="11"/>
        <v>172424.45540920203</v>
      </c>
      <c r="I10" s="28">
        <f t="shared" si="11"/>
        <v>172424.45540920203</v>
      </c>
      <c r="J10" s="28">
        <f t="shared" si="11"/>
        <v>172424.45540920203</v>
      </c>
      <c r="K10" s="28">
        <f t="shared" si="11"/>
        <v>172424.45540920203</v>
      </c>
      <c r="L10" s="28">
        <f t="shared" si="11"/>
        <v>177765.62124660003</v>
      </c>
      <c r="M10" s="28">
        <f t="shared" si="11"/>
        <v>177765.62124660003</v>
      </c>
      <c r="N10" s="28">
        <f t="shared" si="11"/>
        <v>177765.62124660003</v>
      </c>
      <c r="O10" s="28">
        <f t="shared" si="11"/>
        <v>177765.62124660003</v>
      </c>
      <c r="P10" s="28">
        <f t="shared" si="11"/>
        <v>183271.97778000004</v>
      </c>
      <c r="Q10" s="28">
        <f t="shared" si="11"/>
        <v>183271.97778000004</v>
      </c>
      <c r="R10" s="28">
        <f t="shared" si="11"/>
        <v>183271.97778000004</v>
      </c>
      <c r="S10" s="28">
        <f t="shared" si="11"/>
        <v>188948.63400000002</v>
      </c>
      <c r="T10" s="28">
        <f t="shared" si="11"/>
        <v>188948.63400000002</v>
      </c>
      <c r="U10" s="28">
        <f t="shared" si="11"/>
        <v>188948.63400000002</v>
      </c>
      <c r="V10" s="28">
        <f t="shared" si="11"/>
        <v>194625.29021999997</v>
      </c>
      <c r="W10" s="28">
        <f t="shared" si="11"/>
        <v>194625.29021999997</v>
      </c>
      <c r="X10" s="28">
        <f t="shared" si="11"/>
        <v>194625.29021999997</v>
      </c>
      <c r="Y10" s="28">
        <f t="shared" si="11"/>
        <v>194625.29021999997</v>
      </c>
      <c r="Z10" s="28">
        <f t="shared" si="11"/>
        <v>200472.24612660002</v>
      </c>
      <c r="AA10" s="28">
        <f t="shared" si="11"/>
        <v>200472.24612660002</v>
      </c>
      <c r="AB10" s="28">
        <f t="shared" si="11"/>
        <v>200472.24612660002</v>
      </c>
      <c r="AC10" s="28">
        <f t="shared" si="11"/>
        <v>200472.24612660002</v>
      </c>
      <c r="AD10" s="28">
        <f t="shared" si="11"/>
        <v>206494.610710398</v>
      </c>
      <c r="AE10" s="28">
        <f t="shared" si="11"/>
        <v>206494.610710398</v>
      </c>
      <c r="AF10" s="28">
        <f t="shared" si="11"/>
        <v>206494.610710398</v>
      </c>
      <c r="AG10" s="28">
        <f t="shared" si="11"/>
        <v>212697.64623170992</v>
      </c>
      <c r="AH10" s="28">
        <f t="shared" si="11"/>
        <v>212697.64623170992</v>
      </c>
      <c r="AI10" s="28">
        <f t="shared" si="11"/>
        <v>212697.64623170992</v>
      </c>
      <c r="AJ10" s="28">
        <f t="shared" si="11"/>
        <v>212697.64623170992</v>
      </c>
      <c r="AK10" s="28">
        <f t="shared" si="11"/>
        <v>212697.64623170992</v>
      </c>
      <c r="AL10" s="28">
        <f t="shared" si="11"/>
        <v>219086.77281866124</v>
      </c>
      <c r="AM10" s="28">
        <f t="shared" si="11"/>
        <v>219086.77281866124</v>
      </c>
      <c r="AN10" s="28">
        <f t="shared" si="11"/>
        <v>219086.77281866124</v>
      </c>
      <c r="AO10" s="28">
        <f t="shared" si="11"/>
        <v>219086.77281866124</v>
      </c>
      <c r="AP10" s="28">
        <f t="shared" si="11"/>
        <v>225667.57320322108</v>
      </c>
      <c r="AQ10" s="28">
        <f t="shared" si="11"/>
        <v>225667.57320322108</v>
      </c>
      <c r="AR10" s="28">
        <f t="shared" si="11"/>
        <v>225667.57320322108</v>
      </c>
      <c r="AS10" s="28">
        <f t="shared" si="11"/>
        <v>225667.57320322108</v>
      </c>
      <c r="AT10" s="28">
        <f t="shared" si="11"/>
        <v>225667.57320322108</v>
      </c>
      <c r="AU10" s="28">
        <f t="shared" si="11"/>
        <v>225667.57320322108</v>
      </c>
      <c r="AV10" s="28">
        <f t="shared" si="11"/>
        <v>225667.57320322108</v>
      </c>
      <c r="AW10" s="28">
        <f t="shared" si="11"/>
        <v>225667.57320322108</v>
      </c>
      <c r="AX10" s="28">
        <f t="shared" ref="AX10:BB10" si="12">AX7*$B$9</f>
        <v>225667.57320322108</v>
      </c>
      <c r="AY10" s="28">
        <f t="shared" si="12"/>
        <v>225667.57320322108</v>
      </c>
      <c r="AZ10" s="28">
        <f t="shared" si="12"/>
        <v>225667.57320322108</v>
      </c>
      <c r="BA10" s="28">
        <f t="shared" si="12"/>
        <v>225667.57320322108</v>
      </c>
      <c r="BB10" s="28">
        <f t="shared" si="12"/>
        <v>225667.57320322108</v>
      </c>
      <c r="BI10" s="2">
        <v>40176.973638718446</v>
      </c>
    </row>
    <row r="11" spans="1:61" x14ac:dyDescent="0.35">
      <c r="A11" s="2" t="str">
        <v>Capital Gains &gt; 67,500DKK</v>
      </c>
      <c r="B11" s="25">
        <v>0.42</v>
      </c>
      <c r="D11" s="2" t="s">
        <v>190</v>
      </c>
      <c r="E11" s="28">
        <f t="shared" ref="E11:AW11" si="13">MAX(E9-$B$8,0)*$B$7</f>
        <v>0</v>
      </c>
      <c r="F11" s="28">
        <f t="shared" si="13"/>
        <v>0</v>
      </c>
      <c r="G11" s="28">
        <f t="shared" si="13"/>
        <v>0</v>
      </c>
      <c r="H11" s="28">
        <f t="shared" si="13"/>
        <v>2954.6732455212154</v>
      </c>
      <c r="I11" s="28">
        <f t="shared" si="13"/>
        <v>2954.6732455212154</v>
      </c>
      <c r="J11" s="28">
        <f t="shared" si="13"/>
        <v>2954.6732455212154</v>
      </c>
      <c r="K11" s="28">
        <f t="shared" si="13"/>
        <v>2954.6732455212154</v>
      </c>
      <c r="L11" s="28">
        <f t="shared" si="13"/>
        <v>6159.3727479600175</v>
      </c>
      <c r="M11" s="28">
        <f t="shared" si="13"/>
        <v>6159.3727479600175</v>
      </c>
      <c r="N11" s="28">
        <f t="shared" si="13"/>
        <v>6159.3727479600175</v>
      </c>
      <c r="O11" s="28">
        <f t="shared" si="13"/>
        <v>6159.3727479600175</v>
      </c>
      <c r="P11" s="28">
        <f t="shared" si="13"/>
        <v>9463.1866680000257</v>
      </c>
      <c r="Q11" s="28">
        <f t="shared" si="13"/>
        <v>9463.1866680000257</v>
      </c>
      <c r="R11" s="28">
        <f t="shared" si="13"/>
        <v>9463.1866680000257</v>
      </c>
      <c r="S11" s="28">
        <f t="shared" si="13"/>
        <v>12869.180400000012</v>
      </c>
      <c r="T11" s="28">
        <f t="shared" si="13"/>
        <v>12869.180400000012</v>
      </c>
      <c r="U11" s="28">
        <f t="shared" si="13"/>
        <v>12869.180400000012</v>
      </c>
      <c r="V11" s="28">
        <f t="shared" si="13"/>
        <v>16275.174131999978</v>
      </c>
      <c r="W11" s="28">
        <f t="shared" si="13"/>
        <v>16275.174131999978</v>
      </c>
      <c r="X11" s="28">
        <f t="shared" si="13"/>
        <v>16275.174131999978</v>
      </c>
      <c r="Y11" s="28">
        <f t="shared" si="13"/>
        <v>16275.174131999978</v>
      </c>
      <c r="Z11" s="28">
        <f t="shared" si="13"/>
        <v>19783.347675960009</v>
      </c>
      <c r="AA11" s="28">
        <f t="shared" si="13"/>
        <v>19783.347675960009</v>
      </c>
      <c r="AB11" s="28">
        <f t="shared" si="13"/>
        <v>19783.347675960009</v>
      </c>
      <c r="AC11" s="28">
        <f t="shared" si="13"/>
        <v>19783.347675960009</v>
      </c>
      <c r="AD11" s="28">
        <f t="shared" si="13"/>
        <v>23396.766426238803</v>
      </c>
      <c r="AE11" s="28">
        <f t="shared" si="13"/>
        <v>23396.766426238803</v>
      </c>
      <c r="AF11" s="28">
        <f t="shared" si="13"/>
        <v>23396.766426238803</v>
      </c>
      <c r="AG11" s="28">
        <f t="shared" si="13"/>
        <v>27118.587739025952</v>
      </c>
      <c r="AH11" s="28">
        <f t="shared" si="13"/>
        <v>27118.587739025952</v>
      </c>
      <c r="AI11" s="28">
        <f t="shared" si="13"/>
        <v>27118.587739025952</v>
      </c>
      <c r="AJ11" s="28">
        <f t="shared" si="13"/>
        <v>27118.587739025952</v>
      </c>
      <c r="AK11" s="28">
        <f t="shared" si="13"/>
        <v>27118.587739025952</v>
      </c>
      <c r="AL11" s="28">
        <f t="shared" si="13"/>
        <v>30952.063691196741</v>
      </c>
      <c r="AM11" s="28">
        <f t="shared" si="13"/>
        <v>30952.063691196741</v>
      </c>
      <c r="AN11" s="28">
        <f t="shared" si="13"/>
        <v>30952.063691196741</v>
      </c>
      <c r="AO11" s="28">
        <f t="shared" si="13"/>
        <v>30952.063691196741</v>
      </c>
      <c r="AP11" s="28">
        <f t="shared" si="13"/>
        <v>34900.543921932644</v>
      </c>
      <c r="AQ11" s="28">
        <f t="shared" si="13"/>
        <v>34900.543921932644</v>
      </c>
      <c r="AR11" s="28">
        <f t="shared" si="13"/>
        <v>34900.543921932644</v>
      </c>
      <c r="AS11" s="28">
        <f t="shared" si="13"/>
        <v>34900.543921932644</v>
      </c>
      <c r="AT11" s="28">
        <f t="shared" si="13"/>
        <v>34900.543921932644</v>
      </c>
      <c r="AU11" s="28">
        <f t="shared" si="13"/>
        <v>34900.543921932644</v>
      </c>
      <c r="AV11" s="28">
        <f t="shared" si="13"/>
        <v>34900.543921932644</v>
      </c>
      <c r="AW11" s="28">
        <f t="shared" si="13"/>
        <v>34900.543921932644</v>
      </c>
      <c r="AX11" s="28">
        <f t="shared" ref="AX11:BB11" si="14">MAX(AX9-$B$8,0)*$B$7</f>
        <v>34900.543921932644</v>
      </c>
      <c r="AY11" s="28">
        <f t="shared" si="14"/>
        <v>34900.543921932644</v>
      </c>
      <c r="AZ11" s="28">
        <f t="shared" si="14"/>
        <v>34900.543921932644</v>
      </c>
      <c r="BA11" s="28">
        <f t="shared" si="14"/>
        <v>34900.543921932644</v>
      </c>
      <c r="BB11" s="28">
        <f t="shared" si="14"/>
        <v>34900.543921932644</v>
      </c>
      <c r="BI11" s="2">
        <v>40176.973638718446</v>
      </c>
    </row>
    <row r="12" spans="1:61" x14ac:dyDescent="0.35">
      <c r="A12" s="2" t="str">
        <v>Capital Gains Threshold</v>
      </c>
      <c r="B12" s="53">
        <v>67500</v>
      </c>
      <c r="D12" s="2" t="s">
        <v>191</v>
      </c>
      <c r="E12" s="28">
        <f t="shared" ref="E12:AW12" si="15">E9*$B$6</f>
        <v>74146.629192343229</v>
      </c>
      <c r="F12" s="28">
        <f t="shared" si="15"/>
        <v>74146.629192343229</v>
      </c>
      <c r="G12" s="28">
        <f t="shared" si="15"/>
        <v>74146.629192343229</v>
      </c>
      <c r="H12" s="28">
        <f t="shared" si="15"/>
        <v>76635.548378580657</v>
      </c>
      <c r="I12" s="28">
        <f t="shared" si="15"/>
        <v>76635.548378580657</v>
      </c>
      <c r="J12" s="28">
        <f t="shared" si="15"/>
        <v>76635.548378580657</v>
      </c>
      <c r="K12" s="28">
        <f t="shared" si="15"/>
        <v>76635.548378580657</v>
      </c>
      <c r="L12" s="28">
        <f t="shared" si="15"/>
        <v>79201.444446866648</v>
      </c>
      <c r="M12" s="28">
        <f t="shared" si="15"/>
        <v>79201.444446866648</v>
      </c>
      <c r="N12" s="28">
        <f t="shared" si="15"/>
        <v>79201.444446866648</v>
      </c>
      <c r="O12" s="28">
        <f t="shared" si="15"/>
        <v>79201.444446866648</v>
      </c>
      <c r="P12" s="28">
        <f t="shared" si="15"/>
        <v>81846.698125512019</v>
      </c>
      <c r="Q12" s="28">
        <f t="shared" si="15"/>
        <v>81846.698125512019</v>
      </c>
      <c r="R12" s="28">
        <f t="shared" si="15"/>
        <v>81846.698125512019</v>
      </c>
      <c r="S12" s="28">
        <f t="shared" si="15"/>
        <v>84573.763773600003</v>
      </c>
      <c r="T12" s="28">
        <f t="shared" si="15"/>
        <v>84573.763773600003</v>
      </c>
      <c r="U12" s="28">
        <f t="shared" si="15"/>
        <v>84573.763773600003</v>
      </c>
      <c r="V12" s="28">
        <f t="shared" si="15"/>
        <v>87300.829421687988</v>
      </c>
      <c r="W12" s="28">
        <f t="shared" si="15"/>
        <v>87300.829421687988</v>
      </c>
      <c r="X12" s="28">
        <f t="shared" si="15"/>
        <v>87300.829421687988</v>
      </c>
      <c r="Y12" s="28">
        <f t="shared" si="15"/>
        <v>87300.829421687988</v>
      </c>
      <c r="Z12" s="28">
        <f t="shared" si="15"/>
        <v>90109.707039218643</v>
      </c>
      <c r="AA12" s="28">
        <f t="shared" si="15"/>
        <v>90109.707039218643</v>
      </c>
      <c r="AB12" s="28">
        <f t="shared" si="15"/>
        <v>90109.707039218643</v>
      </c>
      <c r="AC12" s="28">
        <f t="shared" si="15"/>
        <v>90109.707039218643</v>
      </c>
      <c r="AD12" s="28">
        <f t="shared" si="15"/>
        <v>93002.850985275203</v>
      </c>
      <c r="AE12" s="28">
        <f t="shared" si="15"/>
        <v>93002.850985275203</v>
      </c>
      <c r="AF12" s="28">
        <f t="shared" si="15"/>
        <v>93002.850985275203</v>
      </c>
      <c r="AG12" s="28">
        <f t="shared" si="15"/>
        <v>95982.789249713445</v>
      </c>
      <c r="AH12" s="28">
        <f t="shared" si="15"/>
        <v>95982.789249713445</v>
      </c>
      <c r="AI12" s="28">
        <f t="shared" si="15"/>
        <v>95982.789249713445</v>
      </c>
      <c r="AJ12" s="28">
        <f t="shared" si="15"/>
        <v>95982.789249713445</v>
      </c>
      <c r="AK12" s="28">
        <f t="shared" si="15"/>
        <v>95982.789249713445</v>
      </c>
      <c r="AL12" s="28">
        <f t="shared" si="15"/>
        <v>99052.125662084858</v>
      </c>
      <c r="AM12" s="28">
        <f t="shared" si="15"/>
        <v>99052.125662084858</v>
      </c>
      <c r="AN12" s="28">
        <f t="shared" si="15"/>
        <v>99052.125662084858</v>
      </c>
      <c r="AO12" s="28">
        <f t="shared" si="15"/>
        <v>99052.125662084858</v>
      </c>
      <c r="AP12" s="28">
        <f t="shared" si="15"/>
        <v>102213.54216682741</v>
      </c>
      <c r="AQ12" s="28">
        <f t="shared" si="15"/>
        <v>102213.54216682741</v>
      </c>
      <c r="AR12" s="28">
        <f t="shared" si="15"/>
        <v>102213.54216682741</v>
      </c>
      <c r="AS12" s="28">
        <f t="shared" si="15"/>
        <v>102213.54216682741</v>
      </c>
      <c r="AT12" s="28">
        <f t="shared" si="15"/>
        <v>102213.54216682741</v>
      </c>
      <c r="AU12" s="28">
        <f t="shared" si="15"/>
        <v>102213.54216682741</v>
      </c>
      <c r="AV12" s="28">
        <f t="shared" si="15"/>
        <v>102213.54216682741</v>
      </c>
      <c r="AW12" s="28">
        <f t="shared" si="15"/>
        <v>102213.54216682741</v>
      </c>
      <c r="AX12" s="28">
        <f t="shared" ref="AX12:BB12" si="16">AX9*$B$6</f>
        <v>102213.54216682741</v>
      </c>
      <c r="AY12" s="28">
        <f t="shared" si="16"/>
        <v>102213.54216682741</v>
      </c>
      <c r="AZ12" s="28">
        <f t="shared" si="16"/>
        <v>102213.54216682741</v>
      </c>
      <c r="BA12" s="28">
        <f t="shared" si="16"/>
        <v>102213.54216682741</v>
      </c>
      <c r="BB12" s="28">
        <f t="shared" si="16"/>
        <v>102213.54216682741</v>
      </c>
      <c r="BI12" s="2">
        <v>41140.351226639999</v>
      </c>
    </row>
    <row r="13" spans="1:61" x14ac:dyDescent="0.35">
      <c r="A13" s="2" t="s">
        <v>254</v>
      </c>
      <c r="B13" s="58">
        <v>99</v>
      </c>
      <c r="D13" s="2" t="s">
        <v>192</v>
      </c>
      <c r="E13" s="28">
        <f t="shared" ref="E13:AW13" si="17">SUM(E10:E12)</f>
        <v>241390.15373926918</v>
      </c>
      <c r="F13" s="28">
        <f t="shared" si="17"/>
        <v>241390.15373926918</v>
      </c>
      <c r="G13" s="28">
        <f t="shared" si="17"/>
        <v>241390.15373926918</v>
      </c>
      <c r="H13" s="28">
        <f t="shared" si="17"/>
        <v>252014.67703330389</v>
      </c>
      <c r="I13" s="28">
        <f t="shared" si="17"/>
        <v>252014.67703330389</v>
      </c>
      <c r="J13" s="28">
        <f t="shared" si="17"/>
        <v>252014.67703330389</v>
      </c>
      <c r="K13" s="28">
        <f t="shared" si="17"/>
        <v>252014.67703330389</v>
      </c>
      <c r="L13" s="28">
        <f t="shared" si="17"/>
        <v>263126.43844142667</v>
      </c>
      <c r="M13" s="28">
        <f t="shared" si="17"/>
        <v>263126.43844142667</v>
      </c>
      <c r="N13" s="28">
        <f t="shared" si="17"/>
        <v>263126.43844142667</v>
      </c>
      <c r="O13" s="28">
        <f t="shared" si="17"/>
        <v>263126.43844142667</v>
      </c>
      <c r="P13" s="28">
        <f t="shared" si="17"/>
        <v>274581.86257351213</v>
      </c>
      <c r="Q13" s="28">
        <f t="shared" si="17"/>
        <v>274581.86257351213</v>
      </c>
      <c r="R13" s="28">
        <f t="shared" si="17"/>
        <v>274581.86257351213</v>
      </c>
      <c r="S13" s="28">
        <f t="shared" si="17"/>
        <v>286391.57817360002</v>
      </c>
      <c r="T13" s="28">
        <f t="shared" si="17"/>
        <v>286391.57817360002</v>
      </c>
      <c r="U13" s="28">
        <f t="shared" si="17"/>
        <v>286391.57817360002</v>
      </c>
      <c r="V13" s="28">
        <f t="shared" si="17"/>
        <v>298201.29377368791</v>
      </c>
      <c r="W13" s="28">
        <f t="shared" si="17"/>
        <v>298201.29377368791</v>
      </c>
      <c r="X13" s="28">
        <f t="shared" si="17"/>
        <v>298201.29377368791</v>
      </c>
      <c r="Y13" s="28">
        <f t="shared" si="17"/>
        <v>298201.29377368791</v>
      </c>
      <c r="Z13" s="28">
        <f t="shared" si="17"/>
        <v>310365.30084177869</v>
      </c>
      <c r="AA13" s="28">
        <f t="shared" si="17"/>
        <v>310365.30084177869</v>
      </c>
      <c r="AB13" s="28">
        <f t="shared" si="17"/>
        <v>310365.30084177869</v>
      </c>
      <c r="AC13" s="28">
        <f t="shared" si="17"/>
        <v>310365.30084177869</v>
      </c>
      <c r="AD13" s="28">
        <f t="shared" si="17"/>
        <v>322894.22812191199</v>
      </c>
      <c r="AE13" s="28">
        <f t="shared" si="17"/>
        <v>322894.22812191199</v>
      </c>
      <c r="AF13" s="28">
        <f t="shared" si="17"/>
        <v>322894.22812191199</v>
      </c>
      <c r="AG13" s="28">
        <f t="shared" si="17"/>
        <v>335799.02322044934</v>
      </c>
      <c r="AH13" s="28">
        <f t="shared" si="17"/>
        <v>335799.02322044934</v>
      </c>
      <c r="AI13" s="28">
        <f t="shared" si="17"/>
        <v>335799.02322044934</v>
      </c>
      <c r="AJ13" s="28">
        <f t="shared" si="17"/>
        <v>335799.02322044934</v>
      </c>
      <c r="AK13" s="28">
        <f t="shared" si="17"/>
        <v>335799.02322044934</v>
      </c>
      <c r="AL13" s="28">
        <f t="shared" si="17"/>
        <v>349090.96217194281</v>
      </c>
      <c r="AM13" s="28">
        <f t="shared" si="17"/>
        <v>349090.96217194281</v>
      </c>
      <c r="AN13" s="28">
        <f t="shared" si="17"/>
        <v>349090.96217194281</v>
      </c>
      <c r="AO13" s="28">
        <f t="shared" si="17"/>
        <v>349090.96217194281</v>
      </c>
      <c r="AP13" s="28">
        <f t="shared" si="17"/>
        <v>362781.65929198114</v>
      </c>
      <c r="AQ13" s="28">
        <f t="shared" si="17"/>
        <v>362781.65929198114</v>
      </c>
      <c r="AR13" s="28">
        <f t="shared" si="17"/>
        <v>362781.65929198114</v>
      </c>
      <c r="AS13" s="28">
        <f t="shared" si="17"/>
        <v>362781.65929198114</v>
      </c>
      <c r="AT13" s="28">
        <f t="shared" si="17"/>
        <v>362781.65929198114</v>
      </c>
      <c r="AU13" s="28">
        <f t="shared" si="17"/>
        <v>362781.65929198114</v>
      </c>
      <c r="AV13" s="28">
        <f t="shared" si="17"/>
        <v>362781.65929198114</v>
      </c>
      <c r="AW13" s="28">
        <f t="shared" si="17"/>
        <v>362781.65929198114</v>
      </c>
      <c r="AX13" s="28">
        <f t="shared" ref="AX13:BB13" si="18">SUM(AX10:AX12)</f>
        <v>362781.65929198114</v>
      </c>
      <c r="AY13" s="28">
        <f t="shared" si="18"/>
        <v>362781.65929198114</v>
      </c>
      <c r="AZ13" s="28">
        <f t="shared" si="18"/>
        <v>362781.65929198114</v>
      </c>
      <c r="BA13" s="28">
        <f t="shared" si="18"/>
        <v>362781.65929198114</v>
      </c>
      <c r="BB13" s="28">
        <f t="shared" si="18"/>
        <v>362781.65929198114</v>
      </c>
      <c r="BI13" s="2">
        <v>41140.351226639999</v>
      </c>
    </row>
    <row r="14" spans="1:61" x14ac:dyDescent="0.35">
      <c r="A14" s="2" t="s">
        <v>255</v>
      </c>
      <c r="B14" s="28">
        <f>B13*12</f>
        <v>1188</v>
      </c>
      <c r="D14" s="2" t="s">
        <v>193</v>
      </c>
      <c r="E14" s="28">
        <f>E7-E13</f>
        <v>427583.94444843469</v>
      </c>
      <c r="F14" s="28">
        <f t="shared" ref="F14:AW14" si="19">F7-F13</f>
        <v>427583.94444843469</v>
      </c>
      <c r="G14" s="28">
        <f t="shared" si="19"/>
        <v>427583.94444843469</v>
      </c>
      <c r="H14" s="28">
        <f t="shared" si="19"/>
        <v>437683.14460350422</v>
      </c>
      <c r="I14" s="28">
        <f t="shared" si="19"/>
        <v>437683.14460350422</v>
      </c>
      <c r="J14" s="28">
        <f t="shared" si="19"/>
        <v>437683.14460350422</v>
      </c>
      <c r="K14" s="28">
        <f t="shared" si="19"/>
        <v>437683.14460350422</v>
      </c>
      <c r="L14" s="28">
        <f t="shared" si="19"/>
        <v>447936.04654497345</v>
      </c>
      <c r="M14" s="28">
        <f t="shared" si="19"/>
        <v>447936.04654497345</v>
      </c>
      <c r="N14" s="28">
        <f t="shared" si="19"/>
        <v>447936.04654497345</v>
      </c>
      <c r="O14" s="28">
        <f t="shared" si="19"/>
        <v>447936.04654497345</v>
      </c>
      <c r="P14" s="28">
        <f t="shared" si="19"/>
        <v>458506.04854648805</v>
      </c>
      <c r="Q14" s="28">
        <f t="shared" si="19"/>
        <v>458506.04854648805</v>
      </c>
      <c r="R14" s="28">
        <f t="shared" si="19"/>
        <v>458506.04854648805</v>
      </c>
      <c r="S14" s="28">
        <f t="shared" si="19"/>
        <v>469402.95782640006</v>
      </c>
      <c r="T14" s="28">
        <f t="shared" si="19"/>
        <v>469402.95782640006</v>
      </c>
      <c r="U14" s="28">
        <f t="shared" si="19"/>
        <v>469402.95782640006</v>
      </c>
      <c r="V14" s="28">
        <f t="shared" si="19"/>
        <v>480299.86710631195</v>
      </c>
      <c r="W14" s="28">
        <f t="shared" si="19"/>
        <v>480299.86710631195</v>
      </c>
      <c r="X14" s="28">
        <f t="shared" si="19"/>
        <v>480299.86710631195</v>
      </c>
      <c r="Y14" s="28">
        <f t="shared" si="19"/>
        <v>480299.86710631195</v>
      </c>
      <c r="Z14" s="28">
        <f t="shared" si="19"/>
        <v>491523.68366462138</v>
      </c>
      <c r="AA14" s="28">
        <f t="shared" si="19"/>
        <v>491523.68366462138</v>
      </c>
      <c r="AB14" s="28">
        <f t="shared" si="19"/>
        <v>491523.68366462138</v>
      </c>
      <c r="AC14" s="28">
        <f t="shared" si="19"/>
        <v>491523.68366462138</v>
      </c>
      <c r="AD14" s="28">
        <f t="shared" si="19"/>
        <v>503084.21471968002</v>
      </c>
      <c r="AE14" s="28">
        <f t="shared" si="19"/>
        <v>503084.21471968002</v>
      </c>
      <c r="AF14" s="28">
        <f t="shared" si="19"/>
        <v>503084.21471968002</v>
      </c>
      <c r="AG14" s="28">
        <f t="shared" si="19"/>
        <v>514991.56170639035</v>
      </c>
      <c r="AH14" s="28">
        <f t="shared" si="19"/>
        <v>514991.56170639035</v>
      </c>
      <c r="AI14" s="28">
        <f t="shared" si="19"/>
        <v>514991.56170639035</v>
      </c>
      <c r="AJ14" s="28">
        <f t="shared" si="19"/>
        <v>514991.56170639035</v>
      </c>
      <c r="AK14" s="28">
        <f t="shared" si="19"/>
        <v>514991.56170639035</v>
      </c>
      <c r="AL14" s="28">
        <f t="shared" si="19"/>
        <v>527256.12910270214</v>
      </c>
      <c r="AM14" s="28">
        <f t="shared" si="19"/>
        <v>527256.12910270214</v>
      </c>
      <c r="AN14" s="28">
        <f t="shared" si="19"/>
        <v>527256.12910270214</v>
      </c>
      <c r="AO14" s="28">
        <f t="shared" si="19"/>
        <v>527256.12910270214</v>
      </c>
      <c r="AP14" s="28">
        <f t="shared" si="19"/>
        <v>539888.63352090318</v>
      </c>
      <c r="AQ14" s="28">
        <f t="shared" si="19"/>
        <v>539888.63352090318</v>
      </c>
      <c r="AR14" s="28">
        <f t="shared" si="19"/>
        <v>539888.63352090318</v>
      </c>
      <c r="AS14" s="28">
        <f t="shared" si="19"/>
        <v>539888.63352090318</v>
      </c>
      <c r="AT14" s="28">
        <f t="shared" si="19"/>
        <v>539888.63352090318</v>
      </c>
      <c r="AU14" s="28">
        <f t="shared" si="19"/>
        <v>539888.63352090318</v>
      </c>
      <c r="AV14" s="28">
        <f t="shared" si="19"/>
        <v>539888.63352090318</v>
      </c>
      <c r="AW14" s="28">
        <f t="shared" si="19"/>
        <v>539888.63352090318</v>
      </c>
      <c r="AX14" s="28">
        <f t="shared" ref="AX14:BB14" si="20">AX7-AX13</f>
        <v>539888.63352090318</v>
      </c>
      <c r="AY14" s="28">
        <f t="shared" si="20"/>
        <v>539888.63352090318</v>
      </c>
      <c r="AZ14" s="28">
        <f t="shared" si="20"/>
        <v>539888.63352090318</v>
      </c>
      <c r="BA14" s="28">
        <f t="shared" si="20"/>
        <v>539888.63352090318</v>
      </c>
      <c r="BB14" s="28">
        <f t="shared" si="20"/>
        <v>539888.63352090318</v>
      </c>
      <c r="BI14" s="2">
        <v>41140.351226639999</v>
      </c>
    </row>
    <row r="15" spans="1:61" x14ac:dyDescent="0.3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42132.630142199196</v>
      </c>
    </row>
    <row r="16" spans="1:61" x14ac:dyDescent="0.35">
      <c r="D16" s="2" t="s">
        <v>267</v>
      </c>
      <c r="E16" s="28">
        <f>E14-E15</f>
        <v>418183.94444843469</v>
      </c>
      <c r="F16" s="28">
        <f t="shared" ref="F16:AW16" si="22">F14-F15</f>
        <v>418183.94444843469</v>
      </c>
      <c r="G16" s="28">
        <f t="shared" si="22"/>
        <v>418183.94444843469</v>
      </c>
      <c r="H16" s="28">
        <f t="shared" si="22"/>
        <v>428283.14460350422</v>
      </c>
      <c r="I16" s="28">
        <f t="shared" si="22"/>
        <v>428283.14460350422</v>
      </c>
      <c r="J16" s="28">
        <f t="shared" si="22"/>
        <v>428283.14460350422</v>
      </c>
      <c r="K16" s="28">
        <f t="shared" si="22"/>
        <v>428283.14460350422</v>
      </c>
      <c r="L16" s="28">
        <f t="shared" si="22"/>
        <v>438536.04654497345</v>
      </c>
      <c r="M16" s="28">
        <f t="shared" si="22"/>
        <v>438536.04654497345</v>
      </c>
      <c r="N16" s="28">
        <f t="shared" si="22"/>
        <v>438536.04654497345</v>
      </c>
      <c r="O16" s="28">
        <f t="shared" si="22"/>
        <v>438536.04654497345</v>
      </c>
      <c r="P16" s="28">
        <f t="shared" si="22"/>
        <v>449106.04854648805</v>
      </c>
      <c r="Q16" s="28">
        <f t="shared" si="22"/>
        <v>449106.04854648805</v>
      </c>
      <c r="R16" s="28">
        <f t="shared" si="22"/>
        <v>449106.04854648805</v>
      </c>
      <c r="S16" s="28">
        <f t="shared" si="22"/>
        <v>460002.95782640006</v>
      </c>
      <c r="T16" s="28">
        <f t="shared" si="22"/>
        <v>460002.95782640006</v>
      </c>
      <c r="U16" s="28">
        <f t="shared" si="22"/>
        <v>460002.95782640006</v>
      </c>
      <c r="V16" s="28">
        <f t="shared" si="22"/>
        <v>470899.86710631195</v>
      </c>
      <c r="W16" s="28">
        <f t="shared" si="22"/>
        <v>470899.86710631195</v>
      </c>
      <c r="X16" s="28">
        <f t="shared" si="22"/>
        <v>470899.86710631195</v>
      </c>
      <c r="Y16" s="28">
        <f t="shared" si="22"/>
        <v>470899.86710631195</v>
      </c>
      <c r="Z16" s="28">
        <f t="shared" si="22"/>
        <v>482123.68366462138</v>
      </c>
      <c r="AA16" s="28">
        <f t="shared" si="22"/>
        <v>482123.68366462138</v>
      </c>
      <c r="AB16" s="28">
        <f t="shared" si="22"/>
        <v>482123.68366462138</v>
      </c>
      <c r="AC16" s="28">
        <f t="shared" si="22"/>
        <v>482123.68366462138</v>
      </c>
      <c r="AD16" s="28">
        <f t="shared" si="22"/>
        <v>493684.21471968002</v>
      </c>
      <c r="AE16" s="28">
        <f t="shared" si="22"/>
        <v>493684.21471968002</v>
      </c>
      <c r="AF16" s="28">
        <f t="shared" si="22"/>
        <v>493684.21471968002</v>
      </c>
      <c r="AG16" s="28">
        <f t="shared" si="22"/>
        <v>505591.56170639035</v>
      </c>
      <c r="AH16" s="28">
        <f t="shared" si="22"/>
        <v>505591.56170639035</v>
      </c>
      <c r="AI16" s="28">
        <f t="shared" si="22"/>
        <v>505591.56170639035</v>
      </c>
      <c r="AJ16" s="28">
        <f t="shared" si="22"/>
        <v>505591.56170639035</v>
      </c>
      <c r="AK16" s="28">
        <f t="shared" si="22"/>
        <v>505591.56170639035</v>
      </c>
      <c r="AL16" s="28">
        <f t="shared" si="22"/>
        <v>517856.12910270214</v>
      </c>
      <c r="AM16" s="28">
        <f t="shared" si="22"/>
        <v>517856.12910270214</v>
      </c>
      <c r="AN16" s="28">
        <f t="shared" si="22"/>
        <v>517856.12910270214</v>
      </c>
      <c r="AO16" s="28">
        <f t="shared" si="22"/>
        <v>517856.12910270214</v>
      </c>
      <c r="AP16" s="28">
        <f t="shared" si="22"/>
        <v>530488.63352090318</v>
      </c>
      <c r="AQ16" s="28">
        <f t="shared" si="22"/>
        <v>530488.63352090318</v>
      </c>
      <c r="AR16" s="28">
        <f t="shared" si="22"/>
        <v>530488.63352090318</v>
      </c>
      <c r="AS16" s="28">
        <f t="shared" si="22"/>
        <v>530488.63352090318</v>
      </c>
      <c r="AT16" s="28">
        <f t="shared" si="22"/>
        <v>530488.63352090318</v>
      </c>
      <c r="AU16" s="28">
        <f t="shared" si="22"/>
        <v>530488.63352090318</v>
      </c>
      <c r="AV16" s="28">
        <f t="shared" si="22"/>
        <v>530488.63352090318</v>
      </c>
      <c r="AW16" s="28">
        <f t="shared" si="22"/>
        <v>530488.63352090318</v>
      </c>
      <c r="AX16" s="28">
        <f t="shared" ref="AX16:BB16" si="23">AX14-AX15</f>
        <v>530488.63352090318</v>
      </c>
      <c r="AY16" s="28">
        <f t="shared" si="23"/>
        <v>530488.63352090318</v>
      </c>
      <c r="AZ16" s="28">
        <f t="shared" si="23"/>
        <v>530488.63352090318</v>
      </c>
      <c r="BA16" s="28">
        <f t="shared" si="23"/>
        <v>530488.63352090318</v>
      </c>
      <c r="BB16" s="28">
        <f t="shared" si="23"/>
        <v>530488.63352090318</v>
      </c>
      <c r="BI16" s="2">
        <v>42132.630142199196</v>
      </c>
    </row>
    <row r="17" spans="4:61" x14ac:dyDescent="0.35">
      <c r="D17" s="2" t="s">
        <v>196</v>
      </c>
      <c r="E17" s="28">
        <f>E16/12</f>
        <v>34848.662037369555</v>
      </c>
      <c r="F17" s="28">
        <f t="shared" ref="F17:AW17" si="24">F16/12</f>
        <v>34848.662037369555</v>
      </c>
      <c r="G17" s="28">
        <f t="shared" si="24"/>
        <v>34848.662037369555</v>
      </c>
      <c r="H17" s="28">
        <f t="shared" si="24"/>
        <v>35690.262050292018</v>
      </c>
      <c r="I17" s="28">
        <f t="shared" si="24"/>
        <v>35690.262050292018</v>
      </c>
      <c r="J17" s="28">
        <f t="shared" si="24"/>
        <v>35690.262050292018</v>
      </c>
      <c r="K17" s="28">
        <f t="shared" si="24"/>
        <v>35690.262050292018</v>
      </c>
      <c r="L17" s="28">
        <f t="shared" si="24"/>
        <v>36544.670545414454</v>
      </c>
      <c r="M17" s="28">
        <f t="shared" si="24"/>
        <v>36544.670545414454</v>
      </c>
      <c r="N17" s="28">
        <f t="shared" si="24"/>
        <v>36544.670545414454</v>
      </c>
      <c r="O17" s="28">
        <f t="shared" si="24"/>
        <v>36544.670545414454</v>
      </c>
      <c r="P17" s="28">
        <f t="shared" si="24"/>
        <v>37425.504045540671</v>
      </c>
      <c r="Q17" s="28">
        <f t="shared" si="24"/>
        <v>37425.504045540671</v>
      </c>
      <c r="R17" s="28">
        <f t="shared" si="24"/>
        <v>37425.504045540671</v>
      </c>
      <c r="S17" s="28">
        <f t="shared" si="24"/>
        <v>38333.579818866674</v>
      </c>
      <c r="T17" s="28">
        <f t="shared" si="24"/>
        <v>38333.579818866674</v>
      </c>
      <c r="U17" s="28">
        <f t="shared" si="24"/>
        <v>38333.579818866674</v>
      </c>
      <c r="V17" s="28">
        <f t="shared" si="24"/>
        <v>39241.655592192663</v>
      </c>
      <c r="W17" s="28">
        <f t="shared" si="24"/>
        <v>39241.655592192663</v>
      </c>
      <c r="X17" s="28">
        <f t="shared" si="24"/>
        <v>39241.655592192663</v>
      </c>
      <c r="Y17" s="28">
        <f t="shared" si="24"/>
        <v>39241.655592192663</v>
      </c>
      <c r="Z17" s="28">
        <f t="shared" si="24"/>
        <v>40176.973638718446</v>
      </c>
      <c r="AA17" s="28">
        <f t="shared" si="24"/>
        <v>40176.973638718446</v>
      </c>
      <c r="AB17" s="28">
        <f t="shared" si="24"/>
        <v>40176.973638718446</v>
      </c>
      <c r="AC17" s="28">
        <f t="shared" si="24"/>
        <v>40176.973638718446</v>
      </c>
      <c r="AD17" s="28">
        <f t="shared" si="24"/>
        <v>41140.351226639999</v>
      </c>
      <c r="AE17" s="28">
        <f t="shared" si="24"/>
        <v>41140.351226639999</v>
      </c>
      <c r="AF17" s="28">
        <f t="shared" si="24"/>
        <v>41140.351226639999</v>
      </c>
      <c r="AG17" s="28">
        <f t="shared" si="24"/>
        <v>42132.630142199196</v>
      </c>
      <c r="AH17" s="28">
        <f t="shared" si="24"/>
        <v>42132.630142199196</v>
      </c>
      <c r="AI17" s="28">
        <f t="shared" si="24"/>
        <v>42132.630142199196</v>
      </c>
      <c r="AJ17" s="28">
        <f t="shared" si="24"/>
        <v>42132.630142199196</v>
      </c>
      <c r="AK17" s="28">
        <f t="shared" si="24"/>
        <v>42132.630142199196</v>
      </c>
      <c r="AL17" s="28">
        <f t="shared" si="24"/>
        <v>43154.677425225178</v>
      </c>
      <c r="AM17" s="28">
        <f t="shared" si="24"/>
        <v>43154.677425225178</v>
      </c>
      <c r="AN17" s="28">
        <f t="shared" si="24"/>
        <v>43154.677425225178</v>
      </c>
      <c r="AO17" s="28">
        <f t="shared" si="24"/>
        <v>43154.677425225178</v>
      </c>
      <c r="AP17" s="28">
        <f t="shared" si="24"/>
        <v>44207.386126741934</v>
      </c>
      <c r="AQ17" s="28">
        <f t="shared" si="24"/>
        <v>44207.386126741934</v>
      </c>
      <c r="AR17" s="28">
        <f t="shared" si="24"/>
        <v>44207.386126741934</v>
      </c>
      <c r="AS17" s="28">
        <f t="shared" si="24"/>
        <v>44207.386126741934</v>
      </c>
      <c r="AT17" s="28">
        <f t="shared" si="24"/>
        <v>44207.386126741934</v>
      </c>
      <c r="AU17" s="28">
        <f t="shared" si="24"/>
        <v>44207.386126741934</v>
      </c>
      <c r="AV17" s="28">
        <f t="shared" si="24"/>
        <v>44207.386126741934</v>
      </c>
      <c r="AW17" s="28">
        <f t="shared" si="24"/>
        <v>44207.386126741934</v>
      </c>
      <c r="AX17" s="28">
        <f t="shared" ref="AX17:BB17" si="25">AX16/12</f>
        <v>44207.386126741934</v>
      </c>
      <c r="AY17" s="28">
        <f t="shared" si="25"/>
        <v>44207.386126741934</v>
      </c>
      <c r="AZ17" s="28">
        <f t="shared" si="25"/>
        <v>44207.386126741934</v>
      </c>
      <c r="BA17" s="28">
        <f t="shared" si="25"/>
        <v>44207.386126741934</v>
      </c>
      <c r="BB17" s="28">
        <f t="shared" si="25"/>
        <v>44207.386126741934</v>
      </c>
      <c r="BI17" s="2">
        <v>42132.630142199196</v>
      </c>
    </row>
    <row r="18" spans="4:61" x14ac:dyDescent="0.35">
      <c r="BI18" s="2">
        <v>42132.630142199196</v>
      </c>
    </row>
    <row r="19" spans="4:61" x14ac:dyDescent="0.35">
      <c r="BI19" s="2">
        <v>42132.630142199196</v>
      </c>
    </row>
    <row r="20" spans="4:61" x14ac:dyDescent="0.35">
      <c r="D20" s="26"/>
      <c r="BI20" s="2">
        <v>43154.677425225178</v>
      </c>
    </row>
    <row r="21" spans="4:61" x14ac:dyDescent="0.35">
      <c r="D21" s="2" t="s">
        <v>1</v>
      </c>
      <c r="E21" s="2">
        <v>2060</v>
      </c>
      <c r="F21" s="2">
        <v>2061</v>
      </c>
      <c r="G21" s="2">
        <v>2061</v>
      </c>
      <c r="H21" s="2">
        <v>2061</v>
      </c>
      <c r="I21" s="2">
        <v>2061</v>
      </c>
      <c r="J21" s="2">
        <v>2061</v>
      </c>
      <c r="K21" s="2">
        <v>2061</v>
      </c>
      <c r="L21" s="2">
        <v>2061</v>
      </c>
      <c r="M21" s="2">
        <v>2061</v>
      </c>
      <c r="N21" s="2">
        <v>2061</v>
      </c>
      <c r="O21" s="2">
        <v>2061</v>
      </c>
      <c r="P21" s="2">
        <v>2061</v>
      </c>
      <c r="Q21" s="2">
        <v>2061</v>
      </c>
      <c r="R21" s="2">
        <v>2061</v>
      </c>
      <c r="S21" s="2">
        <v>2061</v>
      </c>
      <c r="T21" s="2">
        <v>2061</v>
      </c>
      <c r="U21" s="2">
        <v>2061</v>
      </c>
      <c r="V21" s="2">
        <v>2061</v>
      </c>
      <c r="W21" s="2">
        <v>2061</v>
      </c>
      <c r="X21" s="2">
        <v>2061</v>
      </c>
      <c r="Y21" s="2">
        <v>2061</v>
      </c>
      <c r="Z21" s="2">
        <v>2061</v>
      </c>
      <c r="AA21" s="2">
        <v>2061</v>
      </c>
      <c r="AB21" s="2">
        <v>2061</v>
      </c>
      <c r="AC21" s="2">
        <v>2061</v>
      </c>
      <c r="BI21" s="2">
        <v>43154.677425225178</v>
      </c>
    </row>
    <row r="22" spans="4:61" x14ac:dyDescent="0.35">
      <c r="D22" s="2" t="s">
        <v>202</v>
      </c>
      <c r="E22" s="26">
        <f>'Pensions P2'!$B$18+'Pensions P2'!$B$22+'Pensions P2'!$B$31</f>
        <v>53532.052017798247</v>
      </c>
      <c r="F22" s="26">
        <f>'Pensions P2'!$B$18+'Pensions P2'!$B$22+'Pensions P2'!$B$31</f>
        <v>53532.052017798247</v>
      </c>
      <c r="G22" s="26">
        <f>'Pensions P2'!$B$18+'Pensions P2'!$B$22+'Pensions P2'!$B$31</f>
        <v>53532.052017798247</v>
      </c>
      <c r="H22" s="26">
        <f>'Pensions P2'!$B$18+'Pensions P2'!$B$22+'Pensions P2'!$B$31</f>
        <v>53532.052017798247</v>
      </c>
      <c r="I22" s="26">
        <f>'Pensions P2'!$B$18+'Pensions P2'!$B$22+'Pensions P2'!$B$31</f>
        <v>53532.052017798247</v>
      </c>
      <c r="J22" s="26">
        <f>'Pensions P2'!$B$18+'Pensions P2'!$B$22+'Pensions P2'!$B$31</f>
        <v>53532.052017798247</v>
      </c>
      <c r="K22" s="26">
        <f>'Pensions P2'!$B$18+'Pensions P2'!$B$22+'Pensions P2'!$B$31</f>
        <v>53532.052017798247</v>
      </c>
      <c r="L22" s="26">
        <f>'Pensions P2'!$B$18+'Pensions P2'!$B$22+'Pensions P2'!$B$31</f>
        <v>53532.052017798247</v>
      </c>
      <c r="M22" s="26">
        <f>'Pensions P2'!$B$18+'Pensions P2'!$B$22+'Pensions P2'!$B$31</f>
        <v>53532.052017798247</v>
      </c>
      <c r="N22" s="26">
        <f>'Pensions P2'!$B$18+'Pensions P2'!$B$22+'Pensions P2'!$B$31</f>
        <v>53532.052017798247</v>
      </c>
      <c r="O22" s="26">
        <f>'Pensions P2'!$B$18+'Pensions P2'!$B$22+'Pensions P2'!$B$31</f>
        <v>53532.052017798247</v>
      </c>
      <c r="P22" s="26">
        <f>'Pensions P2'!$B$18+'Pensions P2'!$B$22+'Pensions P2'!$B$31</f>
        <v>53532.052017798247</v>
      </c>
      <c r="Q22" s="26">
        <f>'Pensions P2'!$B$18+'Pensions P2'!$B$22+'Pensions P2'!$B$31</f>
        <v>53532.052017798247</v>
      </c>
      <c r="R22" s="26">
        <f>'Pensions P2'!$B$18+'Pensions P2'!$B$22+'Pensions P2'!$B$31</f>
        <v>53532.052017798247</v>
      </c>
      <c r="S22" s="26">
        <f>'Pensions P2'!$B$18+'Pensions P2'!$B$22+'Pensions P2'!$B$31</f>
        <v>53532.052017798247</v>
      </c>
      <c r="T22" s="26">
        <f>'Pensions P2'!$B$18+'Pensions P2'!$B$22+'Pensions P2'!$B$31</f>
        <v>53532.052017798247</v>
      </c>
      <c r="U22" s="26">
        <f>'Pensions P2'!$B$18+'Pensions P2'!$B$22+'Pensions P2'!$B$31</f>
        <v>53532.052017798247</v>
      </c>
      <c r="V22" s="26">
        <f>'Pensions P2'!$B$18+'Pensions P2'!$B$22+'Pensions P2'!$B$31</f>
        <v>53532.052017798247</v>
      </c>
      <c r="W22" s="26">
        <f>'Pensions P2'!$B$18+'Pensions P2'!$B$22+'Pensions P2'!$B$31</f>
        <v>53532.052017798247</v>
      </c>
      <c r="X22" s="26">
        <f>'Pensions P2'!$B$18+'Pensions P2'!$B$22+'Pensions P2'!$B$31</f>
        <v>53532.052017798247</v>
      </c>
      <c r="Y22" s="26">
        <f>'Pensions P2'!$B$18+'Pensions P2'!$B$22+'Pensions P2'!$B$31</f>
        <v>53532.052017798247</v>
      </c>
      <c r="Z22" s="26">
        <f>'Pensions P2'!$B$18+'Pensions P2'!$B$22+'Pensions P2'!$B$31</f>
        <v>53532.052017798247</v>
      </c>
      <c r="AA22" s="26">
        <f>'Pensions P2'!$B$18+'Pensions P2'!$B$22+'Pensions P2'!$B$31</f>
        <v>53532.052017798247</v>
      </c>
      <c r="AB22" s="26">
        <f>'Pensions P2'!$B$18+'Pensions P2'!$B$22+'Pensions P2'!$B$31</f>
        <v>53532.052017798247</v>
      </c>
      <c r="AC22" s="26">
        <f>'Pensions P2'!$B$18+'Pensions P2'!$B$22+'Pensions P2'!$B$31</f>
        <v>53532.052017798247</v>
      </c>
      <c r="BI22" s="2">
        <v>43154.677425225178</v>
      </c>
    </row>
    <row r="23" spans="4:61" x14ac:dyDescent="0.3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43154.677425225178</v>
      </c>
    </row>
    <row r="24" spans="4:61" x14ac:dyDescent="0.35">
      <c r="D24" s="2" t="s">
        <v>203</v>
      </c>
      <c r="E24" s="26">
        <f>E22*12</f>
        <v>642384.62421357899</v>
      </c>
      <c r="F24" s="26">
        <f t="shared" ref="F24:AC24" si="26">F22*12</f>
        <v>642384.62421357899</v>
      </c>
      <c r="G24" s="26">
        <f t="shared" si="26"/>
        <v>642384.62421357899</v>
      </c>
      <c r="H24" s="26">
        <f t="shared" si="26"/>
        <v>642384.62421357899</v>
      </c>
      <c r="I24" s="26">
        <f t="shared" si="26"/>
        <v>642384.62421357899</v>
      </c>
      <c r="J24" s="26">
        <f t="shared" si="26"/>
        <v>642384.62421357899</v>
      </c>
      <c r="K24" s="26">
        <f t="shared" si="26"/>
        <v>642384.62421357899</v>
      </c>
      <c r="L24" s="26">
        <f t="shared" si="26"/>
        <v>642384.62421357899</v>
      </c>
      <c r="M24" s="26">
        <f t="shared" si="26"/>
        <v>642384.62421357899</v>
      </c>
      <c r="N24" s="26">
        <f t="shared" si="26"/>
        <v>642384.62421357899</v>
      </c>
      <c r="O24" s="26">
        <f t="shared" si="26"/>
        <v>642384.62421357899</v>
      </c>
      <c r="P24" s="26">
        <f t="shared" si="26"/>
        <v>642384.62421357899</v>
      </c>
      <c r="Q24" s="26">
        <f t="shared" si="26"/>
        <v>642384.62421357899</v>
      </c>
      <c r="R24" s="26">
        <f t="shared" si="26"/>
        <v>642384.62421357899</v>
      </c>
      <c r="S24" s="26">
        <f t="shared" si="26"/>
        <v>642384.62421357899</v>
      </c>
      <c r="T24" s="26">
        <f t="shared" si="26"/>
        <v>642384.62421357899</v>
      </c>
      <c r="U24" s="26">
        <f t="shared" si="26"/>
        <v>642384.62421357899</v>
      </c>
      <c r="V24" s="26">
        <f t="shared" si="26"/>
        <v>642384.62421357899</v>
      </c>
      <c r="W24" s="26">
        <f t="shared" si="26"/>
        <v>642384.62421357899</v>
      </c>
      <c r="X24" s="26">
        <f t="shared" si="26"/>
        <v>642384.62421357899</v>
      </c>
      <c r="Y24" s="26">
        <f t="shared" si="26"/>
        <v>642384.62421357899</v>
      </c>
      <c r="Z24" s="26">
        <f t="shared" si="26"/>
        <v>642384.62421357899</v>
      </c>
      <c r="AA24" s="26">
        <f t="shared" si="26"/>
        <v>642384.62421357899</v>
      </c>
      <c r="AB24" s="26">
        <f t="shared" si="26"/>
        <v>642384.62421357899</v>
      </c>
      <c r="AC24" s="26">
        <f t="shared" si="26"/>
        <v>642384.62421357899</v>
      </c>
      <c r="BI24" s="2">
        <v>44207.386126741934</v>
      </c>
    </row>
    <row r="25" spans="4:61" x14ac:dyDescent="0.35">
      <c r="D25" s="2" t="s">
        <v>189</v>
      </c>
      <c r="E25" s="26">
        <f>E24*$B$9</f>
        <v>160596.15605339475</v>
      </c>
      <c r="F25" s="26">
        <f t="shared" ref="F25:AC25" si="27">F24*$B$9</f>
        <v>160596.15605339475</v>
      </c>
      <c r="G25" s="26">
        <f t="shared" si="27"/>
        <v>160596.15605339475</v>
      </c>
      <c r="H25" s="26">
        <f t="shared" si="27"/>
        <v>160596.15605339475</v>
      </c>
      <c r="I25" s="26">
        <f t="shared" si="27"/>
        <v>160596.15605339475</v>
      </c>
      <c r="J25" s="26">
        <f t="shared" si="27"/>
        <v>160596.15605339475</v>
      </c>
      <c r="K25" s="26">
        <f t="shared" si="27"/>
        <v>160596.15605339475</v>
      </c>
      <c r="L25" s="26">
        <f t="shared" si="27"/>
        <v>160596.15605339475</v>
      </c>
      <c r="M25" s="26">
        <f t="shared" si="27"/>
        <v>160596.15605339475</v>
      </c>
      <c r="N25" s="26">
        <f t="shared" si="27"/>
        <v>160596.15605339475</v>
      </c>
      <c r="O25" s="26">
        <f t="shared" si="27"/>
        <v>160596.15605339475</v>
      </c>
      <c r="P25" s="26">
        <f t="shared" si="27"/>
        <v>160596.15605339475</v>
      </c>
      <c r="Q25" s="26">
        <f t="shared" si="27"/>
        <v>160596.15605339475</v>
      </c>
      <c r="R25" s="26">
        <f t="shared" si="27"/>
        <v>160596.15605339475</v>
      </c>
      <c r="S25" s="26">
        <f t="shared" si="27"/>
        <v>160596.15605339475</v>
      </c>
      <c r="T25" s="26">
        <f t="shared" si="27"/>
        <v>160596.15605339475</v>
      </c>
      <c r="U25" s="26">
        <f t="shared" si="27"/>
        <v>160596.15605339475</v>
      </c>
      <c r="V25" s="26">
        <f t="shared" si="27"/>
        <v>160596.15605339475</v>
      </c>
      <c r="W25" s="26">
        <f t="shared" si="27"/>
        <v>160596.15605339475</v>
      </c>
      <c r="X25" s="26">
        <f t="shared" si="27"/>
        <v>160596.15605339475</v>
      </c>
      <c r="Y25" s="26">
        <f t="shared" si="27"/>
        <v>160596.15605339475</v>
      </c>
      <c r="Z25" s="26">
        <f t="shared" si="27"/>
        <v>160596.15605339475</v>
      </c>
      <c r="AA25" s="26">
        <f t="shared" si="27"/>
        <v>160596.15605339475</v>
      </c>
      <c r="AB25" s="26">
        <f t="shared" si="27"/>
        <v>160596.15605339475</v>
      </c>
      <c r="AC25" s="26">
        <f t="shared" si="27"/>
        <v>160596.15605339475</v>
      </c>
      <c r="BI25" s="2">
        <v>44207.386126741934</v>
      </c>
    </row>
    <row r="26" spans="4:61" x14ac:dyDescent="0.35">
      <c r="D26" s="2" t="s">
        <v>190</v>
      </c>
      <c r="E26" s="26">
        <f>MAX(E24-$B$8,0)*$B$7</f>
        <v>3597.6936320368491</v>
      </c>
      <c r="F26" s="26">
        <f t="shared" ref="F26:AC26" si="28">MAX(F24-$B$8,0)*$B$7</f>
        <v>3597.6936320368491</v>
      </c>
      <c r="G26" s="26">
        <f t="shared" si="28"/>
        <v>3597.6936320368491</v>
      </c>
      <c r="H26" s="26">
        <f t="shared" si="28"/>
        <v>3597.6936320368491</v>
      </c>
      <c r="I26" s="26">
        <f t="shared" si="28"/>
        <v>3597.6936320368491</v>
      </c>
      <c r="J26" s="26">
        <f t="shared" si="28"/>
        <v>3597.6936320368491</v>
      </c>
      <c r="K26" s="26">
        <f t="shared" si="28"/>
        <v>3597.6936320368491</v>
      </c>
      <c r="L26" s="26">
        <f t="shared" si="28"/>
        <v>3597.6936320368491</v>
      </c>
      <c r="M26" s="26">
        <f t="shared" si="28"/>
        <v>3597.6936320368491</v>
      </c>
      <c r="N26" s="26">
        <f t="shared" si="28"/>
        <v>3597.6936320368491</v>
      </c>
      <c r="O26" s="26">
        <f t="shared" si="28"/>
        <v>3597.6936320368491</v>
      </c>
      <c r="P26" s="26">
        <f t="shared" si="28"/>
        <v>3597.6936320368491</v>
      </c>
      <c r="Q26" s="26">
        <f t="shared" si="28"/>
        <v>3597.6936320368491</v>
      </c>
      <c r="R26" s="26">
        <f t="shared" si="28"/>
        <v>3597.6936320368491</v>
      </c>
      <c r="S26" s="26">
        <f t="shared" si="28"/>
        <v>3597.6936320368491</v>
      </c>
      <c r="T26" s="26">
        <f t="shared" si="28"/>
        <v>3597.6936320368491</v>
      </c>
      <c r="U26" s="26">
        <f t="shared" si="28"/>
        <v>3597.6936320368491</v>
      </c>
      <c r="V26" s="26">
        <f t="shared" si="28"/>
        <v>3597.6936320368491</v>
      </c>
      <c r="W26" s="26">
        <f t="shared" si="28"/>
        <v>3597.6936320368491</v>
      </c>
      <c r="X26" s="26">
        <f t="shared" si="28"/>
        <v>3597.6936320368491</v>
      </c>
      <c r="Y26" s="26">
        <f t="shared" si="28"/>
        <v>3597.6936320368491</v>
      </c>
      <c r="Z26" s="26">
        <f t="shared" si="28"/>
        <v>3597.6936320368491</v>
      </c>
      <c r="AA26" s="26">
        <f t="shared" si="28"/>
        <v>3597.6936320368491</v>
      </c>
      <c r="AB26" s="26">
        <f t="shared" si="28"/>
        <v>3597.6936320368491</v>
      </c>
      <c r="AC26" s="26">
        <f t="shared" si="28"/>
        <v>3597.6936320368491</v>
      </c>
      <c r="BI26" s="2">
        <v>44207.386126741934</v>
      </c>
    </row>
    <row r="27" spans="4:61" x14ac:dyDescent="0.35">
      <c r="D27" s="2" t="s">
        <v>191</v>
      </c>
      <c r="E27" s="26">
        <f>E24*$B$6</f>
        <v>77150.393368050834</v>
      </c>
      <c r="F27" s="26">
        <f t="shared" ref="F27:AC27" si="29">F24*$B$6</f>
        <v>77150.393368050834</v>
      </c>
      <c r="G27" s="26">
        <f t="shared" si="29"/>
        <v>77150.393368050834</v>
      </c>
      <c r="H27" s="26">
        <f t="shared" si="29"/>
        <v>77150.393368050834</v>
      </c>
      <c r="I27" s="26">
        <f t="shared" si="29"/>
        <v>77150.393368050834</v>
      </c>
      <c r="J27" s="26">
        <f t="shared" si="29"/>
        <v>77150.393368050834</v>
      </c>
      <c r="K27" s="26">
        <f t="shared" si="29"/>
        <v>77150.393368050834</v>
      </c>
      <c r="L27" s="26">
        <f t="shared" si="29"/>
        <v>77150.393368050834</v>
      </c>
      <c r="M27" s="26">
        <f t="shared" si="29"/>
        <v>77150.393368050834</v>
      </c>
      <c r="N27" s="26">
        <f t="shared" si="29"/>
        <v>77150.393368050834</v>
      </c>
      <c r="O27" s="26">
        <f t="shared" si="29"/>
        <v>77150.393368050834</v>
      </c>
      <c r="P27" s="26">
        <f t="shared" si="29"/>
        <v>77150.393368050834</v>
      </c>
      <c r="Q27" s="26">
        <f t="shared" si="29"/>
        <v>77150.393368050834</v>
      </c>
      <c r="R27" s="26">
        <f t="shared" si="29"/>
        <v>77150.393368050834</v>
      </c>
      <c r="S27" s="26">
        <f t="shared" si="29"/>
        <v>77150.393368050834</v>
      </c>
      <c r="T27" s="26">
        <f t="shared" si="29"/>
        <v>77150.393368050834</v>
      </c>
      <c r="U27" s="26">
        <f t="shared" si="29"/>
        <v>77150.393368050834</v>
      </c>
      <c r="V27" s="26">
        <f t="shared" si="29"/>
        <v>77150.393368050834</v>
      </c>
      <c r="W27" s="26">
        <f t="shared" si="29"/>
        <v>77150.393368050834</v>
      </c>
      <c r="X27" s="26">
        <f t="shared" si="29"/>
        <v>77150.393368050834</v>
      </c>
      <c r="Y27" s="26">
        <f t="shared" si="29"/>
        <v>77150.393368050834</v>
      </c>
      <c r="Z27" s="26">
        <f t="shared" si="29"/>
        <v>77150.393368050834</v>
      </c>
      <c r="AA27" s="26">
        <f t="shared" si="29"/>
        <v>77150.393368050834</v>
      </c>
      <c r="AB27" s="26">
        <f t="shared" si="29"/>
        <v>77150.393368050834</v>
      </c>
      <c r="AC27" s="26">
        <f t="shared" si="29"/>
        <v>77150.393368050834</v>
      </c>
      <c r="BI27" s="2">
        <v>44207.386126741934</v>
      </c>
    </row>
    <row r="28" spans="4:61" x14ac:dyDescent="0.35">
      <c r="D28" s="2" t="s">
        <v>192</v>
      </c>
      <c r="E28" s="26">
        <f>SUM(E25:E27)</f>
        <v>241344.24305348244</v>
      </c>
      <c r="F28" s="26">
        <f>SUM(F25:F27)</f>
        <v>241344.24305348244</v>
      </c>
      <c r="G28" s="26">
        <f t="shared" ref="G28:AC28" si="30">SUM(G25:G27)</f>
        <v>241344.24305348244</v>
      </c>
      <c r="H28" s="26">
        <f t="shared" si="30"/>
        <v>241344.24305348244</v>
      </c>
      <c r="I28" s="26">
        <f t="shared" si="30"/>
        <v>241344.24305348244</v>
      </c>
      <c r="J28" s="26">
        <f t="shared" si="30"/>
        <v>241344.24305348244</v>
      </c>
      <c r="K28" s="26">
        <f t="shared" si="30"/>
        <v>241344.24305348244</v>
      </c>
      <c r="L28" s="26">
        <f t="shared" si="30"/>
        <v>241344.24305348244</v>
      </c>
      <c r="M28" s="26">
        <f t="shared" si="30"/>
        <v>241344.24305348244</v>
      </c>
      <c r="N28" s="26">
        <f t="shared" si="30"/>
        <v>241344.24305348244</v>
      </c>
      <c r="O28" s="26">
        <f t="shared" si="30"/>
        <v>241344.24305348244</v>
      </c>
      <c r="P28" s="26">
        <f t="shared" si="30"/>
        <v>241344.24305348244</v>
      </c>
      <c r="Q28" s="26">
        <f t="shared" si="30"/>
        <v>241344.24305348244</v>
      </c>
      <c r="R28" s="26">
        <f t="shared" si="30"/>
        <v>241344.24305348244</v>
      </c>
      <c r="S28" s="26">
        <f t="shared" si="30"/>
        <v>241344.24305348244</v>
      </c>
      <c r="T28" s="26">
        <f t="shared" si="30"/>
        <v>241344.24305348244</v>
      </c>
      <c r="U28" s="26">
        <f t="shared" si="30"/>
        <v>241344.24305348244</v>
      </c>
      <c r="V28" s="26">
        <f t="shared" si="30"/>
        <v>241344.24305348244</v>
      </c>
      <c r="W28" s="26">
        <f t="shared" si="30"/>
        <v>241344.24305348244</v>
      </c>
      <c r="X28" s="26">
        <f t="shared" si="30"/>
        <v>241344.24305348244</v>
      </c>
      <c r="Y28" s="26">
        <f t="shared" si="30"/>
        <v>241344.24305348244</v>
      </c>
      <c r="Z28" s="26">
        <f t="shared" si="30"/>
        <v>241344.24305348244</v>
      </c>
      <c r="AA28" s="26">
        <f t="shared" si="30"/>
        <v>241344.24305348244</v>
      </c>
      <c r="AB28" s="26">
        <f t="shared" si="30"/>
        <v>241344.24305348244</v>
      </c>
      <c r="AC28" s="26">
        <f t="shared" si="30"/>
        <v>241344.24305348244</v>
      </c>
      <c r="BI28" s="2">
        <v>44207.386126741934</v>
      </c>
    </row>
    <row r="29" spans="4:61" x14ac:dyDescent="0.35">
      <c r="D29" s="2" t="s">
        <v>193</v>
      </c>
      <c r="E29" s="26">
        <f>E24-E28</f>
        <v>401040.38116009656</v>
      </c>
      <c r="F29" s="26">
        <f t="shared" ref="F29:AC29" si="31">F24-F28</f>
        <v>401040.38116009656</v>
      </c>
      <c r="G29" s="26">
        <f t="shared" si="31"/>
        <v>401040.38116009656</v>
      </c>
      <c r="H29" s="26">
        <f t="shared" si="31"/>
        <v>401040.38116009656</v>
      </c>
      <c r="I29" s="26">
        <f t="shared" si="31"/>
        <v>401040.38116009656</v>
      </c>
      <c r="J29" s="26">
        <f t="shared" si="31"/>
        <v>401040.38116009656</v>
      </c>
      <c r="K29" s="26">
        <f t="shared" si="31"/>
        <v>401040.38116009656</v>
      </c>
      <c r="L29" s="26">
        <f t="shared" si="31"/>
        <v>401040.38116009656</v>
      </c>
      <c r="M29" s="26">
        <f t="shared" si="31"/>
        <v>401040.38116009656</v>
      </c>
      <c r="N29" s="26">
        <f t="shared" si="31"/>
        <v>401040.38116009656</v>
      </c>
      <c r="O29" s="26">
        <f t="shared" si="31"/>
        <v>401040.38116009656</v>
      </c>
      <c r="P29" s="26">
        <f t="shared" si="31"/>
        <v>401040.38116009656</v>
      </c>
      <c r="Q29" s="26">
        <f t="shared" si="31"/>
        <v>401040.38116009656</v>
      </c>
      <c r="R29" s="26">
        <f t="shared" si="31"/>
        <v>401040.38116009656</v>
      </c>
      <c r="S29" s="26">
        <f t="shared" si="31"/>
        <v>401040.38116009656</v>
      </c>
      <c r="T29" s="26">
        <f t="shared" si="31"/>
        <v>401040.38116009656</v>
      </c>
      <c r="U29" s="26">
        <f t="shared" si="31"/>
        <v>401040.38116009656</v>
      </c>
      <c r="V29" s="26">
        <f t="shared" si="31"/>
        <v>401040.38116009656</v>
      </c>
      <c r="W29" s="26">
        <f t="shared" si="31"/>
        <v>401040.38116009656</v>
      </c>
      <c r="X29" s="26">
        <f t="shared" si="31"/>
        <v>401040.38116009656</v>
      </c>
      <c r="Y29" s="26">
        <f t="shared" si="31"/>
        <v>401040.38116009656</v>
      </c>
      <c r="Z29" s="26">
        <f t="shared" si="31"/>
        <v>401040.38116009656</v>
      </c>
      <c r="AA29" s="26">
        <f t="shared" si="31"/>
        <v>401040.38116009656</v>
      </c>
      <c r="AB29" s="26">
        <f t="shared" si="31"/>
        <v>401040.38116009656</v>
      </c>
      <c r="AC29" s="26">
        <f t="shared" si="31"/>
        <v>401040.38116009656</v>
      </c>
      <c r="BI29" s="2">
        <v>44207.386126741934</v>
      </c>
    </row>
    <row r="30" spans="4:61" x14ac:dyDescent="0.35">
      <c r="D30" s="2" t="s">
        <v>268</v>
      </c>
      <c r="E30" s="26">
        <f>'Pensions P2'!$B$13</f>
        <v>3169.3645686340355</v>
      </c>
      <c r="F30" s="26">
        <f>'Pensions P2'!$B$13</f>
        <v>3169.3645686340355</v>
      </c>
      <c r="G30" s="26">
        <f>'Pensions P2'!$B$13</f>
        <v>3169.3645686340355</v>
      </c>
      <c r="H30" s="26">
        <f>'Pensions P2'!$B$13</f>
        <v>3169.3645686340355</v>
      </c>
      <c r="I30" s="26">
        <f>'Pensions P2'!$B$13</f>
        <v>3169.3645686340355</v>
      </c>
      <c r="J30" s="26">
        <f>'Pensions P2'!$B$13</f>
        <v>3169.3645686340355</v>
      </c>
      <c r="K30" s="26">
        <f>'Pensions P2'!$B$13</f>
        <v>3169.3645686340355</v>
      </c>
      <c r="L30" s="26">
        <f>'Pensions P2'!$B$13</f>
        <v>3169.3645686340355</v>
      </c>
      <c r="M30" s="26">
        <f>'Pensions P2'!$B$13</f>
        <v>3169.3645686340355</v>
      </c>
      <c r="N30" s="26">
        <f>'Pensions P2'!$B$13</f>
        <v>3169.3645686340355</v>
      </c>
      <c r="O30" s="26">
        <f>'Pensions P2'!$B$13</f>
        <v>3169.3645686340355</v>
      </c>
      <c r="P30" s="26">
        <f>'Pensions P2'!$B$13</f>
        <v>3169.3645686340355</v>
      </c>
      <c r="Q30" s="26">
        <f>'Pensions P2'!$B$13</f>
        <v>3169.3645686340355</v>
      </c>
      <c r="R30" s="26">
        <f>'Pensions P2'!$B$13</f>
        <v>3169.3645686340355</v>
      </c>
      <c r="S30" s="26">
        <f>'Pensions P2'!$B$13</f>
        <v>3169.3645686340355</v>
      </c>
      <c r="T30" s="26">
        <f>'Pensions P2'!$B$13</f>
        <v>3169.3645686340355</v>
      </c>
      <c r="U30" s="26">
        <f>'Pensions P2'!$B$13</f>
        <v>3169.3645686340355</v>
      </c>
      <c r="V30" s="26">
        <f>'Pensions P2'!$B$13</f>
        <v>3169.3645686340355</v>
      </c>
      <c r="W30" s="26">
        <f>'Pensions P2'!$B$13</f>
        <v>3169.3645686340355</v>
      </c>
      <c r="X30" s="26">
        <f>'Pensions P2'!$B$13</f>
        <v>3169.3645686340355</v>
      </c>
      <c r="Y30" s="26">
        <f>'Pensions P2'!$B$13</f>
        <v>3169.3645686340355</v>
      </c>
      <c r="Z30" s="26">
        <f>'Pensions P2'!$B$13</f>
        <v>3169.3645686340355</v>
      </c>
      <c r="AA30" s="26">
        <f>'Pensions P2'!$B$13</f>
        <v>3169.3645686340355</v>
      </c>
      <c r="AB30" s="26">
        <f>'Pensions P2'!$B$13</f>
        <v>3169.3645686340355</v>
      </c>
      <c r="AC30" s="26">
        <f>'Pensions P2'!$B$13</f>
        <v>3169.3645686340355</v>
      </c>
      <c r="BI30" s="2">
        <v>44207.386126741934</v>
      </c>
    </row>
    <row r="31" spans="4:61" x14ac:dyDescent="0.35">
      <c r="D31" s="2" t="s">
        <v>196</v>
      </c>
      <c r="E31" s="26">
        <f>(E29/12)+E30</f>
        <v>36589.396331975418</v>
      </c>
      <c r="F31" s="26">
        <f t="shared" ref="F31:AC31" si="32">(F29/12)+F30</f>
        <v>36589.396331975418</v>
      </c>
      <c r="G31" s="26">
        <f t="shared" si="32"/>
        <v>36589.396331975418</v>
      </c>
      <c r="H31" s="26">
        <f t="shared" si="32"/>
        <v>36589.396331975418</v>
      </c>
      <c r="I31" s="26">
        <f t="shared" si="32"/>
        <v>36589.396331975418</v>
      </c>
      <c r="J31" s="26">
        <f t="shared" si="32"/>
        <v>36589.396331975418</v>
      </c>
      <c r="K31" s="26">
        <f t="shared" si="32"/>
        <v>36589.396331975418</v>
      </c>
      <c r="L31" s="26">
        <f t="shared" si="32"/>
        <v>36589.396331975418</v>
      </c>
      <c r="M31" s="26">
        <f t="shared" si="32"/>
        <v>36589.396331975418</v>
      </c>
      <c r="N31" s="26">
        <f t="shared" si="32"/>
        <v>36589.396331975418</v>
      </c>
      <c r="O31" s="26">
        <f t="shared" si="32"/>
        <v>36589.396331975418</v>
      </c>
      <c r="P31" s="26">
        <f t="shared" si="32"/>
        <v>36589.396331975418</v>
      </c>
      <c r="Q31" s="26">
        <f t="shared" si="32"/>
        <v>36589.396331975418</v>
      </c>
      <c r="R31" s="26">
        <f t="shared" si="32"/>
        <v>36589.396331975418</v>
      </c>
      <c r="S31" s="26">
        <f t="shared" si="32"/>
        <v>36589.396331975418</v>
      </c>
      <c r="T31" s="26">
        <f t="shared" si="32"/>
        <v>36589.396331975418</v>
      </c>
      <c r="U31" s="26">
        <f t="shared" si="32"/>
        <v>36589.396331975418</v>
      </c>
      <c r="V31" s="26">
        <f t="shared" si="32"/>
        <v>36589.396331975418</v>
      </c>
      <c r="W31" s="26">
        <f t="shared" si="32"/>
        <v>36589.396331975418</v>
      </c>
      <c r="X31" s="26">
        <f t="shared" si="32"/>
        <v>36589.396331975418</v>
      </c>
      <c r="Y31" s="26">
        <f t="shared" si="32"/>
        <v>36589.396331975418</v>
      </c>
      <c r="Z31" s="26">
        <f t="shared" si="32"/>
        <v>36589.396331975418</v>
      </c>
      <c r="AA31" s="26">
        <f t="shared" si="32"/>
        <v>36589.396331975418</v>
      </c>
      <c r="AB31" s="26">
        <f t="shared" si="32"/>
        <v>36589.396331975418</v>
      </c>
      <c r="AC31" s="26">
        <f t="shared" si="32"/>
        <v>36589.396331975418</v>
      </c>
      <c r="BI31" s="2">
        <v>44207.386126741934</v>
      </c>
    </row>
    <row r="32" spans="4:61" x14ac:dyDescent="0.35">
      <c r="D32" s="2" t="s">
        <v>274</v>
      </c>
      <c r="E32" s="26">
        <f>Income!$L$37</f>
        <v>35365.908901393545</v>
      </c>
      <c r="F32" s="26">
        <f>Income!$L$37</f>
        <v>35365.908901393545</v>
      </c>
      <c r="G32" s="26">
        <f>Income!$L$37</f>
        <v>35365.908901393545</v>
      </c>
      <c r="H32" s="26">
        <f>Income!$L$37</f>
        <v>35365.908901393545</v>
      </c>
      <c r="I32" s="26">
        <f>Income!$L$37</f>
        <v>35365.908901393545</v>
      </c>
      <c r="J32" s="26">
        <f>Income!$L$37</f>
        <v>35365.908901393545</v>
      </c>
      <c r="K32" s="26">
        <f>Income!$L$37</f>
        <v>35365.908901393545</v>
      </c>
      <c r="L32" s="26">
        <f>Income!$L$37</f>
        <v>35365.908901393545</v>
      </c>
      <c r="M32" s="26">
        <f>Income!$L$37</f>
        <v>35365.908901393545</v>
      </c>
      <c r="N32" s="26">
        <f>Income!$L$37</f>
        <v>35365.908901393545</v>
      </c>
      <c r="O32" s="26">
        <f>Income!$L$37</f>
        <v>35365.908901393545</v>
      </c>
      <c r="P32" s="26">
        <f>Income!$L$37</f>
        <v>35365.908901393545</v>
      </c>
      <c r="Q32" s="26">
        <f>Income!$L$37</f>
        <v>35365.908901393545</v>
      </c>
      <c r="R32" s="26">
        <f>Income!$L$37</f>
        <v>35365.908901393545</v>
      </c>
      <c r="S32" s="26">
        <f>Income!$L$37</f>
        <v>35365.908901393545</v>
      </c>
      <c r="T32" s="26">
        <f>Income!$L$37</f>
        <v>35365.908901393545</v>
      </c>
      <c r="U32" s="26">
        <f>Income!$L$37</f>
        <v>35365.908901393545</v>
      </c>
      <c r="V32" s="26">
        <f>Income!$L$37</f>
        <v>35365.908901393545</v>
      </c>
      <c r="W32" s="26">
        <f>Income!$L$37</f>
        <v>35365.908901393545</v>
      </c>
      <c r="X32" s="26">
        <f>Income!$L$37</f>
        <v>35365.908901393545</v>
      </c>
      <c r="Y32" s="26">
        <f>Income!$L$37</f>
        <v>35365.908901393545</v>
      </c>
      <c r="Z32" s="26">
        <f>Income!$L$37</f>
        <v>35365.908901393545</v>
      </c>
      <c r="AA32" s="26">
        <f>Income!$L$37</f>
        <v>35365.908901393545</v>
      </c>
      <c r="AB32" s="26">
        <f>Income!$L$37</f>
        <v>35365.908901393545</v>
      </c>
      <c r="AC32" s="26">
        <f>Income!$L$37</f>
        <v>35365.908901393545</v>
      </c>
      <c r="BI32" s="2">
        <v>44207.386126741934</v>
      </c>
    </row>
    <row r="33" spans="4:61" x14ac:dyDescent="0.35">
      <c r="D33" s="2" t="s">
        <v>204</v>
      </c>
      <c r="E33" s="26">
        <f>E32-E31</f>
        <v>-1223.4874305818739</v>
      </c>
      <c r="F33" s="26">
        <f t="shared" ref="F33:AC33" si="33">F32-F31</f>
        <v>-1223.4874305818739</v>
      </c>
      <c r="G33" s="26">
        <f t="shared" si="33"/>
        <v>-1223.4874305818739</v>
      </c>
      <c r="H33" s="26">
        <f t="shared" si="33"/>
        <v>-1223.4874305818739</v>
      </c>
      <c r="I33" s="26">
        <f t="shared" si="33"/>
        <v>-1223.4874305818739</v>
      </c>
      <c r="J33" s="26">
        <f t="shared" si="33"/>
        <v>-1223.4874305818739</v>
      </c>
      <c r="K33" s="26">
        <f t="shared" si="33"/>
        <v>-1223.4874305818739</v>
      </c>
      <c r="L33" s="26">
        <f t="shared" si="33"/>
        <v>-1223.4874305818739</v>
      </c>
      <c r="M33" s="26">
        <f t="shared" si="33"/>
        <v>-1223.4874305818739</v>
      </c>
      <c r="N33" s="26">
        <f t="shared" si="33"/>
        <v>-1223.4874305818739</v>
      </c>
      <c r="O33" s="26">
        <f t="shared" si="33"/>
        <v>-1223.4874305818739</v>
      </c>
      <c r="P33" s="26">
        <f t="shared" si="33"/>
        <v>-1223.4874305818739</v>
      </c>
      <c r="Q33" s="26">
        <f t="shared" si="33"/>
        <v>-1223.4874305818739</v>
      </c>
      <c r="R33" s="26">
        <f t="shared" si="33"/>
        <v>-1223.4874305818739</v>
      </c>
      <c r="S33" s="26">
        <f t="shared" si="33"/>
        <v>-1223.4874305818739</v>
      </c>
      <c r="T33" s="26">
        <f t="shared" si="33"/>
        <v>-1223.4874305818739</v>
      </c>
      <c r="U33" s="26">
        <f t="shared" si="33"/>
        <v>-1223.4874305818739</v>
      </c>
      <c r="V33" s="26">
        <f t="shared" si="33"/>
        <v>-1223.4874305818739</v>
      </c>
      <c r="W33" s="26">
        <f t="shared" si="33"/>
        <v>-1223.4874305818739</v>
      </c>
      <c r="X33" s="26">
        <f t="shared" si="33"/>
        <v>-1223.4874305818739</v>
      </c>
      <c r="Y33" s="26">
        <f t="shared" si="33"/>
        <v>-1223.4874305818739</v>
      </c>
      <c r="Z33" s="26">
        <f t="shared" si="33"/>
        <v>-1223.4874305818739</v>
      </c>
      <c r="AA33" s="26">
        <f t="shared" si="33"/>
        <v>-1223.4874305818739</v>
      </c>
      <c r="AB33" s="26">
        <f t="shared" si="33"/>
        <v>-1223.4874305818739</v>
      </c>
      <c r="AC33" s="26">
        <f t="shared" si="33"/>
        <v>-1223.4874305818739</v>
      </c>
      <c r="BI33" s="2">
        <v>44207.386126741934</v>
      </c>
    </row>
    <row r="34" spans="4:61" x14ac:dyDescent="0.35">
      <c r="D34" s="2" t="s">
        <v>264</v>
      </c>
      <c r="E34" s="26">
        <f>E33*(1+$B$10)</f>
        <v>-1553.8290368389798</v>
      </c>
      <c r="F34" s="26">
        <f t="shared" ref="F34:AC34" si="34">F33*(1+$B$10)</f>
        <v>-1553.8290368389798</v>
      </c>
      <c r="G34" s="26">
        <f t="shared" si="34"/>
        <v>-1553.8290368389798</v>
      </c>
      <c r="H34" s="26">
        <f t="shared" si="34"/>
        <v>-1553.8290368389798</v>
      </c>
      <c r="I34" s="26">
        <f t="shared" si="34"/>
        <v>-1553.8290368389798</v>
      </c>
      <c r="J34" s="26">
        <f t="shared" si="34"/>
        <v>-1553.8290368389798</v>
      </c>
      <c r="K34" s="26">
        <f t="shared" si="34"/>
        <v>-1553.8290368389798</v>
      </c>
      <c r="L34" s="26">
        <f t="shared" si="34"/>
        <v>-1553.8290368389798</v>
      </c>
      <c r="M34" s="26">
        <f t="shared" si="34"/>
        <v>-1553.8290368389798</v>
      </c>
      <c r="N34" s="26">
        <f t="shared" si="34"/>
        <v>-1553.8290368389798</v>
      </c>
      <c r="O34" s="26">
        <f t="shared" si="34"/>
        <v>-1553.8290368389798</v>
      </c>
      <c r="P34" s="26">
        <f t="shared" si="34"/>
        <v>-1553.8290368389798</v>
      </c>
      <c r="Q34" s="26">
        <f t="shared" si="34"/>
        <v>-1553.8290368389798</v>
      </c>
      <c r="R34" s="26">
        <f t="shared" si="34"/>
        <v>-1553.8290368389798</v>
      </c>
      <c r="S34" s="26">
        <f t="shared" si="34"/>
        <v>-1553.8290368389798</v>
      </c>
      <c r="T34" s="26">
        <f t="shared" si="34"/>
        <v>-1553.8290368389798</v>
      </c>
      <c r="U34" s="26">
        <f t="shared" si="34"/>
        <v>-1553.8290368389798</v>
      </c>
      <c r="V34" s="26">
        <f t="shared" si="34"/>
        <v>-1553.8290368389798</v>
      </c>
      <c r="W34" s="26">
        <f t="shared" si="34"/>
        <v>-1553.8290368389798</v>
      </c>
      <c r="X34" s="26">
        <f t="shared" si="34"/>
        <v>-1553.8290368389798</v>
      </c>
      <c r="Y34" s="26">
        <f t="shared" si="34"/>
        <v>-1553.8290368389798</v>
      </c>
      <c r="Z34" s="26">
        <f t="shared" si="34"/>
        <v>-1553.8290368389798</v>
      </c>
      <c r="AA34" s="26">
        <f t="shared" si="34"/>
        <v>-1553.8290368389798</v>
      </c>
      <c r="AB34" s="26">
        <f t="shared" si="34"/>
        <v>-1553.8290368389798</v>
      </c>
      <c r="AC34" s="26">
        <f t="shared" si="34"/>
        <v>-1553.8290368389798</v>
      </c>
      <c r="BI34" s="2">
        <v>44207.386126741934</v>
      </c>
    </row>
    <row r="35" spans="4:61" x14ac:dyDescent="0.35">
      <c r="D35" s="2" t="s">
        <v>265</v>
      </c>
      <c r="E35" s="26">
        <f>E34*12</f>
        <v>-18645.948442067758</v>
      </c>
      <c r="F35" s="26">
        <f t="shared" ref="F35:AC35" si="35">F34*12</f>
        <v>-18645.948442067758</v>
      </c>
      <c r="G35" s="26">
        <f t="shared" si="35"/>
        <v>-18645.948442067758</v>
      </c>
      <c r="H35" s="26">
        <f t="shared" si="35"/>
        <v>-18645.948442067758</v>
      </c>
      <c r="I35" s="26">
        <f t="shared" si="35"/>
        <v>-18645.948442067758</v>
      </c>
      <c r="J35" s="26">
        <f t="shared" si="35"/>
        <v>-18645.948442067758</v>
      </c>
      <c r="K35" s="26">
        <f t="shared" si="35"/>
        <v>-18645.948442067758</v>
      </c>
      <c r="L35" s="26">
        <f t="shared" si="35"/>
        <v>-18645.948442067758</v>
      </c>
      <c r="M35" s="26">
        <f t="shared" si="35"/>
        <v>-18645.948442067758</v>
      </c>
      <c r="N35" s="26">
        <f t="shared" si="35"/>
        <v>-18645.948442067758</v>
      </c>
      <c r="O35" s="26">
        <f t="shared" si="35"/>
        <v>-18645.948442067758</v>
      </c>
      <c r="P35" s="26">
        <f t="shared" si="35"/>
        <v>-18645.948442067758</v>
      </c>
      <c r="Q35" s="26">
        <f t="shared" si="35"/>
        <v>-18645.948442067758</v>
      </c>
      <c r="R35" s="26">
        <f t="shared" si="35"/>
        <v>-18645.948442067758</v>
      </c>
      <c r="S35" s="26">
        <f t="shared" si="35"/>
        <v>-18645.948442067758</v>
      </c>
      <c r="T35" s="26">
        <f t="shared" si="35"/>
        <v>-18645.948442067758</v>
      </c>
      <c r="U35" s="26">
        <f t="shared" si="35"/>
        <v>-18645.948442067758</v>
      </c>
      <c r="V35" s="26">
        <f t="shared" si="35"/>
        <v>-18645.948442067758</v>
      </c>
      <c r="W35" s="26">
        <f t="shared" si="35"/>
        <v>-18645.948442067758</v>
      </c>
      <c r="X35" s="26">
        <f t="shared" si="35"/>
        <v>-18645.948442067758</v>
      </c>
      <c r="Y35" s="26">
        <f t="shared" si="35"/>
        <v>-18645.948442067758</v>
      </c>
      <c r="Z35" s="26">
        <f t="shared" si="35"/>
        <v>-18645.948442067758</v>
      </c>
      <c r="AA35" s="26">
        <f t="shared" si="35"/>
        <v>-18645.948442067758</v>
      </c>
      <c r="AB35" s="26">
        <f t="shared" si="35"/>
        <v>-18645.948442067758</v>
      </c>
      <c r="AC35" s="26">
        <f t="shared" si="35"/>
        <v>-18645.948442067758</v>
      </c>
      <c r="BI35" s="2">
        <v>44207.386126741934</v>
      </c>
    </row>
    <row r="36" spans="4:61" x14ac:dyDescent="0.35">
      <c r="BI36" s="2">
        <v>44207.386126741934</v>
      </c>
    </row>
    <row r="37" spans="4:61" x14ac:dyDescent="0.35">
      <c r="D37" s="2" t="s">
        <v>205</v>
      </c>
      <c r="E37" s="27">
        <f>SUM(E35:AC35)</f>
        <v>-466148.71105169406</v>
      </c>
      <c r="BI37" s="2">
        <v>0</v>
      </c>
    </row>
    <row r="38" spans="4:61" x14ac:dyDescent="0.35">
      <c r="E38" s="26"/>
    </row>
    <row r="39" spans="4:61" x14ac:dyDescent="0.35">
      <c r="E39" s="57">
        <f>1500000</f>
        <v>1500000</v>
      </c>
      <c r="F39" s="57">
        <f>E39/25</f>
        <v>60000</v>
      </c>
    </row>
    <row r="43" spans="4:61" x14ac:dyDescent="0.35">
      <c r="E43" s="28"/>
    </row>
    <row r="44" spans="4:61" x14ac:dyDescent="0.35">
      <c r="E44" s="28"/>
    </row>
    <row r="45" spans="4:61" x14ac:dyDescent="0.35">
      <c r="E45" s="26"/>
    </row>
    <row r="46" spans="4:61" x14ac:dyDescent="0.35">
      <c r="E46" s="26"/>
    </row>
    <row r="47" spans="4:61" x14ac:dyDescent="0.35">
      <c r="E47" s="26"/>
    </row>
    <row r="48" spans="4:61" x14ac:dyDescent="0.35">
      <c r="E48" s="26"/>
    </row>
    <row r="49" spans="5:5" x14ac:dyDescent="0.35">
      <c r="E49" s="26"/>
    </row>
    <row r="50" spans="5:5" x14ac:dyDescent="0.35">
      <c r="E50" s="26"/>
    </row>
    <row r="51" spans="5:5" x14ac:dyDescent="0.35">
      <c r="E51" s="26"/>
    </row>
    <row r="52" spans="5:5" x14ac:dyDescent="0.35">
      <c r="E52" s="26"/>
    </row>
    <row r="53" spans="5:5" x14ac:dyDescent="0.35">
      <c r="E53" s="26"/>
    </row>
    <row r="54" spans="5:5" x14ac:dyDescent="0.35">
      <c r="E54" s="26"/>
    </row>
    <row r="55" spans="5:5" x14ac:dyDescent="0.35">
      <c r="E55" s="26"/>
    </row>
    <row r="56" spans="5:5" x14ac:dyDescent="0.35">
      <c r="E56" s="26"/>
    </row>
    <row r="57" spans="5:5" x14ac:dyDescent="0.35">
      <c r="E57" s="26"/>
    </row>
    <row r="58" spans="5:5" x14ac:dyDescent="0.35">
      <c r="E58" s="2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E8456-47EA-49A7-B759-0A9BC6E7598F}">
  <sheetPr>
    <tabColor theme="8" tint="0.79998168889431442"/>
  </sheetPr>
  <dimension ref="A1:BI58"/>
  <sheetViews>
    <sheetView topLeftCell="B23" zoomScale="90" workbookViewId="0">
      <selection activeCell="E33" sqref="E33"/>
    </sheetView>
  </sheetViews>
  <sheetFormatPr defaultColWidth="9.1796875" defaultRowHeight="14.5" x14ac:dyDescent="0.35"/>
  <cols>
    <col min="1" max="1" width="30.7265625" style="2" bestFit="1" customWidth="1"/>
    <col min="2" max="2" width="13.26953125" style="2" bestFit="1" customWidth="1"/>
    <col min="3" max="3" width="9.1796875" style="2"/>
    <col min="4" max="4" width="43.453125" style="2" bestFit="1" customWidth="1"/>
    <col min="5" max="5" width="21" style="2" bestFit="1" customWidth="1"/>
    <col min="6" max="7" width="14.453125" style="2" customWidth="1"/>
    <col min="8" max="49" width="19" style="2" bestFit="1" customWidth="1"/>
    <col min="50" max="55" width="15" style="2" bestFit="1" customWidth="1"/>
    <col min="56" max="59" width="9.1796875" style="2"/>
    <col min="60" max="60" width="38.81640625" style="2" bestFit="1" customWidth="1"/>
    <col min="61" max="16384" width="9.1796875" style="2"/>
  </cols>
  <sheetData>
    <row r="1" spans="1:61" x14ac:dyDescent="0.35">
      <c r="A1" s="2" t="s">
        <v>62</v>
      </c>
      <c r="B1" s="17">
        <f>'Salary Variables'!$C$2</f>
        <v>0.03</v>
      </c>
      <c r="D1" s="2" t="s">
        <v>1</v>
      </c>
      <c r="E1" s="2">
        <v>2025</v>
      </c>
      <c r="F1" s="2">
        <v>2026</v>
      </c>
      <c r="G1" s="2">
        <v>2027</v>
      </c>
      <c r="H1" s="2">
        <v>2028</v>
      </c>
      <c r="I1" s="2">
        <v>2029</v>
      </c>
      <c r="J1" s="2">
        <v>2030</v>
      </c>
      <c r="K1" s="2">
        <v>2031</v>
      </c>
      <c r="L1" s="2">
        <v>2032</v>
      </c>
      <c r="M1" s="2">
        <v>2033</v>
      </c>
      <c r="N1" s="2">
        <v>2034</v>
      </c>
      <c r="O1" s="2">
        <v>2035</v>
      </c>
      <c r="P1" s="2">
        <v>2036</v>
      </c>
      <c r="Q1" s="2">
        <v>2037</v>
      </c>
      <c r="R1" s="2">
        <v>2038</v>
      </c>
      <c r="S1" s="2">
        <v>2039</v>
      </c>
      <c r="T1" s="2">
        <v>2040</v>
      </c>
      <c r="U1" s="2">
        <v>2041</v>
      </c>
      <c r="V1" s="2">
        <v>2042</v>
      </c>
      <c r="W1" s="2">
        <v>2043</v>
      </c>
      <c r="X1" s="2">
        <v>2044</v>
      </c>
      <c r="Y1" s="2">
        <v>2045</v>
      </c>
      <c r="Z1" s="2">
        <v>2046</v>
      </c>
      <c r="AA1" s="2">
        <v>2047</v>
      </c>
      <c r="AB1" s="2">
        <v>2048</v>
      </c>
      <c r="AC1" s="2">
        <v>2049</v>
      </c>
      <c r="AD1" s="2">
        <v>2050</v>
      </c>
      <c r="AE1" s="2">
        <v>2051</v>
      </c>
      <c r="AF1" s="2">
        <v>2052</v>
      </c>
      <c r="AG1" s="2">
        <v>2053</v>
      </c>
      <c r="AH1" s="2">
        <v>2054</v>
      </c>
      <c r="AI1" s="2">
        <v>2055</v>
      </c>
      <c r="AJ1" s="2">
        <v>2056</v>
      </c>
      <c r="AK1" s="2">
        <v>2057</v>
      </c>
      <c r="AL1" s="2">
        <v>2058</v>
      </c>
      <c r="AM1" s="2">
        <v>2059</v>
      </c>
      <c r="AN1" s="2">
        <v>2060</v>
      </c>
      <c r="AO1" s="2">
        <v>2061</v>
      </c>
      <c r="AP1" s="2">
        <v>2062</v>
      </c>
      <c r="AQ1" s="2">
        <v>2063</v>
      </c>
      <c r="AR1" s="2">
        <v>2064</v>
      </c>
      <c r="AS1" s="2">
        <v>2065</v>
      </c>
      <c r="AT1" s="2">
        <v>2066</v>
      </c>
      <c r="AU1" s="2">
        <v>2067</v>
      </c>
      <c r="AV1" s="2">
        <v>2068</v>
      </c>
      <c r="AW1" s="2">
        <v>2069</v>
      </c>
      <c r="AX1" s="2">
        <v>2070</v>
      </c>
      <c r="AY1" s="2">
        <v>2071</v>
      </c>
      <c r="AZ1" s="2">
        <v>2072</v>
      </c>
      <c r="BA1" s="2">
        <v>2073</v>
      </c>
      <c r="BB1" s="2">
        <v>2074</v>
      </c>
    </row>
    <row r="2" spans="1:61" x14ac:dyDescent="0.35">
      <c r="A2" s="2" t="s">
        <v>194</v>
      </c>
      <c r="B2" s="28">
        <f>'Salary Variables'!$C$14</f>
        <v>9400</v>
      </c>
      <c r="D2" s="2" t="s">
        <v>195</v>
      </c>
      <c r="E2" s="29" cm="1">
        <f t="array" ref="E2:BB2">TRANSPOSE(Income!O3:O52)</f>
        <v>43000</v>
      </c>
      <c r="F2" s="29">
        <v>43000</v>
      </c>
      <c r="G2" s="29">
        <v>44290</v>
      </c>
      <c r="H2" s="29">
        <v>44290</v>
      </c>
      <c r="I2" s="29">
        <v>44290</v>
      </c>
      <c r="J2" s="29">
        <v>44290</v>
      </c>
      <c r="K2" s="29">
        <v>45618.7</v>
      </c>
      <c r="L2" s="29">
        <v>45618.7</v>
      </c>
      <c r="M2" s="29">
        <v>45618.7</v>
      </c>
      <c r="N2" s="29">
        <v>45618.7</v>
      </c>
      <c r="O2" s="29">
        <v>46987.260999999999</v>
      </c>
      <c r="P2" s="29">
        <v>46987.260999999999</v>
      </c>
      <c r="Q2" s="29">
        <v>46987.260999999999</v>
      </c>
      <c r="R2" s="29">
        <v>48396.878830000001</v>
      </c>
      <c r="S2" s="29">
        <v>48396.878830000001</v>
      </c>
      <c r="T2" s="29">
        <v>48396.878830000001</v>
      </c>
      <c r="U2" s="29">
        <v>48396.878830000001</v>
      </c>
      <c r="V2" s="29">
        <v>48396.878830000001</v>
      </c>
      <c r="W2" s="29">
        <v>49848.785194900003</v>
      </c>
      <c r="X2" s="29">
        <v>49848.785194900003</v>
      </c>
      <c r="Y2" s="29">
        <v>49848.785194900003</v>
      </c>
      <c r="Z2" s="29">
        <v>49848.785194900003</v>
      </c>
      <c r="AA2" s="29">
        <v>51344.248750747007</v>
      </c>
      <c r="AB2" s="29">
        <v>51344.248750747007</v>
      </c>
      <c r="AC2" s="29">
        <v>51344.248750747007</v>
      </c>
      <c r="AD2" s="29">
        <v>51344.248750747007</v>
      </c>
      <c r="AE2" s="29">
        <v>51344.248750747007</v>
      </c>
      <c r="AF2" s="29">
        <v>51344.248750747007</v>
      </c>
      <c r="AG2" s="29">
        <v>51344.248750747007</v>
      </c>
      <c r="AH2" s="29">
        <v>51344.248750747007</v>
      </c>
      <c r="AI2" s="29">
        <v>51344.248750747007</v>
      </c>
      <c r="AJ2" s="29">
        <v>51344.248750747007</v>
      </c>
      <c r="AK2" s="29">
        <v>51344.248750747007</v>
      </c>
      <c r="AL2" s="29">
        <v>51344.248750747007</v>
      </c>
      <c r="AM2" s="29">
        <v>51344.248750747007</v>
      </c>
      <c r="AN2" s="29">
        <v>52884.576213269414</v>
      </c>
      <c r="AO2" s="29">
        <v>52884.576213269414</v>
      </c>
      <c r="AP2" s="29">
        <v>52884.576213269414</v>
      </c>
      <c r="AQ2" s="29">
        <v>52884.576213269414</v>
      </c>
      <c r="AR2" s="29">
        <v>52884.576213269414</v>
      </c>
      <c r="AS2" s="29">
        <v>52884.576213269414</v>
      </c>
      <c r="AT2" s="29">
        <v>52884.576213269414</v>
      </c>
      <c r="AU2" s="29">
        <v>52884.576213269414</v>
      </c>
      <c r="AV2" s="29">
        <v>52884.576213269414</v>
      </c>
      <c r="AW2" s="29">
        <v>52884.576213269414</v>
      </c>
      <c r="AX2" s="2">
        <v>52884.576213269414</v>
      </c>
      <c r="AY2" s="2">
        <v>52884.576213269414</v>
      </c>
      <c r="AZ2" s="2">
        <v>52884.576213269414</v>
      </c>
      <c r="BA2" s="2">
        <v>52884.576213269414</v>
      </c>
      <c r="BB2" s="2">
        <v>52884.576213269414</v>
      </c>
      <c r="BH2" s="2" t="s">
        <v>206</v>
      </c>
      <c r="BI2" s="2" cm="1">
        <f t="array" ref="BI2:BI52">TRANSPOSE(E17:BC17)</f>
        <v>23348.627174666664</v>
      </c>
    </row>
    <row r="3" spans="1:61" x14ac:dyDescent="0.35">
      <c r="D3" s="2" t="s">
        <v>186</v>
      </c>
      <c r="E3" s="29">
        <f>E2*12</f>
        <v>516000</v>
      </c>
      <c r="F3" s="29">
        <f t="shared" ref="F3:AV3" si="0">F2*12</f>
        <v>516000</v>
      </c>
      <c r="G3" s="29">
        <f t="shared" si="0"/>
        <v>531480</v>
      </c>
      <c r="H3" s="29">
        <f t="shared" si="0"/>
        <v>531480</v>
      </c>
      <c r="I3" s="29">
        <f t="shared" si="0"/>
        <v>531480</v>
      </c>
      <c r="J3" s="29">
        <f t="shared" si="0"/>
        <v>531480</v>
      </c>
      <c r="K3" s="29">
        <f t="shared" si="0"/>
        <v>547424.39999999991</v>
      </c>
      <c r="L3" s="29">
        <f t="shared" si="0"/>
        <v>547424.39999999991</v>
      </c>
      <c r="M3" s="29">
        <f t="shared" si="0"/>
        <v>547424.39999999991</v>
      </c>
      <c r="N3" s="29">
        <f t="shared" si="0"/>
        <v>547424.39999999991</v>
      </c>
      <c r="O3" s="29">
        <f t="shared" si="0"/>
        <v>563847.13199999998</v>
      </c>
      <c r="P3" s="29">
        <f t="shared" si="0"/>
        <v>563847.13199999998</v>
      </c>
      <c r="Q3" s="29">
        <f t="shared" si="0"/>
        <v>563847.13199999998</v>
      </c>
      <c r="R3" s="29">
        <f t="shared" si="0"/>
        <v>580762.54596000002</v>
      </c>
      <c r="S3" s="29">
        <f t="shared" si="0"/>
        <v>580762.54596000002</v>
      </c>
      <c r="T3" s="29">
        <f t="shared" si="0"/>
        <v>580762.54596000002</v>
      </c>
      <c r="U3" s="29">
        <f t="shared" si="0"/>
        <v>580762.54596000002</v>
      </c>
      <c r="V3" s="29">
        <f t="shared" si="0"/>
        <v>580762.54596000002</v>
      </c>
      <c r="W3" s="29">
        <f t="shared" si="0"/>
        <v>598185.42233880004</v>
      </c>
      <c r="X3" s="29">
        <f t="shared" si="0"/>
        <v>598185.42233880004</v>
      </c>
      <c r="Y3" s="29">
        <f t="shared" si="0"/>
        <v>598185.42233880004</v>
      </c>
      <c r="Z3" s="29">
        <f t="shared" si="0"/>
        <v>598185.42233880004</v>
      </c>
      <c r="AA3" s="29">
        <f t="shared" si="0"/>
        <v>616130.98500896408</v>
      </c>
      <c r="AB3" s="29">
        <f t="shared" si="0"/>
        <v>616130.98500896408</v>
      </c>
      <c r="AC3" s="29">
        <f t="shared" si="0"/>
        <v>616130.98500896408</v>
      </c>
      <c r="AD3" s="29">
        <f t="shared" si="0"/>
        <v>616130.98500896408</v>
      </c>
      <c r="AE3" s="29">
        <f t="shared" si="0"/>
        <v>616130.98500896408</v>
      </c>
      <c r="AF3" s="29">
        <f t="shared" si="0"/>
        <v>616130.98500896408</v>
      </c>
      <c r="AG3" s="29">
        <f t="shared" si="0"/>
        <v>616130.98500896408</v>
      </c>
      <c r="AH3" s="29">
        <f t="shared" si="0"/>
        <v>616130.98500896408</v>
      </c>
      <c r="AI3" s="29">
        <f t="shared" si="0"/>
        <v>616130.98500896408</v>
      </c>
      <c r="AJ3" s="29">
        <f t="shared" si="0"/>
        <v>616130.98500896408</v>
      </c>
      <c r="AK3" s="29">
        <f t="shared" si="0"/>
        <v>616130.98500896408</v>
      </c>
      <c r="AL3" s="29">
        <f t="shared" si="0"/>
        <v>616130.98500896408</v>
      </c>
      <c r="AM3" s="29">
        <f t="shared" si="0"/>
        <v>616130.98500896408</v>
      </c>
      <c r="AN3" s="29">
        <f t="shared" si="0"/>
        <v>634614.914559233</v>
      </c>
      <c r="AO3" s="29">
        <f t="shared" si="0"/>
        <v>634614.914559233</v>
      </c>
      <c r="AP3" s="29">
        <f t="shared" si="0"/>
        <v>634614.914559233</v>
      </c>
      <c r="AQ3" s="29">
        <f t="shared" si="0"/>
        <v>634614.914559233</v>
      </c>
      <c r="AR3" s="29">
        <f t="shared" si="0"/>
        <v>634614.914559233</v>
      </c>
      <c r="AS3" s="29">
        <f t="shared" si="0"/>
        <v>634614.914559233</v>
      </c>
      <c r="AT3" s="29">
        <f t="shared" si="0"/>
        <v>634614.914559233</v>
      </c>
      <c r="AU3" s="29">
        <f t="shared" si="0"/>
        <v>634614.914559233</v>
      </c>
      <c r="AV3" s="29">
        <f t="shared" si="0"/>
        <v>634614.914559233</v>
      </c>
      <c r="AW3" s="29">
        <f t="shared" ref="AW3:BB3" si="1">AW2*12</f>
        <v>634614.914559233</v>
      </c>
      <c r="AX3" s="29">
        <f t="shared" si="1"/>
        <v>634614.914559233</v>
      </c>
      <c r="AY3" s="29">
        <f t="shared" si="1"/>
        <v>634614.914559233</v>
      </c>
      <c r="AZ3" s="29">
        <f t="shared" si="1"/>
        <v>634614.914559233</v>
      </c>
      <c r="BA3" s="29">
        <f t="shared" si="1"/>
        <v>634614.914559233</v>
      </c>
      <c r="BB3" s="29">
        <f t="shared" si="1"/>
        <v>634614.914559233</v>
      </c>
      <c r="BI3" s="2">
        <v>23348.627174666664</v>
      </c>
    </row>
    <row r="4" spans="1:61" x14ac:dyDescent="0.35">
      <c r="A4" s="2" t="str" cm="1">
        <f t="array" ref="A4:B12">'Salary Variables'!$B$16:$C$24</f>
        <v>AM (%)</v>
      </c>
      <c r="B4" s="25">
        <v>0.08</v>
      </c>
      <c r="D4" s="2" t="s">
        <v>277</v>
      </c>
      <c r="E4" s="29">
        <f>'Pensions P1'!B4*12</f>
        <v>25800</v>
      </c>
      <c r="F4" s="29">
        <f>'Pensions P1'!C4*12</f>
        <v>25800</v>
      </c>
      <c r="G4" s="29">
        <f>'Pensions P1'!D4*12</f>
        <v>26574</v>
      </c>
      <c r="H4" s="29">
        <f>'Pensions P1'!E4*12</f>
        <v>26574</v>
      </c>
      <c r="I4" s="29">
        <f>'Pensions P1'!F4*12</f>
        <v>26574</v>
      </c>
      <c r="J4" s="29">
        <f>'Pensions P1'!G4*12</f>
        <v>26574</v>
      </c>
      <c r="K4" s="29">
        <f>'Pensions P1'!H4*12</f>
        <v>27371.22</v>
      </c>
      <c r="L4" s="29">
        <f>'Pensions P1'!I4*12</f>
        <v>27371.22</v>
      </c>
      <c r="M4" s="29">
        <f>'Pensions P1'!J4*12</f>
        <v>27371.22</v>
      </c>
      <c r="N4" s="29">
        <f>'Pensions P1'!K4*12</f>
        <v>27371.22</v>
      </c>
      <c r="O4" s="29">
        <f>'Pensions P1'!L4*12</f>
        <v>28192.356599999999</v>
      </c>
      <c r="P4" s="29">
        <f>'Pensions P1'!M4*12</f>
        <v>28192.356599999999</v>
      </c>
      <c r="Q4" s="29">
        <f>'Pensions P1'!N4*12</f>
        <v>28192.356599999999</v>
      </c>
      <c r="R4" s="29">
        <f>'Pensions P1'!O4*12</f>
        <v>29038.127298000003</v>
      </c>
      <c r="S4" s="29">
        <f>'Pensions P1'!P4*12</f>
        <v>29038.127298000003</v>
      </c>
      <c r="T4" s="29">
        <f>'Pensions P1'!Q4*12</f>
        <v>29038.127298000003</v>
      </c>
      <c r="U4" s="29">
        <f>'Pensions P1'!R4*12</f>
        <v>29038.127298000003</v>
      </c>
      <c r="V4" s="29">
        <f>'Pensions P1'!S4*12</f>
        <v>29038.127298000003</v>
      </c>
      <c r="W4" s="29">
        <f>'Pensions P1'!T4*12</f>
        <v>29909.271116940006</v>
      </c>
      <c r="X4" s="29">
        <f>'Pensions P1'!U4*12</f>
        <v>29909.271116940006</v>
      </c>
      <c r="Y4" s="29">
        <f>'Pensions P1'!V4*12</f>
        <v>29909.271116940006</v>
      </c>
      <c r="Z4" s="29">
        <f>'Pensions P1'!W4*12</f>
        <v>29909.271116940006</v>
      </c>
      <c r="AA4" s="29">
        <f>'Pensions P1'!X4*12</f>
        <v>30806.549250448206</v>
      </c>
      <c r="AB4" s="29">
        <f>'Pensions P1'!Y4*12</f>
        <v>30806.549250448206</v>
      </c>
      <c r="AC4" s="29">
        <f>'Pensions P1'!Z4*12</f>
        <v>30806.549250448206</v>
      </c>
      <c r="AD4" s="29">
        <f>'Pensions P1'!AA4*12</f>
        <v>30806.549250448206</v>
      </c>
      <c r="AE4" s="29">
        <f>'Pensions P1'!AB4*12</f>
        <v>30806.549250448206</v>
      </c>
      <c r="AF4" s="29">
        <f>'Pensions P1'!AC4*12</f>
        <v>30806.549250448206</v>
      </c>
      <c r="AG4" s="29">
        <f>'Pensions P1'!AD4*12</f>
        <v>30806.549250448206</v>
      </c>
      <c r="AH4" s="29">
        <f>'Pensions P1'!AE4*12</f>
        <v>30806.549250448206</v>
      </c>
      <c r="AI4" s="29">
        <f>'Pensions P1'!AF4*12</f>
        <v>30806.549250448206</v>
      </c>
      <c r="AJ4" s="29">
        <f>'Pensions P1'!AG4*12</f>
        <v>30806.549250448206</v>
      </c>
      <c r="AK4" s="29">
        <f>'Pensions P1'!AH4*12</f>
        <v>30806.549250448206</v>
      </c>
      <c r="AL4" s="29">
        <f>'Pensions P1'!AI4*12</f>
        <v>30806.549250448206</v>
      </c>
      <c r="AM4" s="29">
        <f>'Pensions P1'!AJ4*12</f>
        <v>30806.549250448206</v>
      </c>
      <c r="AN4" s="29">
        <f>'Pensions P1'!AK4*12</f>
        <v>31730.74572796165</v>
      </c>
      <c r="AO4" s="29">
        <f>'Pensions P1'!AL4*12</f>
        <v>31730.74572796165</v>
      </c>
      <c r="AP4" s="29">
        <f>'Pensions P1'!AM4*12</f>
        <v>31730.74572796165</v>
      </c>
      <c r="AQ4" s="29">
        <f>'Pensions P1'!AN4*12</f>
        <v>31730.74572796165</v>
      </c>
      <c r="AR4" s="29">
        <f>'Pensions P1'!AO4*12</f>
        <v>31730.74572796165</v>
      </c>
      <c r="AS4" s="29">
        <f>'Pensions P1'!AP4*12</f>
        <v>31730.74572796165</v>
      </c>
      <c r="AT4" s="29">
        <f>'Pensions P1'!AQ4*12</f>
        <v>31730.74572796165</v>
      </c>
      <c r="AU4" s="29">
        <f>'Pensions P1'!AR4*12</f>
        <v>31730.74572796165</v>
      </c>
      <c r="AV4" s="29">
        <f>'Pensions P1'!AS4*12</f>
        <v>31730.74572796165</v>
      </c>
      <c r="AW4" s="29">
        <f>'Pensions P1'!AT4*12</f>
        <v>31730.74572796165</v>
      </c>
      <c r="AX4" s="29">
        <f>'Pensions P1'!AU4*12</f>
        <v>31730.74572796165</v>
      </c>
      <c r="AY4" s="29">
        <f>'Pensions P1'!AV4*12</f>
        <v>31730.74572796165</v>
      </c>
      <c r="AZ4" s="29">
        <f>'Pensions P1'!AW4*12</f>
        <v>31730.74572796165</v>
      </c>
      <c r="BA4" s="29">
        <f>'Pensions P1'!AX4*12</f>
        <v>31730.74572796165</v>
      </c>
      <c r="BB4" s="29">
        <f>'Pensions P1'!AY4*12</f>
        <v>31730.74572796165</v>
      </c>
      <c r="BI4" s="2">
        <v>24058.814228666666</v>
      </c>
    </row>
    <row r="5" spans="1:61" x14ac:dyDescent="0.35">
      <c r="A5" s="2" t="str">
        <v>Personal Allowance</v>
      </c>
      <c r="B5" s="28">
        <v>51600</v>
      </c>
      <c r="D5" s="2" t="s">
        <v>187</v>
      </c>
      <c r="E5" s="29">
        <f>E3-E4</f>
        <v>490200</v>
      </c>
      <c r="F5" s="29">
        <f t="shared" ref="F5:AW5" si="2">F3-F4</f>
        <v>490200</v>
      </c>
      <c r="G5" s="29">
        <f t="shared" si="2"/>
        <v>504906</v>
      </c>
      <c r="H5" s="29">
        <f t="shared" si="2"/>
        <v>504906</v>
      </c>
      <c r="I5" s="29">
        <f t="shared" si="2"/>
        <v>504906</v>
      </c>
      <c r="J5" s="29">
        <f t="shared" si="2"/>
        <v>504906</v>
      </c>
      <c r="K5" s="29">
        <f t="shared" si="2"/>
        <v>520053.17999999993</v>
      </c>
      <c r="L5" s="29">
        <f t="shared" si="2"/>
        <v>520053.17999999993</v>
      </c>
      <c r="M5" s="29">
        <f t="shared" si="2"/>
        <v>520053.17999999993</v>
      </c>
      <c r="N5" s="29">
        <f t="shared" si="2"/>
        <v>520053.17999999993</v>
      </c>
      <c r="O5" s="29">
        <f t="shared" si="2"/>
        <v>535654.77539999993</v>
      </c>
      <c r="P5" s="29">
        <f t="shared" si="2"/>
        <v>535654.77539999993</v>
      </c>
      <c r="Q5" s="29">
        <f t="shared" si="2"/>
        <v>535654.77539999993</v>
      </c>
      <c r="R5" s="29">
        <f t="shared" si="2"/>
        <v>551724.41866199998</v>
      </c>
      <c r="S5" s="29">
        <f t="shared" si="2"/>
        <v>551724.41866199998</v>
      </c>
      <c r="T5" s="29">
        <f t="shared" si="2"/>
        <v>551724.41866199998</v>
      </c>
      <c r="U5" s="29">
        <f t="shared" si="2"/>
        <v>551724.41866199998</v>
      </c>
      <c r="V5" s="29">
        <f t="shared" si="2"/>
        <v>551724.41866199998</v>
      </c>
      <c r="W5" s="29">
        <f t="shared" si="2"/>
        <v>568276.15122186008</v>
      </c>
      <c r="X5" s="29">
        <f t="shared" si="2"/>
        <v>568276.15122186008</v>
      </c>
      <c r="Y5" s="29">
        <f t="shared" si="2"/>
        <v>568276.15122186008</v>
      </c>
      <c r="Z5" s="29">
        <f t="shared" si="2"/>
        <v>568276.15122186008</v>
      </c>
      <c r="AA5" s="29">
        <f t="shared" si="2"/>
        <v>585324.43575851584</v>
      </c>
      <c r="AB5" s="29">
        <f t="shared" si="2"/>
        <v>585324.43575851584</v>
      </c>
      <c r="AC5" s="29">
        <f t="shared" si="2"/>
        <v>585324.43575851584</v>
      </c>
      <c r="AD5" s="29">
        <f t="shared" si="2"/>
        <v>585324.43575851584</v>
      </c>
      <c r="AE5" s="29">
        <f t="shared" si="2"/>
        <v>585324.43575851584</v>
      </c>
      <c r="AF5" s="29">
        <f t="shared" si="2"/>
        <v>585324.43575851584</v>
      </c>
      <c r="AG5" s="29">
        <f t="shared" si="2"/>
        <v>585324.43575851584</v>
      </c>
      <c r="AH5" s="29">
        <f t="shared" si="2"/>
        <v>585324.43575851584</v>
      </c>
      <c r="AI5" s="29">
        <f t="shared" si="2"/>
        <v>585324.43575851584</v>
      </c>
      <c r="AJ5" s="29">
        <f t="shared" si="2"/>
        <v>585324.43575851584</v>
      </c>
      <c r="AK5" s="29">
        <f t="shared" si="2"/>
        <v>585324.43575851584</v>
      </c>
      <c r="AL5" s="29">
        <f t="shared" si="2"/>
        <v>585324.43575851584</v>
      </c>
      <c r="AM5" s="29">
        <f t="shared" si="2"/>
        <v>585324.43575851584</v>
      </c>
      <c r="AN5" s="29">
        <f t="shared" si="2"/>
        <v>602884.16883127135</v>
      </c>
      <c r="AO5" s="29">
        <f t="shared" si="2"/>
        <v>602884.16883127135</v>
      </c>
      <c r="AP5" s="29">
        <f t="shared" si="2"/>
        <v>602884.16883127135</v>
      </c>
      <c r="AQ5" s="29">
        <f t="shared" si="2"/>
        <v>602884.16883127135</v>
      </c>
      <c r="AR5" s="29">
        <f t="shared" si="2"/>
        <v>602884.16883127135</v>
      </c>
      <c r="AS5" s="29">
        <f t="shared" si="2"/>
        <v>602884.16883127135</v>
      </c>
      <c r="AT5" s="29">
        <f t="shared" si="2"/>
        <v>602884.16883127135</v>
      </c>
      <c r="AU5" s="29">
        <f t="shared" si="2"/>
        <v>602884.16883127135</v>
      </c>
      <c r="AV5" s="29">
        <f t="shared" si="2"/>
        <v>602884.16883127135</v>
      </c>
      <c r="AW5" s="29">
        <f t="shared" si="2"/>
        <v>602884.16883127135</v>
      </c>
      <c r="AX5" s="29">
        <f t="shared" ref="AX5:BB5" si="3">AX3-AX4</f>
        <v>602884.16883127135</v>
      </c>
      <c r="AY5" s="29">
        <f t="shared" si="3"/>
        <v>602884.16883127135</v>
      </c>
      <c r="AZ5" s="29">
        <f t="shared" si="3"/>
        <v>602884.16883127135</v>
      </c>
      <c r="BA5" s="29">
        <f t="shared" si="3"/>
        <v>602884.16883127135</v>
      </c>
      <c r="BB5" s="29">
        <f t="shared" si="3"/>
        <v>602884.16883127135</v>
      </c>
      <c r="BI5" s="2">
        <v>24058.814228666666</v>
      </c>
    </row>
    <row r="6" spans="1:61" x14ac:dyDescent="0.35">
      <c r="A6" s="2" t="str">
        <v>Bottom-Bracket State Tax rate (%)</v>
      </c>
      <c r="B6" s="25">
        <v>0.1201</v>
      </c>
      <c r="D6" s="2" t="s">
        <v>256</v>
      </c>
      <c r="E6" s="28">
        <f>E5-$B$14</f>
        <v>489012</v>
      </c>
      <c r="F6" s="28">
        <f t="shared" ref="F6:AW6" si="4">F5-$B$14</f>
        <v>489012</v>
      </c>
      <c r="G6" s="28">
        <f t="shared" si="4"/>
        <v>503718</v>
      </c>
      <c r="H6" s="28">
        <f t="shared" si="4"/>
        <v>503718</v>
      </c>
      <c r="I6" s="28">
        <f t="shared" si="4"/>
        <v>503718</v>
      </c>
      <c r="J6" s="28">
        <f t="shared" si="4"/>
        <v>503718</v>
      </c>
      <c r="K6" s="28">
        <f t="shared" si="4"/>
        <v>518865.17999999993</v>
      </c>
      <c r="L6" s="28">
        <f t="shared" si="4"/>
        <v>518865.17999999993</v>
      </c>
      <c r="M6" s="28">
        <f t="shared" si="4"/>
        <v>518865.17999999993</v>
      </c>
      <c r="N6" s="28">
        <f t="shared" si="4"/>
        <v>518865.17999999993</v>
      </c>
      <c r="O6" s="28">
        <f t="shared" si="4"/>
        <v>534466.77539999993</v>
      </c>
      <c r="P6" s="28">
        <f t="shared" si="4"/>
        <v>534466.77539999993</v>
      </c>
      <c r="Q6" s="28">
        <f t="shared" si="4"/>
        <v>534466.77539999993</v>
      </c>
      <c r="R6" s="28">
        <f t="shared" si="4"/>
        <v>550536.41866199998</v>
      </c>
      <c r="S6" s="28">
        <f t="shared" si="4"/>
        <v>550536.41866199998</v>
      </c>
      <c r="T6" s="28">
        <f t="shared" si="4"/>
        <v>550536.41866199998</v>
      </c>
      <c r="U6" s="28">
        <f t="shared" si="4"/>
        <v>550536.41866199998</v>
      </c>
      <c r="V6" s="28">
        <f t="shared" si="4"/>
        <v>550536.41866199998</v>
      </c>
      <c r="W6" s="28">
        <f t="shared" si="4"/>
        <v>567088.15122186008</v>
      </c>
      <c r="X6" s="28">
        <f t="shared" si="4"/>
        <v>567088.15122186008</v>
      </c>
      <c r="Y6" s="28">
        <f t="shared" si="4"/>
        <v>567088.15122186008</v>
      </c>
      <c r="Z6" s="28">
        <f t="shared" si="4"/>
        <v>567088.15122186008</v>
      </c>
      <c r="AA6" s="28">
        <f t="shared" si="4"/>
        <v>584136.43575851584</v>
      </c>
      <c r="AB6" s="28">
        <f t="shared" si="4"/>
        <v>584136.43575851584</v>
      </c>
      <c r="AC6" s="28">
        <f t="shared" si="4"/>
        <v>584136.43575851584</v>
      </c>
      <c r="AD6" s="28">
        <f t="shared" si="4"/>
        <v>584136.43575851584</v>
      </c>
      <c r="AE6" s="28">
        <f t="shared" si="4"/>
        <v>584136.43575851584</v>
      </c>
      <c r="AF6" s="28">
        <f t="shared" si="4"/>
        <v>584136.43575851584</v>
      </c>
      <c r="AG6" s="28">
        <f t="shared" si="4"/>
        <v>584136.43575851584</v>
      </c>
      <c r="AH6" s="28">
        <f t="shared" si="4"/>
        <v>584136.43575851584</v>
      </c>
      <c r="AI6" s="28">
        <f t="shared" si="4"/>
        <v>584136.43575851584</v>
      </c>
      <c r="AJ6" s="28">
        <f t="shared" si="4"/>
        <v>584136.43575851584</v>
      </c>
      <c r="AK6" s="28">
        <f t="shared" si="4"/>
        <v>584136.43575851584</v>
      </c>
      <c r="AL6" s="28">
        <f t="shared" si="4"/>
        <v>584136.43575851584</v>
      </c>
      <c r="AM6" s="28">
        <f t="shared" si="4"/>
        <v>584136.43575851584</v>
      </c>
      <c r="AN6" s="28">
        <f t="shared" si="4"/>
        <v>601696.16883127135</v>
      </c>
      <c r="AO6" s="28">
        <f t="shared" si="4"/>
        <v>601696.16883127135</v>
      </c>
      <c r="AP6" s="28">
        <f t="shared" si="4"/>
        <v>601696.16883127135</v>
      </c>
      <c r="AQ6" s="28">
        <f t="shared" si="4"/>
        <v>601696.16883127135</v>
      </c>
      <c r="AR6" s="28">
        <f t="shared" si="4"/>
        <v>601696.16883127135</v>
      </c>
      <c r="AS6" s="28">
        <f t="shared" si="4"/>
        <v>601696.16883127135</v>
      </c>
      <c r="AT6" s="28">
        <f t="shared" si="4"/>
        <v>601696.16883127135</v>
      </c>
      <c r="AU6" s="28">
        <f t="shared" si="4"/>
        <v>601696.16883127135</v>
      </c>
      <c r="AV6" s="28">
        <f t="shared" si="4"/>
        <v>601696.16883127135</v>
      </c>
      <c r="AW6" s="28">
        <f t="shared" si="4"/>
        <v>601696.16883127135</v>
      </c>
      <c r="AX6" s="28">
        <f t="shared" ref="AX6:BB6" si="5">AX5-$B$14</f>
        <v>601696.16883127135</v>
      </c>
      <c r="AY6" s="28">
        <f t="shared" si="5"/>
        <v>601696.16883127135</v>
      </c>
      <c r="AZ6" s="28">
        <f t="shared" si="5"/>
        <v>601696.16883127135</v>
      </c>
      <c r="BA6" s="28">
        <f t="shared" si="5"/>
        <v>601696.16883127135</v>
      </c>
      <c r="BB6" s="28">
        <f t="shared" si="5"/>
        <v>601696.16883127135</v>
      </c>
      <c r="BI6" s="2">
        <v>24058.814228666666</v>
      </c>
    </row>
    <row r="7" spans="1:61" x14ac:dyDescent="0.35">
      <c r="A7" s="2" t="str">
        <v>Top-bracket State Tax rate (%)</v>
      </c>
      <c r="B7" s="25">
        <v>0.15</v>
      </c>
      <c r="D7" s="2" t="s">
        <v>234</v>
      </c>
      <c r="E7" s="28">
        <f>E6*(1-$B$4)</f>
        <v>449891.04000000004</v>
      </c>
      <c r="F7" s="28">
        <f t="shared" ref="F7:AW7" si="6">F6*(1-$B$4)</f>
        <v>449891.04000000004</v>
      </c>
      <c r="G7" s="28">
        <f t="shared" si="6"/>
        <v>463420.56</v>
      </c>
      <c r="H7" s="28">
        <f t="shared" si="6"/>
        <v>463420.56</v>
      </c>
      <c r="I7" s="28">
        <f t="shared" si="6"/>
        <v>463420.56</v>
      </c>
      <c r="J7" s="28">
        <f t="shared" si="6"/>
        <v>463420.56</v>
      </c>
      <c r="K7" s="28">
        <f t="shared" si="6"/>
        <v>477355.96559999994</v>
      </c>
      <c r="L7" s="28">
        <f t="shared" si="6"/>
        <v>477355.96559999994</v>
      </c>
      <c r="M7" s="28">
        <f t="shared" si="6"/>
        <v>477355.96559999994</v>
      </c>
      <c r="N7" s="28">
        <f t="shared" si="6"/>
        <v>477355.96559999994</v>
      </c>
      <c r="O7" s="28">
        <f t="shared" si="6"/>
        <v>491709.43336799997</v>
      </c>
      <c r="P7" s="28">
        <f t="shared" si="6"/>
        <v>491709.43336799997</v>
      </c>
      <c r="Q7" s="28">
        <f t="shared" si="6"/>
        <v>491709.43336799997</v>
      </c>
      <c r="R7" s="28">
        <f t="shared" si="6"/>
        <v>506493.50516904</v>
      </c>
      <c r="S7" s="28">
        <f t="shared" si="6"/>
        <v>506493.50516904</v>
      </c>
      <c r="T7" s="28">
        <f t="shared" si="6"/>
        <v>506493.50516904</v>
      </c>
      <c r="U7" s="28">
        <f t="shared" si="6"/>
        <v>506493.50516904</v>
      </c>
      <c r="V7" s="28">
        <f t="shared" si="6"/>
        <v>506493.50516904</v>
      </c>
      <c r="W7" s="28">
        <f t="shared" si="6"/>
        <v>521721.09912411129</v>
      </c>
      <c r="X7" s="28">
        <f t="shared" si="6"/>
        <v>521721.09912411129</v>
      </c>
      <c r="Y7" s="28">
        <f t="shared" si="6"/>
        <v>521721.09912411129</v>
      </c>
      <c r="Z7" s="28">
        <f t="shared" si="6"/>
        <v>521721.09912411129</v>
      </c>
      <c r="AA7" s="28">
        <f t="shared" si="6"/>
        <v>537405.52089783456</v>
      </c>
      <c r="AB7" s="28">
        <f t="shared" si="6"/>
        <v>537405.52089783456</v>
      </c>
      <c r="AC7" s="28">
        <f t="shared" si="6"/>
        <v>537405.52089783456</v>
      </c>
      <c r="AD7" s="28">
        <f t="shared" si="6"/>
        <v>537405.52089783456</v>
      </c>
      <c r="AE7" s="28">
        <f t="shared" si="6"/>
        <v>537405.52089783456</v>
      </c>
      <c r="AF7" s="28">
        <f t="shared" si="6"/>
        <v>537405.52089783456</v>
      </c>
      <c r="AG7" s="28">
        <f t="shared" si="6"/>
        <v>537405.52089783456</v>
      </c>
      <c r="AH7" s="28">
        <f t="shared" si="6"/>
        <v>537405.52089783456</v>
      </c>
      <c r="AI7" s="28">
        <f t="shared" si="6"/>
        <v>537405.52089783456</v>
      </c>
      <c r="AJ7" s="28">
        <f t="shared" si="6"/>
        <v>537405.52089783456</v>
      </c>
      <c r="AK7" s="28">
        <f t="shared" si="6"/>
        <v>537405.52089783456</v>
      </c>
      <c r="AL7" s="28">
        <f t="shared" si="6"/>
        <v>537405.52089783456</v>
      </c>
      <c r="AM7" s="28">
        <f t="shared" si="6"/>
        <v>537405.52089783456</v>
      </c>
      <c r="AN7" s="28">
        <f t="shared" si="6"/>
        <v>553560.47532476962</v>
      </c>
      <c r="AO7" s="28">
        <f t="shared" si="6"/>
        <v>553560.47532476962</v>
      </c>
      <c r="AP7" s="28">
        <f t="shared" si="6"/>
        <v>553560.47532476962</v>
      </c>
      <c r="AQ7" s="28">
        <f t="shared" si="6"/>
        <v>553560.47532476962</v>
      </c>
      <c r="AR7" s="28">
        <f t="shared" si="6"/>
        <v>553560.47532476962</v>
      </c>
      <c r="AS7" s="28">
        <f t="shared" si="6"/>
        <v>553560.47532476962</v>
      </c>
      <c r="AT7" s="28">
        <f t="shared" si="6"/>
        <v>553560.47532476962</v>
      </c>
      <c r="AU7" s="28">
        <f t="shared" si="6"/>
        <v>553560.47532476962</v>
      </c>
      <c r="AV7" s="28">
        <f t="shared" si="6"/>
        <v>553560.47532476962</v>
      </c>
      <c r="AW7" s="28">
        <f t="shared" si="6"/>
        <v>553560.47532476962</v>
      </c>
      <c r="AX7" s="28">
        <f t="shared" ref="AX7:BB7" si="7">AX6*(1-$B$4)</f>
        <v>553560.47532476962</v>
      </c>
      <c r="AY7" s="28">
        <f t="shared" si="7"/>
        <v>553560.47532476962</v>
      </c>
      <c r="AZ7" s="28">
        <f t="shared" si="7"/>
        <v>553560.47532476962</v>
      </c>
      <c r="BA7" s="28">
        <f t="shared" si="7"/>
        <v>553560.47532476962</v>
      </c>
      <c r="BB7" s="28">
        <f t="shared" si="7"/>
        <v>553560.47532476962</v>
      </c>
      <c r="BI7" s="2">
        <v>24058.814228666666</v>
      </c>
    </row>
    <row r="8" spans="1:61" x14ac:dyDescent="0.35">
      <c r="A8" s="2" t="str">
        <v>State Tax Bracket Threshold</v>
      </c>
      <c r="B8" s="28">
        <v>618400</v>
      </c>
      <c r="D8" s="2" t="s">
        <v>229</v>
      </c>
      <c r="E8" s="28">
        <f>$B$5</f>
        <v>51600</v>
      </c>
      <c r="F8" s="28">
        <f t="shared" ref="F8:BB8" si="8">$B$5</f>
        <v>51600</v>
      </c>
      <c r="G8" s="28">
        <f t="shared" si="8"/>
        <v>51600</v>
      </c>
      <c r="H8" s="28">
        <f t="shared" si="8"/>
        <v>51600</v>
      </c>
      <c r="I8" s="28">
        <f t="shared" si="8"/>
        <v>51600</v>
      </c>
      <c r="J8" s="28">
        <f t="shared" si="8"/>
        <v>51600</v>
      </c>
      <c r="K8" s="28">
        <f t="shared" si="8"/>
        <v>51600</v>
      </c>
      <c r="L8" s="28">
        <f t="shared" si="8"/>
        <v>51600</v>
      </c>
      <c r="M8" s="28">
        <f t="shared" si="8"/>
        <v>51600</v>
      </c>
      <c r="N8" s="28">
        <f t="shared" si="8"/>
        <v>51600</v>
      </c>
      <c r="O8" s="28">
        <f t="shared" si="8"/>
        <v>51600</v>
      </c>
      <c r="P8" s="28">
        <f t="shared" si="8"/>
        <v>51600</v>
      </c>
      <c r="Q8" s="28">
        <f t="shared" si="8"/>
        <v>51600</v>
      </c>
      <c r="R8" s="28">
        <f t="shared" si="8"/>
        <v>51600</v>
      </c>
      <c r="S8" s="28">
        <f t="shared" si="8"/>
        <v>51600</v>
      </c>
      <c r="T8" s="28">
        <f t="shared" si="8"/>
        <v>51600</v>
      </c>
      <c r="U8" s="28">
        <f t="shared" si="8"/>
        <v>51600</v>
      </c>
      <c r="V8" s="28">
        <f t="shared" si="8"/>
        <v>51600</v>
      </c>
      <c r="W8" s="28">
        <f t="shared" si="8"/>
        <v>51600</v>
      </c>
      <c r="X8" s="28">
        <f t="shared" si="8"/>
        <v>51600</v>
      </c>
      <c r="Y8" s="28">
        <f t="shared" si="8"/>
        <v>51600</v>
      </c>
      <c r="Z8" s="28">
        <f t="shared" si="8"/>
        <v>51600</v>
      </c>
      <c r="AA8" s="28">
        <f t="shared" si="8"/>
        <v>51600</v>
      </c>
      <c r="AB8" s="28">
        <f t="shared" si="8"/>
        <v>51600</v>
      </c>
      <c r="AC8" s="28">
        <f t="shared" si="8"/>
        <v>51600</v>
      </c>
      <c r="AD8" s="28">
        <f t="shared" si="8"/>
        <v>51600</v>
      </c>
      <c r="AE8" s="28">
        <f t="shared" si="8"/>
        <v>51600</v>
      </c>
      <c r="AF8" s="28">
        <f t="shared" si="8"/>
        <v>51600</v>
      </c>
      <c r="AG8" s="28">
        <f t="shared" si="8"/>
        <v>51600</v>
      </c>
      <c r="AH8" s="28">
        <f t="shared" si="8"/>
        <v>51600</v>
      </c>
      <c r="AI8" s="28">
        <f t="shared" si="8"/>
        <v>51600</v>
      </c>
      <c r="AJ8" s="28">
        <f t="shared" si="8"/>
        <v>51600</v>
      </c>
      <c r="AK8" s="28">
        <f t="shared" si="8"/>
        <v>51600</v>
      </c>
      <c r="AL8" s="28">
        <f t="shared" si="8"/>
        <v>51600</v>
      </c>
      <c r="AM8" s="28">
        <f t="shared" si="8"/>
        <v>51600</v>
      </c>
      <c r="AN8" s="28">
        <f t="shared" si="8"/>
        <v>51600</v>
      </c>
      <c r="AO8" s="28">
        <f t="shared" si="8"/>
        <v>51600</v>
      </c>
      <c r="AP8" s="28">
        <f t="shared" si="8"/>
        <v>51600</v>
      </c>
      <c r="AQ8" s="28">
        <f t="shared" si="8"/>
        <v>51600</v>
      </c>
      <c r="AR8" s="28">
        <f t="shared" si="8"/>
        <v>51600</v>
      </c>
      <c r="AS8" s="28">
        <f t="shared" si="8"/>
        <v>51600</v>
      </c>
      <c r="AT8" s="28">
        <f t="shared" si="8"/>
        <v>51600</v>
      </c>
      <c r="AU8" s="28">
        <f t="shared" si="8"/>
        <v>51600</v>
      </c>
      <c r="AV8" s="28">
        <f t="shared" si="8"/>
        <v>51600</v>
      </c>
      <c r="AW8" s="28">
        <f t="shared" si="8"/>
        <v>51600</v>
      </c>
      <c r="AX8" s="28">
        <f t="shared" si="8"/>
        <v>51600</v>
      </c>
      <c r="AY8" s="28">
        <f t="shared" si="8"/>
        <v>51600</v>
      </c>
      <c r="AZ8" s="28">
        <f t="shared" si="8"/>
        <v>51600</v>
      </c>
      <c r="BA8" s="28">
        <f t="shared" si="8"/>
        <v>51600</v>
      </c>
      <c r="BB8" s="28">
        <f t="shared" si="8"/>
        <v>51600</v>
      </c>
      <c r="BI8" s="2">
        <v>24790.306894286663</v>
      </c>
    </row>
    <row r="9" spans="1:61" x14ac:dyDescent="0.35">
      <c r="A9" s="2" t="str">
        <v>Municipal Tax (%)</v>
      </c>
      <c r="B9" s="25">
        <v>0.25</v>
      </c>
      <c r="D9" s="2" t="s">
        <v>235</v>
      </c>
      <c r="E9" s="28">
        <f>E7-E8</f>
        <v>398291.04000000004</v>
      </c>
      <c r="F9" s="28">
        <f t="shared" ref="F9:AW9" si="9">F7-F8</f>
        <v>398291.04000000004</v>
      </c>
      <c r="G9" s="28">
        <f t="shared" si="9"/>
        <v>411820.56</v>
      </c>
      <c r="H9" s="28">
        <f t="shared" si="9"/>
        <v>411820.56</v>
      </c>
      <c r="I9" s="28">
        <f t="shared" si="9"/>
        <v>411820.56</v>
      </c>
      <c r="J9" s="28">
        <f t="shared" si="9"/>
        <v>411820.56</v>
      </c>
      <c r="K9" s="28">
        <f t="shared" si="9"/>
        <v>425755.96559999994</v>
      </c>
      <c r="L9" s="28">
        <f t="shared" si="9"/>
        <v>425755.96559999994</v>
      </c>
      <c r="M9" s="28">
        <f t="shared" si="9"/>
        <v>425755.96559999994</v>
      </c>
      <c r="N9" s="28">
        <f t="shared" si="9"/>
        <v>425755.96559999994</v>
      </c>
      <c r="O9" s="28">
        <f t="shared" si="9"/>
        <v>440109.43336799997</v>
      </c>
      <c r="P9" s="28">
        <f t="shared" si="9"/>
        <v>440109.43336799997</v>
      </c>
      <c r="Q9" s="28">
        <f t="shared" si="9"/>
        <v>440109.43336799997</v>
      </c>
      <c r="R9" s="28">
        <f t="shared" si="9"/>
        <v>454893.50516904</v>
      </c>
      <c r="S9" s="28">
        <f t="shared" si="9"/>
        <v>454893.50516904</v>
      </c>
      <c r="T9" s="28">
        <f t="shared" si="9"/>
        <v>454893.50516904</v>
      </c>
      <c r="U9" s="28">
        <f t="shared" si="9"/>
        <v>454893.50516904</v>
      </c>
      <c r="V9" s="28">
        <f t="shared" si="9"/>
        <v>454893.50516904</v>
      </c>
      <c r="W9" s="28">
        <f t="shared" si="9"/>
        <v>470121.09912411129</v>
      </c>
      <c r="X9" s="28">
        <f t="shared" si="9"/>
        <v>470121.09912411129</v>
      </c>
      <c r="Y9" s="28">
        <f t="shared" si="9"/>
        <v>470121.09912411129</v>
      </c>
      <c r="Z9" s="28">
        <f t="shared" si="9"/>
        <v>470121.09912411129</v>
      </c>
      <c r="AA9" s="28">
        <f t="shared" si="9"/>
        <v>485805.52089783456</v>
      </c>
      <c r="AB9" s="28">
        <f t="shared" si="9"/>
        <v>485805.52089783456</v>
      </c>
      <c r="AC9" s="28">
        <f t="shared" si="9"/>
        <v>485805.52089783456</v>
      </c>
      <c r="AD9" s="28">
        <f t="shared" si="9"/>
        <v>485805.52089783456</v>
      </c>
      <c r="AE9" s="28">
        <f t="shared" si="9"/>
        <v>485805.52089783456</v>
      </c>
      <c r="AF9" s="28">
        <f t="shared" si="9"/>
        <v>485805.52089783456</v>
      </c>
      <c r="AG9" s="28">
        <f t="shared" si="9"/>
        <v>485805.52089783456</v>
      </c>
      <c r="AH9" s="28">
        <f t="shared" si="9"/>
        <v>485805.52089783456</v>
      </c>
      <c r="AI9" s="28">
        <f t="shared" si="9"/>
        <v>485805.52089783456</v>
      </c>
      <c r="AJ9" s="28">
        <f t="shared" si="9"/>
        <v>485805.52089783456</v>
      </c>
      <c r="AK9" s="28">
        <f t="shared" si="9"/>
        <v>485805.52089783456</v>
      </c>
      <c r="AL9" s="28">
        <f t="shared" si="9"/>
        <v>485805.52089783456</v>
      </c>
      <c r="AM9" s="28">
        <f t="shared" si="9"/>
        <v>485805.52089783456</v>
      </c>
      <c r="AN9" s="28">
        <f t="shared" si="9"/>
        <v>501960.47532476962</v>
      </c>
      <c r="AO9" s="28">
        <f t="shared" si="9"/>
        <v>501960.47532476962</v>
      </c>
      <c r="AP9" s="28">
        <f t="shared" si="9"/>
        <v>501960.47532476962</v>
      </c>
      <c r="AQ9" s="28">
        <f t="shared" si="9"/>
        <v>501960.47532476962</v>
      </c>
      <c r="AR9" s="28">
        <f t="shared" si="9"/>
        <v>501960.47532476962</v>
      </c>
      <c r="AS9" s="28">
        <f t="shared" si="9"/>
        <v>501960.47532476962</v>
      </c>
      <c r="AT9" s="28">
        <f t="shared" si="9"/>
        <v>501960.47532476962</v>
      </c>
      <c r="AU9" s="28">
        <f t="shared" si="9"/>
        <v>501960.47532476962</v>
      </c>
      <c r="AV9" s="28">
        <f t="shared" si="9"/>
        <v>501960.47532476962</v>
      </c>
      <c r="AW9" s="28">
        <f t="shared" si="9"/>
        <v>501960.47532476962</v>
      </c>
      <c r="AX9" s="28">
        <f t="shared" ref="AX9:BB9" si="10">AX7-AX8</f>
        <v>501960.47532476962</v>
      </c>
      <c r="AY9" s="28">
        <f t="shared" si="10"/>
        <v>501960.47532476962</v>
      </c>
      <c r="AZ9" s="28">
        <f t="shared" si="10"/>
        <v>501960.47532476962</v>
      </c>
      <c r="BA9" s="28">
        <f t="shared" si="10"/>
        <v>501960.47532476962</v>
      </c>
      <c r="BB9" s="28">
        <f t="shared" si="10"/>
        <v>501960.47532476962</v>
      </c>
      <c r="BI9" s="2">
        <v>24790.306894286663</v>
      </c>
    </row>
    <row r="10" spans="1:61" x14ac:dyDescent="0.35">
      <c r="A10" s="2" t="str">
        <v>Capital Gains &lt; 67,500DKK</v>
      </c>
      <c r="B10" s="28">
        <v>0.27</v>
      </c>
      <c r="D10" s="2" t="s">
        <v>189</v>
      </c>
      <c r="E10" s="28">
        <f>E7*$B$9</f>
        <v>112472.76000000001</v>
      </c>
      <c r="F10" s="28">
        <f t="shared" ref="F10:AW10" si="11">F7*$B$9</f>
        <v>112472.76000000001</v>
      </c>
      <c r="G10" s="28">
        <f t="shared" si="11"/>
        <v>115855.14</v>
      </c>
      <c r="H10" s="28">
        <f t="shared" si="11"/>
        <v>115855.14</v>
      </c>
      <c r="I10" s="28">
        <f t="shared" si="11"/>
        <v>115855.14</v>
      </c>
      <c r="J10" s="28">
        <f t="shared" si="11"/>
        <v>115855.14</v>
      </c>
      <c r="K10" s="28">
        <f t="shared" si="11"/>
        <v>119338.99139999998</v>
      </c>
      <c r="L10" s="28">
        <f t="shared" si="11"/>
        <v>119338.99139999998</v>
      </c>
      <c r="M10" s="28">
        <f t="shared" si="11"/>
        <v>119338.99139999998</v>
      </c>
      <c r="N10" s="28">
        <f t="shared" si="11"/>
        <v>119338.99139999998</v>
      </c>
      <c r="O10" s="28">
        <f t="shared" si="11"/>
        <v>122927.35834199999</v>
      </c>
      <c r="P10" s="28">
        <f t="shared" si="11"/>
        <v>122927.35834199999</v>
      </c>
      <c r="Q10" s="28">
        <f t="shared" si="11"/>
        <v>122927.35834199999</v>
      </c>
      <c r="R10" s="28">
        <f t="shared" si="11"/>
        <v>126623.37629226</v>
      </c>
      <c r="S10" s="28">
        <f t="shared" si="11"/>
        <v>126623.37629226</v>
      </c>
      <c r="T10" s="28">
        <f t="shared" si="11"/>
        <v>126623.37629226</v>
      </c>
      <c r="U10" s="28">
        <f t="shared" si="11"/>
        <v>126623.37629226</v>
      </c>
      <c r="V10" s="28">
        <f t="shared" si="11"/>
        <v>126623.37629226</v>
      </c>
      <c r="W10" s="28">
        <f t="shared" si="11"/>
        <v>130430.27478102782</v>
      </c>
      <c r="X10" s="28">
        <f t="shared" si="11"/>
        <v>130430.27478102782</v>
      </c>
      <c r="Y10" s="28">
        <f t="shared" si="11"/>
        <v>130430.27478102782</v>
      </c>
      <c r="Z10" s="28">
        <f t="shared" si="11"/>
        <v>130430.27478102782</v>
      </c>
      <c r="AA10" s="28">
        <f t="shared" si="11"/>
        <v>134351.38022445864</v>
      </c>
      <c r="AB10" s="28">
        <f t="shared" si="11"/>
        <v>134351.38022445864</v>
      </c>
      <c r="AC10" s="28">
        <f t="shared" si="11"/>
        <v>134351.38022445864</v>
      </c>
      <c r="AD10" s="28">
        <f t="shared" si="11"/>
        <v>134351.38022445864</v>
      </c>
      <c r="AE10" s="28">
        <f t="shared" si="11"/>
        <v>134351.38022445864</v>
      </c>
      <c r="AF10" s="28">
        <f t="shared" si="11"/>
        <v>134351.38022445864</v>
      </c>
      <c r="AG10" s="28">
        <f t="shared" si="11"/>
        <v>134351.38022445864</v>
      </c>
      <c r="AH10" s="28">
        <f t="shared" si="11"/>
        <v>134351.38022445864</v>
      </c>
      <c r="AI10" s="28">
        <f t="shared" si="11"/>
        <v>134351.38022445864</v>
      </c>
      <c r="AJ10" s="28">
        <f t="shared" si="11"/>
        <v>134351.38022445864</v>
      </c>
      <c r="AK10" s="28">
        <f t="shared" si="11"/>
        <v>134351.38022445864</v>
      </c>
      <c r="AL10" s="28">
        <f t="shared" si="11"/>
        <v>134351.38022445864</v>
      </c>
      <c r="AM10" s="28">
        <f t="shared" si="11"/>
        <v>134351.38022445864</v>
      </c>
      <c r="AN10" s="28">
        <f t="shared" si="11"/>
        <v>138390.11883119241</v>
      </c>
      <c r="AO10" s="28">
        <f t="shared" si="11"/>
        <v>138390.11883119241</v>
      </c>
      <c r="AP10" s="28">
        <f t="shared" si="11"/>
        <v>138390.11883119241</v>
      </c>
      <c r="AQ10" s="28">
        <f t="shared" si="11"/>
        <v>138390.11883119241</v>
      </c>
      <c r="AR10" s="28">
        <f t="shared" si="11"/>
        <v>138390.11883119241</v>
      </c>
      <c r="AS10" s="28">
        <f t="shared" si="11"/>
        <v>138390.11883119241</v>
      </c>
      <c r="AT10" s="28">
        <f t="shared" si="11"/>
        <v>138390.11883119241</v>
      </c>
      <c r="AU10" s="28">
        <f t="shared" si="11"/>
        <v>138390.11883119241</v>
      </c>
      <c r="AV10" s="28">
        <f t="shared" si="11"/>
        <v>138390.11883119241</v>
      </c>
      <c r="AW10" s="28">
        <f t="shared" si="11"/>
        <v>138390.11883119241</v>
      </c>
      <c r="AX10" s="28">
        <f t="shared" ref="AX10:BB10" si="12">AX7*$B$9</f>
        <v>138390.11883119241</v>
      </c>
      <c r="AY10" s="28">
        <f t="shared" si="12"/>
        <v>138390.11883119241</v>
      </c>
      <c r="AZ10" s="28">
        <f t="shared" si="12"/>
        <v>138390.11883119241</v>
      </c>
      <c r="BA10" s="28">
        <f t="shared" si="12"/>
        <v>138390.11883119241</v>
      </c>
      <c r="BB10" s="28">
        <f t="shared" si="12"/>
        <v>138390.11883119241</v>
      </c>
      <c r="BI10" s="2">
        <v>24790.306894286663</v>
      </c>
    </row>
    <row r="11" spans="1:61" x14ac:dyDescent="0.35">
      <c r="A11" s="2" t="str">
        <v>Capital Gains &gt; 67,500DKK</v>
      </c>
      <c r="B11" s="25">
        <v>0.42</v>
      </c>
      <c r="D11" s="2" t="s">
        <v>190</v>
      </c>
      <c r="E11" s="28">
        <f>MAX(E9-$B$8,0)*$B$7</f>
        <v>0</v>
      </c>
      <c r="F11" s="28">
        <f t="shared" ref="F11:AW11" si="13">MAX(F9-$B$8,0)*$B$7</f>
        <v>0</v>
      </c>
      <c r="G11" s="28">
        <f t="shared" si="13"/>
        <v>0</v>
      </c>
      <c r="H11" s="28">
        <f t="shared" si="13"/>
        <v>0</v>
      </c>
      <c r="I11" s="28">
        <f t="shared" si="13"/>
        <v>0</v>
      </c>
      <c r="J11" s="28">
        <f t="shared" si="13"/>
        <v>0</v>
      </c>
      <c r="K11" s="28">
        <f t="shared" si="13"/>
        <v>0</v>
      </c>
      <c r="L11" s="28">
        <f t="shared" si="13"/>
        <v>0</v>
      </c>
      <c r="M11" s="28">
        <f t="shared" si="13"/>
        <v>0</v>
      </c>
      <c r="N11" s="28">
        <f t="shared" si="13"/>
        <v>0</v>
      </c>
      <c r="O11" s="28">
        <f t="shared" si="13"/>
        <v>0</v>
      </c>
      <c r="P11" s="28">
        <f t="shared" si="13"/>
        <v>0</v>
      </c>
      <c r="Q11" s="28">
        <f t="shared" si="13"/>
        <v>0</v>
      </c>
      <c r="R11" s="28">
        <f t="shared" si="13"/>
        <v>0</v>
      </c>
      <c r="S11" s="28">
        <f t="shared" si="13"/>
        <v>0</v>
      </c>
      <c r="T11" s="28">
        <f t="shared" si="13"/>
        <v>0</v>
      </c>
      <c r="U11" s="28">
        <f t="shared" si="13"/>
        <v>0</v>
      </c>
      <c r="V11" s="28">
        <f t="shared" si="13"/>
        <v>0</v>
      </c>
      <c r="W11" s="28">
        <f t="shared" si="13"/>
        <v>0</v>
      </c>
      <c r="X11" s="28">
        <f t="shared" si="13"/>
        <v>0</v>
      </c>
      <c r="Y11" s="28">
        <f t="shared" si="13"/>
        <v>0</v>
      </c>
      <c r="Z11" s="28">
        <f t="shared" si="13"/>
        <v>0</v>
      </c>
      <c r="AA11" s="28">
        <f t="shared" si="13"/>
        <v>0</v>
      </c>
      <c r="AB11" s="28">
        <f t="shared" si="13"/>
        <v>0</v>
      </c>
      <c r="AC11" s="28">
        <f t="shared" si="13"/>
        <v>0</v>
      </c>
      <c r="AD11" s="28">
        <f t="shared" si="13"/>
        <v>0</v>
      </c>
      <c r="AE11" s="28">
        <f t="shared" si="13"/>
        <v>0</v>
      </c>
      <c r="AF11" s="28">
        <f t="shared" si="13"/>
        <v>0</v>
      </c>
      <c r="AG11" s="28">
        <f t="shared" si="13"/>
        <v>0</v>
      </c>
      <c r="AH11" s="28">
        <f t="shared" si="13"/>
        <v>0</v>
      </c>
      <c r="AI11" s="28">
        <f t="shared" si="13"/>
        <v>0</v>
      </c>
      <c r="AJ11" s="28">
        <f t="shared" si="13"/>
        <v>0</v>
      </c>
      <c r="AK11" s="28">
        <f t="shared" si="13"/>
        <v>0</v>
      </c>
      <c r="AL11" s="28">
        <f t="shared" si="13"/>
        <v>0</v>
      </c>
      <c r="AM11" s="28">
        <f t="shared" si="13"/>
        <v>0</v>
      </c>
      <c r="AN11" s="28">
        <f t="shared" si="13"/>
        <v>0</v>
      </c>
      <c r="AO11" s="28">
        <f t="shared" si="13"/>
        <v>0</v>
      </c>
      <c r="AP11" s="28">
        <f t="shared" si="13"/>
        <v>0</v>
      </c>
      <c r="AQ11" s="28">
        <f t="shared" si="13"/>
        <v>0</v>
      </c>
      <c r="AR11" s="28">
        <f t="shared" si="13"/>
        <v>0</v>
      </c>
      <c r="AS11" s="28">
        <f t="shared" si="13"/>
        <v>0</v>
      </c>
      <c r="AT11" s="28">
        <f t="shared" si="13"/>
        <v>0</v>
      </c>
      <c r="AU11" s="28">
        <f t="shared" si="13"/>
        <v>0</v>
      </c>
      <c r="AV11" s="28">
        <f t="shared" si="13"/>
        <v>0</v>
      </c>
      <c r="AW11" s="28">
        <f t="shared" si="13"/>
        <v>0</v>
      </c>
      <c r="AX11" s="28">
        <f t="shared" ref="AX11:BB11" si="14">MAX(AX9-$B$8,0)*$B$7</f>
        <v>0</v>
      </c>
      <c r="AY11" s="28">
        <f t="shared" si="14"/>
        <v>0</v>
      </c>
      <c r="AZ11" s="28">
        <f t="shared" si="14"/>
        <v>0</v>
      </c>
      <c r="BA11" s="28">
        <f t="shared" si="14"/>
        <v>0</v>
      </c>
      <c r="BB11" s="28">
        <f t="shared" si="14"/>
        <v>0</v>
      </c>
      <c r="BI11" s="2">
        <v>24790.306894286663</v>
      </c>
    </row>
    <row r="12" spans="1:61" x14ac:dyDescent="0.35">
      <c r="A12" s="2" t="str">
        <v>Capital Gains Threshold</v>
      </c>
      <c r="B12" s="53">
        <v>67500</v>
      </c>
      <c r="D12" s="2" t="s">
        <v>191</v>
      </c>
      <c r="E12" s="28">
        <f>E9*$B$6</f>
        <v>47834.753904000005</v>
      </c>
      <c r="F12" s="28">
        <f t="shared" ref="F12:AW12" si="15">F9*$B$6</f>
        <v>47834.753904000005</v>
      </c>
      <c r="G12" s="28">
        <f t="shared" si="15"/>
        <v>49459.649255999997</v>
      </c>
      <c r="H12" s="28">
        <f t="shared" si="15"/>
        <v>49459.649255999997</v>
      </c>
      <c r="I12" s="28">
        <f t="shared" si="15"/>
        <v>49459.649255999997</v>
      </c>
      <c r="J12" s="28">
        <f t="shared" si="15"/>
        <v>49459.649255999997</v>
      </c>
      <c r="K12" s="28">
        <f t="shared" si="15"/>
        <v>51133.29146855999</v>
      </c>
      <c r="L12" s="28">
        <f t="shared" si="15"/>
        <v>51133.29146855999</v>
      </c>
      <c r="M12" s="28">
        <f t="shared" si="15"/>
        <v>51133.29146855999</v>
      </c>
      <c r="N12" s="28">
        <f t="shared" si="15"/>
        <v>51133.29146855999</v>
      </c>
      <c r="O12" s="28">
        <f t="shared" si="15"/>
        <v>52857.142947496795</v>
      </c>
      <c r="P12" s="28">
        <f t="shared" si="15"/>
        <v>52857.142947496795</v>
      </c>
      <c r="Q12" s="28">
        <f t="shared" si="15"/>
        <v>52857.142947496795</v>
      </c>
      <c r="R12" s="28">
        <f t="shared" si="15"/>
        <v>54632.709970801705</v>
      </c>
      <c r="S12" s="28">
        <f t="shared" si="15"/>
        <v>54632.709970801705</v>
      </c>
      <c r="T12" s="28">
        <f t="shared" si="15"/>
        <v>54632.709970801705</v>
      </c>
      <c r="U12" s="28">
        <f t="shared" si="15"/>
        <v>54632.709970801705</v>
      </c>
      <c r="V12" s="28">
        <f t="shared" si="15"/>
        <v>54632.709970801705</v>
      </c>
      <c r="W12" s="28">
        <f t="shared" si="15"/>
        <v>56461.544004805764</v>
      </c>
      <c r="X12" s="28">
        <f t="shared" si="15"/>
        <v>56461.544004805764</v>
      </c>
      <c r="Y12" s="28">
        <f t="shared" si="15"/>
        <v>56461.544004805764</v>
      </c>
      <c r="Z12" s="28">
        <f t="shared" si="15"/>
        <v>56461.544004805764</v>
      </c>
      <c r="AA12" s="28">
        <f t="shared" si="15"/>
        <v>58345.243059829932</v>
      </c>
      <c r="AB12" s="28">
        <f t="shared" si="15"/>
        <v>58345.243059829932</v>
      </c>
      <c r="AC12" s="28">
        <f t="shared" si="15"/>
        <v>58345.243059829932</v>
      </c>
      <c r="AD12" s="28">
        <f t="shared" si="15"/>
        <v>58345.243059829932</v>
      </c>
      <c r="AE12" s="28">
        <f t="shared" si="15"/>
        <v>58345.243059829932</v>
      </c>
      <c r="AF12" s="28">
        <f t="shared" si="15"/>
        <v>58345.243059829932</v>
      </c>
      <c r="AG12" s="28">
        <f t="shared" si="15"/>
        <v>58345.243059829932</v>
      </c>
      <c r="AH12" s="28">
        <f t="shared" si="15"/>
        <v>58345.243059829932</v>
      </c>
      <c r="AI12" s="28">
        <f t="shared" si="15"/>
        <v>58345.243059829932</v>
      </c>
      <c r="AJ12" s="28">
        <f t="shared" si="15"/>
        <v>58345.243059829932</v>
      </c>
      <c r="AK12" s="28">
        <f t="shared" si="15"/>
        <v>58345.243059829932</v>
      </c>
      <c r="AL12" s="28">
        <f t="shared" si="15"/>
        <v>58345.243059829932</v>
      </c>
      <c r="AM12" s="28">
        <f t="shared" si="15"/>
        <v>58345.243059829932</v>
      </c>
      <c r="AN12" s="28">
        <f t="shared" si="15"/>
        <v>60285.453086504829</v>
      </c>
      <c r="AO12" s="28">
        <f t="shared" si="15"/>
        <v>60285.453086504829</v>
      </c>
      <c r="AP12" s="28">
        <f t="shared" si="15"/>
        <v>60285.453086504829</v>
      </c>
      <c r="AQ12" s="28">
        <f t="shared" si="15"/>
        <v>60285.453086504829</v>
      </c>
      <c r="AR12" s="28">
        <f t="shared" si="15"/>
        <v>60285.453086504829</v>
      </c>
      <c r="AS12" s="28">
        <f t="shared" si="15"/>
        <v>60285.453086504829</v>
      </c>
      <c r="AT12" s="28">
        <f t="shared" si="15"/>
        <v>60285.453086504829</v>
      </c>
      <c r="AU12" s="28">
        <f t="shared" si="15"/>
        <v>60285.453086504829</v>
      </c>
      <c r="AV12" s="28">
        <f t="shared" si="15"/>
        <v>60285.453086504829</v>
      </c>
      <c r="AW12" s="28">
        <f t="shared" si="15"/>
        <v>60285.453086504829</v>
      </c>
      <c r="AX12" s="28">
        <f t="shared" ref="AX12:BB12" si="16">AX9*$B$6</f>
        <v>60285.453086504829</v>
      </c>
      <c r="AY12" s="28">
        <f t="shared" si="16"/>
        <v>60285.453086504829</v>
      </c>
      <c r="AZ12" s="28">
        <f t="shared" si="16"/>
        <v>60285.453086504829</v>
      </c>
      <c r="BA12" s="28">
        <f t="shared" si="16"/>
        <v>60285.453086504829</v>
      </c>
      <c r="BB12" s="28">
        <f t="shared" si="16"/>
        <v>60285.453086504829</v>
      </c>
      <c r="BI12" s="2">
        <v>25543.744339875266</v>
      </c>
    </row>
    <row r="13" spans="1:61" x14ac:dyDescent="0.35">
      <c r="A13" s="2" t="s">
        <v>254</v>
      </c>
      <c r="B13" s="58">
        <v>99</v>
      </c>
      <c r="D13" s="2" t="s">
        <v>192</v>
      </c>
      <c r="E13" s="28">
        <f>SUM(E10:E12)</f>
        <v>160307.51390400002</v>
      </c>
      <c r="F13" s="28">
        <f t="shared" ref="F13:AW13" si="17">SUM(F10:F12)</f>
        <v>160307.51390400002</v>
      </c>
      <c r="G13" s="28">
        <f t="shared" si="17"/>
        <v>165314.78925599999</v>
      </c>
      <c r="H13" s="28">
        <f t="shared" si="17"/>
        <v>165314.78925599999</v>
      </c>
      <c r="I13" s="28">
        <f t="shared" si="17"/>
        <v>165314.78925599999</v>
      </c>
      <c r="J13" s="28">
        <f t="shared" si="17"/>
        <v>165314.78925599999</v>
      </c>
      <c r="K13" s="28">
        <f t="shared" si="17"/>
        <v>170472.28286855997</v>
      </c>
      <c r="L13" s="28">
        <f t="shared" si="17"/>
        <v>170472.28286855997</v>
      </c>
      <c r="M13" s="28">
        <f t="shared" si="17"/>
        <v>170472.28286855997</v>
      </c>
      <c r="N13" s="28">
        <f t="shared" si="17"/>
        <v>170472.28286855997</v>
      </c>
      <c r="O13" s="28">
        <f t="shared" si="17"/>
        <v>175784.50128949678</v>
      </c>
      <c r="P13" s="28">
        <f t="shared" si="17"/>
        <v>175784.50128949678</v>
      </c>
      <c r="Q13" s="28">
        <f t="shared" si="17"/>
        <v>175784.50128949678</v>
      </c>
      <c r="R13" s="28">
        <f t="shared" si="17"/>
        <v>181256.0862630617</v>
      </c>
      <c r="S13" s="28">
        <f t="shared" si="17"/>
        <v>181256.0862630617</v>
      </c>
      <c r="T13" s="28">
        <f t="shared" si="17"/>
        <v>181256.0862630617</v>
      </c>
      <c r="U13" s="28">
        <f t="shared" si="17"/>
        <v>181256.0862630617</v>
      </c>
      <c r="V13" s="28">
        <f t="shared" si="17"/>
        <v>181256.0862630617</v>
      </c>
      <c r="W13" s="28">
        <f t="shared" si="17"/>
        <v>186891.8187858336</v>
      </c>
      <c r="X13" s="28">
        <f t="shared" si="17"/>
        <v>186891.8187858336</v>
      </c>
      <c r="Y13" s="28">
        <f t="shared" si="17"/>
        <v>186891.8187858336</v>
      </c>
      <c r="Z13" s="28">
        <f t="shared" si="17"/>
        <v>186891.8187858336</v>
      </c>
      <c r="AA13" s="28">
        <f t="shared" si="17"/>
        <v>192696.62328428857</v>
      </c>
      <c r="AB13" s="28">
        <f t="shared" si="17"/>
        <v>192696.62328428857</v>
      </c>
      <c r="AC13" s="28">
        <f t="shared" si="17"/>
        <v>192696.62328428857</v>
      </c>
      <c r="AD13" s="28">
        <f t="shared" si="17"/>
        <v>192696.62328428857</v>
      </c>
      <c r="AE13" s="28">
        <f t="shared" si="17"/>
        <v>192696.62328428857</v>
      </c>
      <c r="AF13" s="28">
        <f t="shared" si="17"/>
        <v>192696.62328428857</v>
      </c>
      <c r="AG13" s="28">
        <f t="shared" si="17"/>
        <v>192696.62328428857</v>
      </c>
      <c r="AH13" s="28">
        <f t="shared" si="17"/>
        <v>192696.62328428857</v>
      </c>
      <c r="AI13" s="28">
        <f t="shared" si="17"/>
        <v>192696.62328428857</v>
      </c>
      <c r="AJ13" s="28">
        <f t="shared" si="17"/>
        <v>192696.62328428857</v>
      </c>
      <c r="AK13" s="28">
        <f t="shared" si="17"/>
        <v>192696.62328428857</v>
      </c>
      <c r="AL13" s="28">
        <f t="shared" si="17"/>
        <v>192696.62328428857</v>
      </c>
      <c r="AM13" s="28">
        <f t="shared" si="17"/>
        <v>192696.62328428857</v>
      </c>
      <c r="AN13" s="28">
        <f t="shared" si="17"/>
        <v>198675.57191769723</v>
      </c>
      <c r="AO13" s="28">
        <f t="shared" si="17"/>
        <v>198675.57191769723</v>
      </c>
      <c r="AP13" s="28">
        <f t="shared" si="17"/>
        <v>198675.57191769723</v>
      </c>
      <c r="AQ13" s="28">
        <f t="shared" si="17"/>
        <v>198675.57191769723</v>
      </c>
      <c r="AR13" s="28">
        <f t="shared" si="17"/>
        <v>198675.57191769723</v>
      </c>
      <c r="AS13" s="28">
        <f t="shared" si="17"/>
        <v>198675.57191769723</v>
      </c>
      <c r="AT13" s="28">
        <f t="shared" si="17"/>
        <v>198675.57191769723</v>
      </c>
      <c r="AU13" s="28">
        <f t="shared" si="17"/>
        <v>198675.57191769723</v>
      </c>
      <c r="AV13" s="28">
        <f t="shared" si="17"/>
        <v>198675.57191769723</v>
      </c>
      <c r="AW13" s="28">
        <f t="shared" si="17"/>
        <v>198675.57191769723</v>
      </c>
      <c r="AX13" s="28">
        <f t="shared" ref="AX13:BB13" si="18">SUM(AX10:AX12)</f>
        <v>198675.57191769723</v>
      </c>
      <c r="AY13" s="28">
        <f t="shared" si="18"/>
        <v>198675.57191769723</v>
      </c>
      <c r="AZ13" s="28">
        <f t="shared" si="18"/>
        <v>198675.57191769723</v>
      </c>
      <c r="BA13" s="28">
        <f t="shared" si="18"/>
        <v>198675.57191769723</v>
      </c>
      <c r="BB13" s="28">
        <f t="shared" si="18"/>
        <v>198675.57191769723</v>
      </c>
      <c r="BI13" s="2">
        <v>25543.744339875266</v>
      </c>
    </row>
    <row r="14" spans="1:61" x14ac:dyDescent="0.35">
      <c r="A14" s="2" t="s">
        <v>255</v>
      </c>
      <c r="B14" s="28">
        <f>B13*12</f>
        <v>1188</v>
      </c>
      <c r="D14" s="2" t="s">
        <v>193</v>
      </c>
      <c r="E14" s="28">
        <f>E7-E13</f>
        <v>289583.52609599999</v>
      </c>
      <c r="F14" s="28">
        <f t="shared" ref="F14:AW14" si="19">F7-F13</f>
        <v>289583.52609599999</v>
      </c>
      <c r="G14" s="28">
        <f t="shared" si="19"/>
        <v>298105.77074399998</v>
      </c>
      <c r="H14" s="28">
        <f t="shared" si="19"/>
        <v>298105.77074399998</v>
      </c>
      <c r="I14" s="28">
        <f t="shared" si="19"/>
        <v>298105.77074399998</v>
      </c>
      <c r="J14" s="28">
        <f t="shared" si="19"/>
        <v>298105.77074399998</v>
      </c>
      <c r="K14" s="28">
        <f t="shared" si="19"/>
        <v>306883.68273143994</v>
      </c>
      <c r="L14" s="28">
        <f t="shared" si="19"/>
        <v>306883.68273143994</v>
      </c>
      <c r="M14" s="28">
        <f t="shared" si="19"/>
        <v>306883.68273143994</v>
      </c>
      <c r="N14" s="28">
        <f t="shared" si="19"/>
        <v>306883.68273143994</v>
      </c>
      <c r="O14" s="28">
        <f t="shared" si="19"/>
        <v>315924.93207850319</v>
      </c>
      <c r="P14" s="28">
        <f t="shared" si="19"/>
        <v>315924.93207850319</v>
      </c>
      <c r="Q14" s="28">
        <f t="shared" si="19"/>
        <v>315924.93207850319</v>
      </c>
      <c r="R14" s="28">
        <f t="shared" si="19"/>
        <v>325237.41890597832</v>
      </c>
      <c r="S14" s="28">
        <f t="shared" si="19"/>
        <v>325237.41890597832</v>
      </c>
      <c r="T14" s="28">
        <f t="shared" si="19"/>
        <v>325237.41890597832</v>
      </c>
      <c r="U14" s="28">
        <f t="shared" si="19"/>
        <v>325237.41890597832</v>
      </c>
      <c r="V14" s="28">
        <f t="shared" si="19"/>
        <v>325237.41890597832</v>
      </c>
      <c r="W14" s="28">
        <f t="shared" si="19"/>
        <v>334829.28033827769</v>
      </c>
      <c r="X14" s="28">
        <f t="shared" si="19"/>
        <v>334829.28033827769</v>
      </c>
      <c r="Y14" s="28">
        <f t="shared" si="19"/>
        <v>334829.28033827769</v>
      </c>
      <c r="Z14" s="28">
        <f t="shared" si="19"/>
        <v>334829.28033827769</v>
      </c>
      <c r="AA14" s="28">
        <f t="shared" si="19"/>
        <v>344708.897613546</v>
      </c>
      <c r="AB14" s="28">
        <f t="shared" si="19"/>
        <v>344708.897613546</v>
      </c>
      <c r="AC14" s="28">
        <f t="shared" si="19"/>
        <v>344708.897613546</v>
      </c>
      <c r="AD14" s="28">
        <f t="shared" si="19"/>
        <v>344708.897613546</v>
      </c>
      <c r="AE14" s="28">
        <f t="shared" si="19"/>
        <v>344708.897613546</v>
      </c>
      <c r="AF14" s="28">
        <f t="shared" si="19"/>
        <v>344708.897613546</v>
      </c>
      <c r="AG14" s="28">
        <f t="shared" si="19"/>
        <v>344708.897613546</v>
      </c>
      <c r="AH14" s="28">
        <f t="shared" si="19"/>
        <v>344708.897613546</v>
      </c>
      <c r="AI14" s="28">
        <f t="shared" si="19"/>
        <v>344708.897613546</v>
      </c>
      <c r="AJ14" s="28">
        <f t="shared" si="19"/>
        <v>344708.897613546</v>
      </c>
      <c r="AK14" s="28">
        <f t="shared" si="19"/>
        <v>344708.897613546</v>
      </c>
      <c r="AL14" s="28">
        <f t="shared" si="19"/>
        <v>344708.897613546</v>
      </c>
      <c r="AM14" s="28">
        <f t="shared" si="19"/>
        <v>344708.897613546</v>
      </c>
      <c r="AN14" s="28">
        <f t="shared" si="19"/>
        <v>354884.90340707242</v>
      </c>
      <c r="AO14" s="28">
        <f t="shared" si="19"/>
        <v>354884.90340707242</v>
      </c>
      <c r="AP14" s="28">
        <f t="shared" si="19"/>
        <v>354884.90340707242</v>
      </c>
      <c r="AQ14" s="28">
        <f t="shared" si="19"/>
        <v>354884.90340707242</v>
      </c>
      <c r="AR14" s="28">
        <f t="shared" si="19"/>
        <v>354884.90340707242</v>
      </c>
      <c r="AS14" s="28">
        <f t="shared" si="19"/>
        <v>354884.90340707242</v>
      </c>
      <c r="AT14" s="28">
        <f t="shared" si="19"/>
        <v>354884.90340707242</v>
      </c>
      <c r="AU14" s="28">
        <f t="shared" si="19"/>
        <v>354884.90340707242</v>
      </c>
      <c r="AV14" s="28">
        <f t="shared" si="19"/>
        <v>354884.90340707242</v>
      </c>
      <c r="AW14" s="28">
        <f t="shared" si="19"/>
        <v>354884.90340707242</v>
      </c>
      <c r="AX14" s="28">
        <f t="shared" ref="AX14:BB14" si="20">AX7-AX13</f>
        <v>354884.90340707242</v>
      </c>
      <c r="AY14" s="28">
        <f t="shared" si="20"/>
        <v>354884.90340707242</v>
      </c>
      <c r="AZ14" s="28">
        <f t="shared" si="20"/>
        <v>354884.90340707242</v>
      </c>
      <c r="BA14" s="28">
        <f t="shared" si="20"/>
        <v>354884.90340707242</v>
      </c>
      <c r="BB14" s="28">
        <f t="shared" si="20"/>
        <v>354884.90340707242</v>
      </c>
      <c r="BI14" s="2">
        <v>25543.744339875266</v>
      </c>
    </row>
    <row r="15" spans="1:61" x14ac:dyDescent="0.35">
      <c r="D15" s="2" t="s">
        <v>266</v>
      </c>
      <c r="E15" s="28">
        <f>$B$2</f>
        <v>9400</v>
      </c>
      <c r="F15" s="28">
        <f t="shared" ref="F15:BB15" si="21">$B$2</f>
        <v>9400</v>
      </c>
      <c r="G15" s="28">
        <f t="shared" si="21"/>
        <v>9400</v>
      </c>
      <c r="H15" s="28">
        <f t="shared" si="21"/>
        <v>9400</v>
      </c>
      <c r="I15" s="28">
        <f t="shared" si="21"/>
        <v>9400</v>
      </c>
      <c r="J15" s="28">
        <f t="shared" si="21"/>
        <v>9400</v>
      </c>
      <c r="K15" s="28">
        <f t="shared" si="21"/>
        <v>9400</v>
      </c>
      <c r="L15" s="28">
        <f t="shared" si="21"/>
        <v>9400</v>
      </c>
      <c r="M15" s="28">
        <f t="shared" si="21"/>
        <v>9400</v>
      </c>
      <c r="N15" s="28">
        <f t="shared" si="21"/>
        <v>9400</v>
      </c>
      <c r="O15" s="28">
        <f t="shared" si="21"/>
        <v>9400</v>
      </c>
      <c r="P15" s="28">
        <f t="shared" si="21"/>
        <v>9400</v>
      </c>
      <c r="Q15" s="28">
        <f t="shared" si="21"/>
        <v>9400</v>
      </c>
      <c r="R15" s="28">
        <f t="shared" si="21"/>
        <v>9400</v>
      </c>
      <c r="S15" s="28">
        <f t="shared" si="21"/>
        <v>9400</v>
      </c>
      <c r="T15" s="28">
        <f t="shared" si="21"/>
        <v>9400</v>
      </c>
      <c r="U15" s="28">
        <f t="shared" si="21"/>
        <v>9400</v>
      </c>
      <c r="V15" s="28">
        <f t="shared" si="21"/>
        <v>9400</v>
      </c>
      <c r="W15" s="28">
        <f t="shared" si="21"/>
        <v>9400</v>
      </c>
      <c r="X15" s="28">
        <f t="shared" si="21"/>
        <v>9400</v>
      </c>
      <c r="Y15" s="28">
        <f t="shared" si="21"/>
        <v>9400</v>
      </c>
      <c r="Z15" s="28">
        <f t="shared" si="21"/>
        <v>9400</v>
      </c>
      <c r="AA15" s="28">
        <f t="shared" si="21"/>
        <v>9400</v>
      </c>
      <c r="AB15" s="28">
        <f t="shared" si="21"/>
        <v>9400</v>
      </c>
      <c r="AC15" s="28">
        <f t="shared" si="21"/>
        <v>9400</v>
      </c>
      <c r="AD15" s="28">
        <f t="shared" si="21"/>
        <v>9400</v>
      </c>
      <c r="AE15" s="28">
        <f t="shared" si="21"/>
        <v>9400</v>
      </c>
      <c r="AF15" s="28">
        <f t="shared" si="21"/>
        <v>9400</v>
      </c>
      <c r="AG15" s="28">
        <f t="shared" si="21"/>
        <v>9400</v>
      </c>
      <c r="AH15" s="28">
        <f t="shared" si="21"/>
        <v>9400</v>
      </c>
      <c r="AI15" s="28">
        <f t="shared" si="21"/>
        <v>9400</v>
      </c>
      <c r="AJ15" s="28">
        <f t="shared" si="21"/>
        <v>9400</v>
      </c>
      <c r="AK15" s="28">
        <f t="shared" si="21"/>
        <v>9400</v>
      </c>
      <c r="AL15" s="28">
        <f t="shared" si="21"/>
        <v>9400</v>
      </c>
      <c r="AM15" s="28">
        <f t="shared" si="21"/>
        <v>9400</v>
      </c>
      <c r="AN15" s="28">
        <f t="shared" si="21"/>
        <v>9400</v>
      </c>
      <c r="AO15" s="28">
        <f t="shared" si="21"/>
        <v>9400</v>
      </c>
      <c r="AP15" s="28">
        <f t="shared" si="21"/>
        <v>9400</v>
      </c>
      <c r="AQ15" s="28">
        <f t="shared" si="21"/>
        <v>9400</v>
      </c>
      <c r="AR15" s="28">
        <f t="shared" si="21"/>
        <v>9400</v>
      </c>
      <c r="AS15" s="28">
        <f t="shared" si="21"/>
        <v>9400</v>
      </c>
      <c r="AT15" s="28">
        <f t="shared" si="21"/>
        <v>9400</v>
      </c>
      <c r="AU15" s="28">
        <f t="shared" si="21"/>
        <v>9400</v>
      </c>
      <c r="AV15" s="28">
        <f t="shared" si="21"/>
        <v>9400</v>
      </c>
      <c r="AW15" s="28">
        <f t="shared" si="21"/>
        <v>9400</v>
      </c>
      <c r="AX15" s="28">
        <f t="shared" si="21"/>
        <v>9400</v>
      </c>
      <c r="AY15" s="28">
        <f t="shared" si="21"/>
        <v>9400</v>
      </c>
      <c r="AZ15" s="28">
        <f t="shared" si="21"/>
        <v>9400</v>
      </c>
      <c r="BA15" s="28">
        <f t="shared" si="21"/>
        <v>9400</v>
      </c>
      <c r="BB15" s="28">
        <f t="shared" si="21"/>
        <v>9400</v>
      </c>
      <c r="BI15" s="2">
        <v>26319.784908831527</v>
      </c>
    </row>
    <row r="16" spans="1:61" x14ac:dyDescent="0.35">
      <c r="D16" s="2" t="s">
        <v>267</v>
      </c>
      <c r="E16" s="28">
        <f>E14-E15</f>
        <v>280183.52609599999</v>
      </c>
      <c r="F16" s="28">
        <f t="shared" ref="F16:AW16" si="22">F14-F15</f>
        <v>280183.52609599999</v>
      </c>
      <c r="G16" s="28">
        <f t="shared" si="22"/>
        <v>288705.77074399998</v>
      </c>
      <c r="H16" s="28">
        <f t="shared" si="22"/>
        <v>288705.77074399998</v>
      </c>
      <c r="I16" s="28">
        <f t="shared" si="22"/>
        <v>288705.77074399998</v>
      </c>
      <c r="J16" s="28">
        <f t="shared" si="22"/>
        <v>288705.77074399998</v>
      </c>
      <c r="K16" s="28">
        <f t="shared" si="22"/>
        <v>297483.68273143994</v>
      </c>
      <c r="L16" s="28">
        <f t="shared" si="22"/>
        <v>297483.68273143994</v>
      </c>
      <c r="M16" s="28">
        <f t="shared" si="22"/>
        <v>297483.68273143994</v>
      </c>
      <c r="N16" s="28">
        <f t="shared" si="22"/>
        <v>297483.68273143994</v>
      </c>
      <c r="O16" s="28">
        <f t="shared" si="22"/>
        <v>306524.93207850319</v>
      </c>
      <c r="P16" s="28">
        <f t="shared" si="22"/>
        <v>306524.93207850319</v>
      </c>
      <c r="Q16" s="28">
        <f t="shared" si="22"/>
        <v>306524.93207850319</v>
      </c>
      <c r="R16" s="28">
        <f t="shared" si="22"/>
        <v>315837.41890597832</v>
      </c>
      <c r="S16" s="28">
        <f t="shared" si="22"/>
        <v>315837.41890597832</v>
      </c>
      <c r="T16" s="28">
        <f t="shared" si="22"/>
        <v>315837.41890597832</v>
      </c>
      <c r="U16" s="28">
        <f t="shared" si="22"/>
        <v>315837.41890597832</v>
      </c>
      <c r="V16" s="28">
        <f t="shared" si="22"/>
        <v>315837.41890597832</v>
      </c>
      <c r="W16" s="28">
        <f t="shared" si="22"/>
        <v>325429.28033827769</v>
      </c>
      <c r="X16" s="28">
        <f t="shared" si="22"/>
        <v>325429.28033827769</v>
      </c>
      <c r="Y16" s="28">
        <f t="shared" si="22"/>
        <v>325429.28033827769</v>
      </c>
      <c r="Z16" s="28">
        <f t="shared" si="22"/>
        <v>325429.28033827769</v>
      </c>
      <c r="AA16" s="28">
        <f t="shared" si="22"/>
        <v>335308.897613546</v>
      </c>
      <c r="AB16" s="28">
        <f t="shared" si="22"/>
        <v>335308.897613546</v>
      </c>
      <c r="AC16" s="28">
        <f t="shared" si="22"/>
        <v>335308.897613546</v>
      </c>
      <c r="AD16" s="28">
        <f t="shared" si="22"/>
        <v>335308.897613546</v>
      </c>
      <c r="AE16" s="28">
        <f t="shared" si="22"/>
        <v>335308.897613546</v>
      </c>
      <c r="AF16" s="28">
        <f t="shared" si="22"/>
        <v>335308.897613546</v>
      </c>
      <c r="AG16" s="28">
        <f t="shared" si="22"/>
        <v>335308.897613546</v>
      </c>
      <c r="AH16" s="28">
        <f t="shared" si="22"/>
        <v>335308.897613546</v>
      </c>
      <c r="AI16" s="28">
        <f t="shared" si="22"/>
        <v>335308.897613546</v>
      </c>
      <c r="AJ16" s="28">
        <f t="shared" si="22"/>
        <v>335308.897613546</v>
      </c>
      <c r="AK16" s="28">
        <f t="shared" si="22"/>
        <v>335308.897613546</v>
      </c>
      <c r="AL16" s="28">
        <f t="shared" si="22"/>
        <v>335308.897613546</v>
      </c>
      <c r="AM16" s="28">
        <f t="shared" si="22"/>
        <v>335308.897613546</v>
      </c>
      <c r="AN16" s="28">
        <f t="shared" si="22"/>
        <v>345484.90340707242</v>
      </c>
      <c r="AO16" s="28">
        <f t="shared" si="22"/>
        <v>345484.90340707242</v>
      </c>
      <c r="AP16" s="28">
        <f t="shared" si="22"/>
        <v>345484.90340707242</v>
      </c>
      <c r="AQ16" s="28">
        <f t="shared" si="22"/>
        <v>345484.90340707242</v>
      </c>
      <c r="AR16" s="28">
        <f t="shared" si="22"/>
        <v>345484.90340707242</v>
      </c>
      <c r="AS16" s="28">
        <f t="shared" si="22"/>
        <v>345484.90340707242</v>
      </c>
      <c r="AT16" s="28">
        <f t="shared" si="22"/>
        <v>345484.90340707242</v>
      </c>
      <c r="AU16" s="28">
        <f t="shared" si="22"/>
        <v>345484.90340707242</v>
      </c>
      <c r="AV16" s="28">
        <f t="shared" si="22"/>
        <v>345484.90340707242</v>
      </c>
      <c r="AW16" s="28">
        <f t="shared" si="22"/>
        <v>345484.90340707242</v>
      </c>
      <c r="AX16" s="28">
        <f t="shared" ref="AX16:BB16" si="23">AX14-AX15</f>
        <v>345484.90340707242</v>
      </c>
      <c r="AY16" s="28">
        <f t="shared" si="23"/>
        <v>345484.90340707242</v>
      </c>
      <c r="AZ16" s="28">
        <f t="shared" si="23"/>
        <v>345484.90340707242</v>
      </c>
      <c r="BA16" s="28">
        <f t="shared" si="23"/>
        <v>345484.90340707242</v>
      </c>
      <c r="BB16" s="28">
        <f t="shared" si="23"/>
        <v>345484.90340707242</v>
      </c>
      <c r="BI16" s="2">
        <v>26319.784908831527</v>
      </c>
    </row>
    <row r="17" spans="4:61" x14ac:dyDescent="0.35">
      <c r="D17" s="2" t="s">
        <v>196</v>
      </c>
      <c r="E17" s="28">
        <f>E16/12</f>
        <v>23348.627174666664</v>
      </c>
      <c r="F17" s="28">
        <f t="shared" ref="F17:AW17" si="24">F16/12</f>
        <v>23348.627174666664</v>
      </c>
      <c r="G17" s="28">
        <f t="shared" si="24"/>
        <v>24058.814228666666</v>
      </c>
      <c r="H17" s="28">
        <f t="shared" si="24"/>
        <v>24058.814228666666</v>
      </c>
      <c r="I17" s="28">
        <f t="shared" si="24"/>
        <v>24058.814228666666</v>
      </c>
      <c r="J17" s="28">
        <f t="shared" si="24"/>
        <v>24058.814228666666</v>
      </c>
      <c r="K17" s="28">
        <f t="shared" si="24"/>
        <v>24790.306894286663</v>
      </c>
      <c r="L17" s="28">
        <f t="shared" si="24"/>
        <v>24790.306894286663</v>
      </c>
      <c r="M17" s="28">
        <f t="shared" si="24"/>
        <v>24790.306894286663</v>
      </c>
      <c r="N17" s="28">
        <f t="shared" si="24"/>
        <v>24790.306894286663</v>
      </c>
      <c r="O17" s="28">
        <f t="shared" si="24"/>
        <v>25543.744339875266</v>
      </c>
      <c r="P17" s="28">
        <f t="shared" si="24"/>
        <v>25543.744339875266</v>
      </c>
      <c r="Q17" s="28">
        <f t="shared" si="24"/>
        <v>25543.744339875266</v>
      </c>
      <c r="R17" s="28">
        <f t="shared" si="24"/>
        <v>26319.784908831527</v>
      </c>
      <c r="S17" s="28">
        <f t="shared" si="24"/>
        <v>26319.784908831527</v>
      </c>
      <c r="T17" s="28">
        <f t="shared" si="24"/>
        <v>26319.784908831527</v>
      </c>
      <c r="U17" s="28">
        <f t="shared" si="24"/>
        <v>26319.784908831527</v>
      </c>
      <c r="V17" s="28">
        <f t="shared" si="24"/>
        <v>26319.784908831527</v>
      </c>
      <c r="W17" s="28">
        <f t="shared" si="24"/>
        <v>27119.106694856473</v>
      </c>
      <c r="X17" s="28">
        <f t="shared" si="24"/>
        <v>27119.106694856473</v>
      </c>
      <c r="Y17" s="28">
        <f t="shared" si="24"/>
        <v>27119.106694856473</v>
      </c>
      <c r="Z17" s="28">
        <f t="shared" si="24"/>
        <v>27119.106694856473</v>
      </c>
      <c r="AA17" s="28">
        <f t="shared" si="24"/>
        <v>27942.408134462166</v>
      </c>
      <c r="AB17" s="28">
        <f t="shared" si="24"/>
        <v>27942.408134462166</v>
      </c>
      <c r="AC17" s="28">
        <f t="shared" si="24"/>
        <v>27942.408134462166</v>
      </c>
      <c r="AD17" s="28">
        <f t="shared" si="24"/>
        <v>27942.408134462166</v>
      </c>
      <c r="AE17" s="28">
        <f t="shared" si="24"/>
        <v>27942.408134462166</v>
      </c>
      <c r="AF17" s="28">
        <f t="shared" si="24"/>
        <v>27942.408134462166</v>
      </c>
      <c r="AG17" s="28">
        <f t="shared" si="24"/>
        <v>27942.408134462166</v>
      </c>
      <c r="AH17" s="28">
        <f t="shared" si="24"/>
        <v>27942.408134462166</v>
      </c>
      <c r="AI17" s="28">
        <f t="shared" si="24"/>
        <v>27942.408134462166</v>
      </c>
      <c r="AJ17" s="28">
        <f t="shared" si="24"/>
        <v>27942.408134462166</v>
      </c>
      <c r="AK17" s="28">
        <f t="shared" si="24"/>
        <v>27942.408134462166</v>
      </c>
      <c r="AL17" s="28">
        <f t="shared" si="24"/>
        <v>27942.408134462166</v>
      </c>
      <c r="AM17" s="28">
        <f t="shared" si="24"/>
        <v>27942.408134462166</v>
      </c>
      <c r="AN17" s="28">
        <f t="shared" si="24"/>
        <v>28790.408617256035</v>
      </c>
      <c r="AO17" s="28">
        <f t="shared" si="24"/>
        <v>28790.408617256035</v>
      </c>
      <c r="AP17" s="28">
        <f t="shared" si="24"/>
        <v>28790.408617256035</v>
      </c>
      <c r="AQ17" s="28">
        <f t="shared" si="24"/>
        <v>28790.408617256035</v>
      </c>
      <c r="AR17" s="28">
        <f t="shared" si="24"/>
        <v>28790.408617256035</v>
      </c>
      <c r="AS17" s="28">
        <f t="shared" si="24"/>
        <v>28790.408617256035</v>
      </c>
      <c r="AT17" s="28">
        <f t="shared" si="24"/>
        <v>28790.408617256035</v>
      </c>
      <c r="AU17" s="28">
        <f t="shared" si="24"/>
        <v>28790.408617256035</v>
      </c>
      <c r="AV17" s="28">
        <f t="shared" si="24"/>
        <v>28790.408617256035</v>
      </c>
      <c r="AW17" s="28">
        <f t="shared" si="24"/>
        <v>28790.408617256035</v>
      </c>
      <c r="AX17" s="28">
        <f t="shared" ref="AX17:BB17" si="25">AX16/12</f>
        <v>28790.408617256035</v>
      </c>
      <c r="AY17" s="28">
        <f t="shared" si="25"/>
        <v>28790.408617256035</v>
      </c>
      <c r="AZ17" s="28">
        <f t="shared" si="25"/>
        <v>28790.408617256035</v>
      </c>
      <c r="BA17" s="28">
        <f t="shared" si="25"/>
        <v>28790.408617256035</v>
      </c>
      <c r="BB17" s="28">
        <f t="shared" si="25"/>
        <v>28790.408617256035</v>
      </c>
      <c r="BI17" s="2">
        <v>26319.784908831527</v>
      </c>
    </row>
    <row r="18" spans="4:61" x14ac:dyDescent="0.35">
      <c r="BI18" s="2">
        <v>26319.784908831527</v>
      </c>
    </row>
    <row r="19" spans="4:61" x14ac:dyDescent="0.35">
      <c r="BI19" s="2">
        <v>26319.784908831527</v>
      </c>
    </row>
    <row r="20" spans="4:61" x14ac:dyDescent="0.35">
      <c r="D20" s="26"/>
      <c r="BI20" s="2">
        <v>27119.106694856473</v>
      </c>
    </row>
    <row r="21" spans="4:61" x14ac:dyDescent="0.35">
      <c r="D21" s="2" t="s">
        <v>1</v>
      </c>
      <c r="E21" s="2">
        <v>2075</v>
      </c>
      <c r="F21" s="2">
        <v>2076</v>
      </c>
      <c r="G21" s="2">
        <v>2077</v>
      </c>
      <c r="H21" s="2">
        <v>2078</v>
      </c>
      <c r="I21" s="2">
        <v>2079</v>
      </c>
      <c r="J21" s="2">
        <v>2080</v>
      </c>
      <c r="K21" s="2">
        <v>2081</v>
      </c>
      <c r="L21" s="2">
        <v>2082</v>
      </c>
      <c r="M21" s="2">
        <v>2083</v>
      </c>
      <c r="N21" s="2">
        <v>2084</v>
      </c>
      <c r="O21" s="2">
        <v>2085</v>
      </c>
      <c r="P21" s="2">
        <v>2086</v>
      </c>
      <c r="Q21" s="2">
        <v>2087</v>
      </c>
      <c r="R21" s="2">
        <v>2088</v>
      </c>
      <c r="S21" s="2">
        <v>2089</v>
      </c>
      <c r="T21" s="2">
        <v>2090</v>
      </c>
      <c r="U21" s="2">
        <v>2091</v>
      </c>
      <c r="V21" s="2">
        <v>2092</v>
      </c>
      <c r="W21" s="2">
        <v>2093</v>
      </c>
      <c r="X21" s="2">
        <v>2094</v>
      </c>
      <c r="Y21" s="2">
        <v>2095</v>
      </c>
      <c r="Z21" s="2">
        <v>2096</v>
      </c>
      <c r="AA21" s="2">
        <v>2097</v>
      </c>
      <c r="AB21" s="2">
        <v>2098</v>
      </c>
      <c r="AC21" s="2">
        <v>2099</v>
      </c>
      <c r="BI21" s="2">
        <v>27119.106694856473</v>
      </c>
    </row>
    <row r="22" spans="4:61" x14ac:dyDescent="0.35">
      <c r="D22" s="2" t="s">
        <v>202</v>
      </c>
      <c r="E22" s="26">
        <f>'Pensions P1'!$B$18+'Pensions P1'!$B$22+'Pensions P1'!$B$31</f>
        <v>37942.010472916416</v>
      </c>
      <c r="F22" s="26">
        <f>'Pensions P1'!$B$18+'Pensions P1'!$B$22+'Pensions P1'!$B$31</f>
        <v>37942.010472916416</v>
      </c>
      <c r="G22" s="26">
        <f>'Pensions P1'!$B$18+'Pensions P1'!$B$22+'Pensions P1'!$B$31</f>
        <v>37942.010472916416</v>
      </c>
      <c r="H22" s="26">
        <f>'Pensions P1'!$B$18+'Pensions P1'!$B$22+'Pensions P1'!$B$31</f>
        <v>37942.010472916416</v>
      </c>
      <c r="I22" s="26">
        <f>'Pensions P1'!$B$18+'Pensions P1'!$B$22+'Pensions P1'!$B$31</f>
        <v>37942.010472916416</v>
      </c>
      <c r="J22" s="26">
        <f>'Pensions P1'!$B$18+'Pensions P1'!$B$22+'Pensions P1'!$B$31</f>
        <v>37942.010472916416</v>
      </c>
      <c r="K22" s="26">
        <f>'Pensions P1'!$B$18+'Pensions P1'!$B$22+'Pensions P1'!$B$31</f>
        <v>37942.010472916416</v>
      </c>
      <c r="L22" s="26">
        <f>'Pensions P1'!$B$18+'Pensions P1'!$B$22+'Pensions P1'!$B$31</f>
        <v>37942.010472916416</v>
      </c>
      <c r="M22" s="26">
        <f>'Pensions P1'!$B$18+'Pensions P1'!$B$22+'Pensions P1'!$B$31</f>
        <v>37942.010472916416</v>
      </c>
      <c r="N22" s="26">
        <f>'Pensions P1'!$B$18+'Pensions P1'!$B$22+'Pensions P1'!$B$31</f>
        <v>37942.010472916416</v>
      </c>
      <c r="O22" s="26">
        <f>'Pensions P1'!$B$18+'Pensions P1'!$B$22+'Pensions P1'!$B$31</f>
        <v>37942.010472916416</v>
      </c>
      <c r="P22" s="26">
        <f>'Pensions P1'!$B$18+'Pensions P1'!$B$22+'Pensions P1'!$B$31</f>
        <v>37942.010472916416</v>
      </c>
      <c r="Q22" s="26">
        <f>'Pensions P1'!$B$18+'Pensions P1'!$B$22+'Pensions P1'!$B$31</f>
        <v>37942.010472916416</v>
      </c>
      <c r="R22" s="26">
        <f>'Pensions P1'!$B$18+'Pensions P1'!$B$22+'Pensions P1'!$B$31</f>
        <v>37942.010472916416</v>
      </c>
      <c r="S22" s="26">
        <f>'Pensions P1'!$B$18+'Pensions P1'!$B$22+'Pensions P1'!$B$31</f>
        <v>37942.010472916416</v>
      </c>
      <c r="T22" s="26">
        <f>'Pensions P1'!$B$18+'Pensions P1'!$B$22+'Pensions P1'!$B$31</f>
        <v>37942.010472916416</v>
      </c>
      <c r="U22" s="26">
        <f>'Pensions P1'!$B$18+'Pensions P1'!$B$22+'Pensions P1'!$B$31</f>
        <v>37942.010472916416</v>
      </c>
      <c r="V22" s="26">
        <f>'Pensions P1'!$B$18+'Pensions P1'!$B$22+'Pensions P1'!$B$31</f>
        <v>37942.010472916416</v>
      </c>
      <c r="W22" s="26">
        <f>'Pensions P1'!$B$18+'Pensions P1'!$B$22+'Pensions P1'!$B$31</f>
        <v>37942.010472916416</v>
      </c>
      <c r="X22" s="26">
        <f>'Pensions P1'!$B$18+'Pensions P1'!$B$22+'Pensions P1'!$B$31</f>
        <v>37942.010472916416</v>
      </c>
      <c r="Y22" s="26">
        <f>'Pensions P1'!$B$18+'Pensions P1'!$B$22+'Pensions P1'!$B$31</f>
        <v>37942.010472916416</v>
      </c>
      <c r="Z22" s="26">
        <f>'Pensions P1'!$B$18+'Pensions P1'!$B$22+'Pensions P1'!$B$31</f>
        <v>37942.010472916416</v>
      </c>
      <c r="AA22" s="26">
        <f>'Pensions P1'!$B$18+'Pensions P1'!$B$22+'Pensions P1'!$B$31</f>
        <v>37942.010472916416</v>
      </c>
      <c r="AB22" s="26">
        <f>'Pensions P1'!$B$18+'Pensions P1'!$B$22+'Pensions P1'!$B$31</f>
        <v>37942.010472916416</v>
      </c>
      <c r="AC22" s="26">
        <f>'Pensions P1'!$B$18+'Pensions P1'!$B$22+'Pensions P1'!$B$31</f>
        <v>37942.010472916416</v>
      </c>
      <c r="BI22" s="2">
        <v>27119.106694856473</v>
      </c>
    </row>
    <row r="23" spans="4:61" x14ac:dyDescent="0.35">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BI23" s="2">
        <v>27119.106694856473</v>
      </c>
    </row>
    <row r="24" spans="4:61" x14ac:dyDescent="0.35">
      <c r="D24" s="2" t="s">
        <v>203</v>
      </c>
      <c r="E24" s="26">
        <f>E22*12</f>
        <v>455304.12567499699</v>
      </c>
      <c r="F24" s="26">
        <f t="shared" ref="F24:AC24" si="26">F22*12</f>
        <v>455304.12567499699</v>
      </c>
      <c r="G24" s="26">
        <f t="shared" si="26"/>
        <v>455304.12567499699</v>
      </c>
      <c r="H24" s="26">
        <f t="shared" si="26"/>
        <v>455304.12567499699</v>
      </c>
      <c r="I24" s="26">
        <f t="shared" si="26"/>
        <v>455304.12567499699</v>
      </c>
      <c r="J24" s="26">
        <f t="shared" si="26"/>
        <v>455304.12567499699</v>
      </c>
      <c r="K24" s="26">
        <f t="shared" si="26"/>
        <v>455304.12567499699</v>
      </c>
      <c r="L24" s="26">
        <f t="shared" si="26"/>
        <v>455304.12567499699</v>
      </c>
      <c r="M24" s="26">
        <f t="shared" si="26"/>
        <v>455304.12567499699</v>
      </c>
      <c r="N24" s="26">
        <f t="shared" si="26"/>
        <v>455304.12567499699</v>
      </c>
      <c r="O24" s="26">
        <f t="shared" si="26"/>
        <v>455304.12567499699</v>
      </c>
      <c r="P24" s="26">
        <f t="shared" si="26"/>
        <v>455304.12567499699</v>
      </c>
      <c r="Q24" s="26">
        <f t="shared" si="26"/>
        <v>455304.12567499699</v>
      </c>
      <c r="R24" s="26">
        <f t="shared" si="26"/>
        <v>455304.12567499699</v>
      </c>
      <c r="S24" s="26">
        <f t="shared" si="26"/>
        <v>455304.12567499699</v>
      </c>
      <c r="T24" s="26">
        <f t="shared" si="26"/>
        <v>455304.12567499699</v>
      </c>
      <c r="U24" s="26">
        <f t="shared" si="26"/>
        <v>455304.12567499699</v>
      </c>
      <c r="V24" s="26">
        <f t="shared" si="26"/>
        <v>455304.12567499699</v>
      </c>
      <c r="W24" s="26">
        <f t="shared" si="26"/>
        <v>455304.12567499699</v>
      </c>
      <c r="X24" s="26">
        <f t="shared" si="26"/>
        <v>455304.12567499699</v>
      </c>
      <c r="Y24" s="26">
        <f t="shared" si="26"/>
        <v>455304.12567499699</v>
      </c>
      <c r="Z24" s="26">
        <f t="shared" si="26"/>
        <v>455304.12567499699</v>
      </c>
      <c r="AA24" s="26">
        <f t="shared" si="26"/>
        <v>455304.12567499699</v>
      </c>
      <c r="AB24" s="26">
        <f t="shared" si="26"/>
        <v>455304.12567499699</v>
      </c>
      <c r="AC24" s="26">
        <f t="shared" si="26"/>
        <v>455304.12567499699</v>
      </c>
      <c r="BI24" s="2">
        <v>27942.408134462166</v>
      </c>
    </row>
    <row r="25" spans="4:61" x14ac:dyDescent="0.35">
      <c r="D25" s="2" t="s">
        <v>189</v>
      </c>
      <c r="E25" s="26">
        <f>E24*$B$9</f>
        <v>113826.03141874925</v>
      </c>
      <c r="F25" s="26">
        <f t="shared" ref="F25:AC25" si="27">F24*$B$9</f>
        <v>113826.03141874925</v>
      </c>
      <c r="G25" s="26">
        <f t="shared" si="27"/>
        <v>113826.03141874925</v>
      </c>
      <c r="H25" s="26">
        <f t="shared" si="27"/>
        <v>113826.03141874925</v>
      </c>
      <c r="I25" s="26">
        <f t="shared" si="27"/>
        <v>113826.03141874925</v>
      </c>
      <c r="J25" s="26">
        <f t="shared" si="27"/>
        <v>113826.03141874925</v>
      </c>
      <c r="K25" s="26">
        <f t="shared" si="27"/>
        <v>113826.03141874925</v>
      </c>
      <c r="L25" s="26">
        <f t="shared" si="27"/>
        <v>113826.03141874925</v>
      </c>
      <c r="M25" s="26">
        <f t="shared" si="27"/>
        <v>113826.03141874925</v>
      </c>
      <c r="N25" s="26">
        <f t="shared" si="27"/>
        <v>113826.03141874925</v>
      </c>
      <c r="O25" s="26">
        <f t="shared" si="27"/>
        <v>113826.03141874925</v>
      </c>
      <c r="P25" s="26">
        <f t="shared" si="27"/>
        <v>113826.03141874925</v>
      </c>
      <c r="Q25" s="26">
        <f t="shared" si="27"/>
        <v>113826.03141874925</v>
      </c>
      <c r="R25" s="26">
        <f t="shared" si="27"/>
        <v>113826.03141874925</v>
      </c>
      <c r="S25" s="26">
        <f t="shared" si="27"/>
        <v>113826.03141874925</v>
      </c>
      <c r="T25" s="26">
        <f t="shared" si="27"/>
        <v>113826.03141874925</v>
      </c>
      <c r="U25" s="26">
        <f t="shared" si="27"/>
        <v>113826.03141874925</v>
      </c>
      <c r="V25" s="26">
        <f t="shared" si="27"/>
        <v>113826.03141874925</v>
      </c>
      <c r="W25" s="26">
        <f t="shared" si="27"/>
        <v>113826.03141874925</v>
      </c>
      <c r="X25" s="26">
        <f t="shared" si="27"/>
        <v>113826.03141874925</v>
      </c>
      <c r="Y25" s="26">
        <f t="shared" si="27"/>
        <v>113826.03141874925</v>
      </c>
      <c r="Z25" s="26">
        <f t="shared" si="27"/>
        <v>113826.03141874925</v>
      </c>
      <c r="AA25" s="26">
        <f t="shared" si="27"/>
        <v>113826.03141874925</v>
      </c>
      <c r="AB25" s="26">
        <f t="shared" si="27"/>
        <v>113826.03141874925</v>
      </c>
      <c r="AC25" s="26">
        <f t="shared" si="27"/>
        <v>113826.03141874925</v>
      </c>
      <c r="BI25" s="2">
        <v>27942.408134462166</v>
      </c>
    </row>
    <row r="26" spans="4:61" x14ac:dyDescent="0.35">
      <c r="D26" s="2" t="s">
        <v>190</v>
      </c>
      <c r="E26" s="26">
        <f>MAX(E24-$B$8,0)*$B$7</f>
        <v>0</v>
      </c>
      <c r="F26" s="26">
        <f t="shared" ref="F26:AC26" si="28">MAX(F24-$B$8,0)*$B$7</f>
        <v>0</v>
      </c>
      <c r="G26" s="26">
        <f t="shared" si="28"/>
        <v>0</v>
      </c>
      <c r="H26" s="26">
        <f t="shared" si="28"/>
        <v>0</v>
      </c>
      <c r="I26" s="26">
        <f t="shared" si="28"/>
        <v>0</v>
      </c>
      <c r="J26" s="26">
        <f t="shared" si="28"/>
        <v>0</v>
      </c>
      <c r="K26" s="26">
        <f t="shared" si="28"/>
        <v>0</v>
      </c>
      <c r="L26" s="26">
        <f t="shared" si="28"/>
        <v>0</v>
      </c>
      <c r="M26" s="26">
        <f t="shared" si="28"/>
        <v>0</v>
      </c>
      <c r="N26" s="26">
        <f t="shared" si="28"/>
        <v>0</v>
      </c>
      <c r="O26" s="26">
        <f t="shared" si="28"/>
        <v>0</v>
      </c>
      <c r="P26" s="26">
        <f t="shared" si="28"/>
        <v>0</v>
      </c>
      <c r="Q26" s="26">
        <f t="shared" si="28"/>
        <v>0</v>
      </c>
      <c r="R26" s="26">
        <f t="shared" si="28"/>
        <v>0</v>
      </c>
      <c r="S26" s="26">
        <f t="shared" si="28"/>
        <v>0</v>
      </c>
      <c r="T26" s="26">
        <f t="shared" si="28"/>
        <v>0</v>
      </c>
      <c r="U26" s="26">
        <f t="shared" si="28"/>
        <v>0</v>
      </c>
      <c r="V26" s="26">
        <f t="shared" si="28"/>
        <v>0</v>
      </c>
      <c r="W26" s="26">
        <f t="shared" si="28"/>
        <v>0</v>
      </c>
      <c r="X26" s="26">
        <f t="shared" si="28"/>
        <v>0</v>
      </c>
      <c r="Y26" s="26">
        <f t="shared" si="28"/>
        <v>0</v>
      </c>
      <c r="Z26" s="26">
        <f t="shared" si="28"/>
        <v>0</v>
      </c>
      <c r="AA26" s="26">
        <f t="shared" si="28"/>
        <v>0</v>
      </c>
      <c r="AB26" s="26">
        <f t="shared" si="28"/>
        <v>0</v>
      </c>
      <c r="AC26" s="26">
        <f t="shared" si="28"/>
        <v>0</v>
      </c>
      <c r="BI26" s="2">
        <v>27942.408134462166</v>
      </c>
    </row>
    <row r="27" spans="4:61" x14ac:dyDescent="0.35">
      <c r="D27" s="2" t="s">
        <v>191</v>
      </c>
      <c r="E27" s="26">
        <f>E24*$B$6</f>
        <v>54682.02549356714</v>
      </c>
      <c r="F27" s="26">
        <f t="shared" ref="F27:AC27" si="29">F24*$B$6</f>
        <v>54682.02549356714</v>
      </c>
      <c r="G27" s="26">
        <f t="shared" si="29"/>
        <v>54682.02549356714</v>
      </c>
      <c r="H27" s="26">
        <f t="shared" si="29"/>
        <v>54682.02549356714</v>
      </c>
      <c r="I27" s="26">
        <f t="shared" si="29"/>
        <v>54682.02549356714</v>
      </c>
      <c r="J27" s="26">
        <f t="shared" si="29"/>
        <v>54682.02549356714</v>
      </c>
      <c r="K27" s="26">
        <f t="shared" si="29"/>
        <v>54682.02549356714</v>
      </c>
      <c r="L27" s="26">
        <f t="shared" si="29"/>
        <v>54682.02549356714</v>
      </c>
      <c r="M27" s="26">
        <f t="shared" si="29"/>
        <v>54682.02549356714</v>
      </c>
      <c r="N27" s="26">
        <f t="shared" si="29"/>
        <v>54682.02549356714</v>
      </c>
      <c r="O27" s="26">
        <f t="shared" si="29"/>
        <v>54682.02549356714</v>
      </c>
      <c r="P27" s="26">
        <f t="shared" si="29"/>
        <v>54682.02549356714</v>
      </c>
      <c r="Q27" s="26">
        <f t="shared" si="29"/>
        <v>54682.02549356714</v>
      </c>
      <c r="R27" s="26">
        <f t="shared" si="29"/>
        <v>54682.02549356714</v>
      </c>
      <c r="S27" s="26">
        <f t="shared" si="29"/>
        <v>54682.02549356714</v>
      </c>
      <c r="T27" s="26">
        <f t="shared" si="29"/>
        <v>54682.02549356714</v>
      </c>
      <c r="U27" s="26">
        <f t="shared" si="29"/>
        <v>54682.02549356714</v>
      </c>
      <c r="V27" s="26">
        <f t="shared" si="29"/>
        <v>54682.02549356714</v>
      </c>
      <c r="W27" s="26">
        <f t="shared" si="29"/>
        <v>54682.02549356714</v>
      </c>
      <c r="X27" s="26">
        <f t="shared" si="29"/>
        <v>54682.02549356714</v>
      </c>
      <c r="Y27" s="26">
        <f t="shared" si="29"/>
        <v>54682.02549356714</v>
      </c>
      <c r="Z27" s="26">
        <f t="shared" si="29"/>
        <v>54682.02549356714</v>
      </c>
      <c r="AA27" s="26">
        <f t="shared" si="29"/>
        <v>54682.02549356714</v>
      </c>
      <c r="AB27" s="26">
        <f t="shared" si="29"/>
        <v>54682.02549356714</v>
      </c>
      <c r="AC27" s="26">
        <f t="shared" si="29"/>
        <v>54682.02549356714</v>
      </c>
      <c r="BI27" s="2">
        <v>27942.408134462166</v>
      </c>
    </row>
    <row r="28" spans="4:61" x14ac:dyDescent="0.35">
      <c r="D28" s="2" t="s">
        <v>192</v>
      </c>
      <c r="E28" s="26">
        <f>SUM(E25:E27)</f>
        <v>168508.05691231639</v>
      </c>
      <c r="F28" s="26">
        <f>SUM(F25:F27)</f>
        <v>168508.05691231639</v>
      </c>
      <c r="G28" s="26">
        <f t="shared" ref="G28:AC28" si="30">SUM(G25:G27)</f>
        <v>168508.05691231639</v>
      </c>
      <c r="H28" s="26">
        <f t="shared" si="30"/>
        <v>168508.05691231639</v>
      </c>
      <c r="I28" s="26">
        <f t="shared" si="30"/>
        <v>168508.05691231639</v>
      </c>
      <c r="J28" s="26">
        <f t="shared" si="30"/>
        <v>168508.05691231639</v>
      </c>
      <c r="K28" s="26">
        <f t="shared" si="30"/>
        <v>168508.05691231639</v>
      </c>
      <c r="L28" s="26">
        <f t="shared" si="30"/>
        <v>168508.05691231639</v>
      </c>
      <c r="M28" s="26">
        <f t="shared" si="30"/>
        <v>168508.05691231639</v>
      </c>
      <c r="N28" s="26">
        <f t="shared" si="30"/>
        <v>168508.05691231639</v>
      </c>
      <c r="O28" s="26">
        <f t="shared" si="30"/>
        <v>168508.05691231639</v>
      </c>
      <c r="P28" s="26">
        <f t="shared" si="30"/>
        <v>168508.05691231639</v>
      </c>
      <c r="Q28" s="26">
        <f t="shared" si="30"/>
        <v>168508.05691231639</v>
      </c>
      <c r="R28" s="26">
        <f t="shared" si="30"/>
        <v>168508.05691231639</v>
      </c>
      <c r="S28" s="26">
        <f t="shared" si="30"/>
        <v>168508.05691231639</v>
      </c>
      <c r="T28" s="26">
        <f t="shared" si="30"/>
        <v>168508.05691231639</v>
      </c>
      <c r="U28" s="26">
        <f t="shared" si="30"/>
        <v>168508.05691231639</v>
      </c>
      <c r="V28" s="26">
        <f t="shared" si="30"/>
        <v>168508.05691231639</v>
      </c>
      <c r="W28" s="26">
        <f t="shared" si="30"/>
        <v>168508.05691231639</v>
      </c>
      <c r="X28" s="26">
        <f t="shared" si="30"/>
        <v>168508.05691231639</v>
      </c>
      <c r="Y28" s="26">
        <f t="shared" si="30"/>
        <v>168508.05691231639</v>
      </c>
      <c r="Z28" s="26">
        <f t="shared" si="30"/>
        <v>168508.05691231639</v>
      </c>
      <c r="AA28" s="26">
        <f t="shared" si="30"/>
        <v>168508.05691231639</v>
      </c>
      <c r="AB28" s="26">
        <f t="shared" si="30"/>
        <v>168508.05691231639</v>
      </c>
      <c r="AC28" s="26">
        <f t="shared" si="30"/>
        <v>168508.05691231639</v>
      </c>
      <c r="BI28" s="2">
        <v>27942.408134462166</v>
      </c>
    </row>
    <row r="29" spans="4:61" x14ac:dyDescent="0.35">
      <c r="D29" s="2" t="s">
        <v>193</v>
      </c>
      <c r="E29" s="26">
        <f>E24-E28</f>
        <v>286796.06876268063</v>
      </c>
      <c r="F29" s="26">
        <f t="shared" ref="F29:AC29" si="31">F24-F28</f>
        <v>286796.06876268063</v>
      </c>
      <c r="G29" s="26">
        <f t="shared" si="31"/>
        <v>286796.06876268063</v>
      </c>
      <c r="H29" s="26">
        <f t="shared" si="31"/>
        <v>286796.06876268063</v>
      </c>
      <c r="I29" s="26">
        <f t="shared" si="31"/>
        <v>286796.06876268063</v>
      </c>
      <c r="J29" s="26">
        <f t="shared" si="31"/>
        <v>286796.06876268063</v>
      </c>
      <c r="K29" s="26">
        <f t="shared" si="31"/>
        <v>286796.06876268063</v>
      </c>
      <c r="L29" s="26">
        <f t="shared" si="31"/>
        <v>286796.06876268063</v>
      </c>
      <c r="M29" s="26">
        <f t="shared" si="31"/>
        <v>286796.06876268063</v>
      </c>
      <c r="N29" s="26">
        <f t="shared" si="31"/>
        <v>286796.06876268063</v>
      </c>
      <c r="O29" s="26">
        <f t="shared" si="31"/>
        <v>286796.06876268063</v>
      </c>
      <c r="P29" s="26">
        <f t="shared" si="31"/>
        <v>286796.06876268063</v>
      </c>
      <c r="Q29" s="26">
        <f t="shared" si="31"/>
        <v>286796.06876268063</v>
      </c>
      <c r="R29" s="26">
        <f t="shared" si="31"/>
        <v>286796.06876268063</v>
      </c>
      <c r="S29" s="26">
        <f t="shared" si="31"/>
        <v>286796.06876268063</v>
      </c>
      <c r="T29" s="26">
        <f t="shared" si="31"/>
        <v>286796.06876268063</v>
      </c>
      <c r="U29" s="26">
        <f t="shared" si="31"/>
        <v>286796.06876268063</v>
      </c>
      <c r="V29" s="26">
        <f t="shared" si="31"/>
        <v>286796.06876268063</v>
      </c>
      <c r="W29" s="26">
        <f t="shared" si="31"/>
        <v>286796.06876268063</v>
      </c>
      <c r="X29" s="26">
        <f t="shared" si="31"/>
        <v>286796.06876268063</v>
      </c>
      <c r="Y29" s="26">
        <f t="shared" si="31"/>
        <v>286796.06876268063</v>
      </c>
      <c r="Z29" s="26">
        <f t="shared" si="31"/>
        <v>286796.06876268063</v>
      </c>
      <c r="AA29" s="26">
        <f t="shared" si="31"/>
        <v>286796.06876268063</v>
      </c>
      <c r="AB29" s="26">
        <f t="shared" si="31"/>
        <v>286796.06876268063</v>
      </c>
      <c r="AC29" s="26">
        <f t="shared" si="31"/>
        <v>286796.06876268063</v>
      </c>
      <c r="BI29" s="2">
        <v>27942.408134462166</v>
      </c>
    </row>
    <row r="30" spans="4:61" x14ac:dyDescent="0.35">
      <c r="D30" s="2" t="s">
        <v>268</v>
      </c>
      <c r="E30" s="26">
        <f>'Pensions P1'!$B$13</f>
        <v>3169.3645686340355</v>
      </c>
      <c r="F30" s="26">
        <f>'Pensions P1'!$B$13</f>
        <v>3169.3645686340355</v>
      </c>
      <c r="G30" s="26">
        <f>'Pensions P1'!$B$13</f>
        <v>3169.3645686340355</v>
      </c>
      <c r="H30" s="26">
        <f>'Pensions P1'!$B$13</f>
        <v>3169.3645686340355</v>
      </c>
      <c r="I30" s="26">
        <f>'Pensions P1'!$B$13</f>
        <v>3169.3645686340355</v>
      </c>
      <c r="J30" s="26">
        <f>'Pensions P1'!$B$13</f>
        <v>3169.3645686340355</v>
      </c>
      <c r="K30" s="26">
        <f>'Pensions P1'!$B$13</f>
        <v>3169.3645686340355</v>
      </c>
      <c r="L30" s="26">
        <f>'Pensions P1'!$B$13</f>
        <v>3169.3645686340355</v>
      </c>
      <c r="M30" s="26">
        <f>'Pensions P1'!$B$13</f>
        <v>3169.3645686340355</v>
      </c>
      <c r="N30" s="26">
        <f>'Pensions P1'!$B$13</f>
        <v>3169.3645686340355</v>
      </c>
      <c r="O30" s="26">
        <f>'Pensions P1'!$B$13</f>
        <v>3169.3645686340355</v>
      </c>
      <c r="P30" s="26">
        <f>'Pensions P1'!$B$13</f>
        <v>3169.3645686340355</v>
      </c>
      <c r="Q30" s="26">
        <f>'Pensions P1'!$B$13</f>
        <v>3169.3645686340355</v>
      </c>
      <c r="R30" s="26">
        <f>'Pensions P1'!$B$13</f>
        <v>3169.3645686340355</v>
      </c>
      <c r="S30" s="26">
        <f>'Pensions P1'!$B$13</f>
        <v>3169.3645686340355</v>
      </c>
      <c r="T30" s="26">
        <f>'Pensions P1'!$B$13</f>
        <v>3169.3645686340355</v>
      </c>
      <c r="U30" s="26">
        <f>'Pensions P1'!$B$13</f>
        <v>3169.3645686340355</v>
      </c>
      <c r="V30" s="26">
        <f>'Pensions P1'!$B$13</f>
        <v>3169.3645686340355</v>
      </c>
      <c r="W30" s="26">
        <f>'Pensions P1'!$B$13</f>
        <v>3169.3645686340355</v>
      </c>
      <c r="X30" s="26">
        <f>'Pensions P1'!$B$13</f>
        <v>3169.3645686340355</v>
      </c>
      <c r="Y30" s="26">
        <f>'Pensions P1'!$B$13</f>
        <v>3169.3645686340355</v>
      </c>
      <c r="Z30" s="26">
        <f>'Pensions P1'!$B$13</f>
        <v>3169.3645686340355</v>
      </c>
      <c r="AA30" s="26">
        <f>'Pensions P1'!$B$13</f>
        <v>3169.3645686340355</v>
      </c>
      <c r="AB30" s="26">
        <f>'Pensions P1'!$B$13</f>
        <v>3169.3645686340355</v>
      </c>
      <c r="AC30" s="26">
        <f>'Pensions P1'!$B$13</f>
        <v>3169.3645686340355</v>
      </c>
      <c r="BI30" s="2">
        <v>27942.408134462166</v>
      </c>
    </row>
    <row r="31" spans="4:61" x14ac:dyDescent="0.35">
      <c r="D31" s="2" t="s">
        <v>196</v>
      </c>
      <c r="E31" s="26">
        <f>(E29/12)+E30</f>
        <v>27069.036965524087</v>
      </c>
      <c r="F31" s="26">
        <f t="shared" ref="F31:AC31" si="32">(F29/12)+F30</f>
        <v>27069.036965524087</v>
      </c>
      <c r="G31" s="26">
        <f t="shared" si="32"/>
        <v>27069.036965524087</v>
      </c>
      <c r="H31" s="26">
        <f t="shared" si="32"/>
        <v>27069.036965524087</v>
      </c>
      <c r="I31" s="26">
        <f t="shared" si="32"/>
        <v>27069.036965524087</v>
      </c>
      <c r="J31" s="26">
        <f t="shared" si="32"/>
        <v>27069.036965524087</v>
      </c>
      <c r="K31" s="26">
        <f t="shared" si="32"/>
        <v>27069.036965524087</v>
      </c>
      <c r="L31" s="26">
        <f t="shared" si="32"/>
        <v>27069.036965524087</v>
      </c>
      <c r="M31" s="26">
        <f t="shared" si="32"/>
        <v>27069.036965524087</v>
      </c>
      <c r="N31" s="26">
        <f t="shared" si="32"/>
        <v>27069.036965524087</v>
      </c>
      <c r="O31" s="26">
        <f t="shared" si="32"/>
        <v>27069.036965524087</v>
      </c>
      <c r="P31" s="26">
        <f t="shared" si="32"/>
        <v>27069.036965524087</v>
      </c>
      <c r="Q31" s="26">
        <f t="shared" si="32"/>
        <v>27069.036965524087</v>
      </c>
      <c r="R31" s="26">
        <f t="shared" si="32"/>
        <v>27069.036965524087</v>
      </c>
      <c r="S31" s="26">
        <f t="shared" si="32"/>
        <v>27069.036965524087</v>
      </c>
      <c r="T31" s="26">
        <f t="shared" si="32"/>
        <v>27069.036965524087</v>
      </c>
      <c r="U31" s="26">
        <f t="shared" si="32"/>
        <v>27069.036965524087</v>
      </c>
      <c r="V31" s="26">
        <f t="shared" si="32"/>
        <v>27069.036965524087</v>
      </c>
      <c r="W31" s="26">
        <f t="shared" si="32"/>
        <v>27069.036965524087</v>
      </c>
      <c r="X31" s="26">
        <f t="shared" si="32"/>
        <v>27069.036965524087</v>
      </c>
      <c r="Y31" s="26">
        <f t="shared" si="32"/>
        <v>27069.036965524087</v>
      </c>
      <c r="Z31" s="26">
        <f t="shared" si="32"/>
        <v>27069.036965524087</v>
      </c>
      <c r="AA31" s="26">
        <f t="shared" si="32"/>
        <v>27069.036965524087</v>
      </c>
      <c r="AB31" s="26">
        <f t="shared" si="32"/>
        <v>27069.036965524087</v>
      </c>
      <c r="AC31" s="26">
        <f t="shared" si="32"/>
        <v>27069.036965524087</v>
      </c>
      <c r="BI31" s="2">
        <v>27942.408134462166</v>
      </c>
    </row>
    <row r="32" spans="4:61" x14ac:dyDescent="0.35">
      <c r="D32" s="2" t="s">
        <v>274</v>
      </c>
      <c r="E32" s="26">
        <f>Income!$K$52</f>
        <v>23032.326893804828</v>
      </c>
      <c r="F32" s="26">
        <f>Income!$K$52</f>
        <v>23032.326893804828</v>
      </c>
      <c r="G32" s="26">
        <f>Income!$K$52</f>
        <v>23032.326893804828</v>
      </c>
      <c r="H32" s="26">
        <f>Income!$K$52</f>
        <v>23032.326893804828</v>
      </c>
      <c r="I32" s="26">
        <f>Income!$K$52</f>
        <v>23032.326893804828</v>
      </c>
      <c r="J32" s="26">
        <f>Income!$K$52</f>
        <v>23032.326893804828</v>
      </c>
      <c r="K32" s="26">
        <f>Income!$K$52</f>
        <v>23032.326893804828</v>
      </c>
      <c r="L32" s="26">
        <f>Income!$K$52</f>
        <v>23032.326893804828</v>
      </c>
      <c r="M32" s="26">
        <f>Income!$K$52</f>
        <v>23032.326893804828</v>
      </c>
      <c r="N32" s="26">
        <f>Income!$K$52</f>
        <v>23032.326893804828</v>
      </c>
      <c r="O32" s="26">
        <f>Income!$K$52</f>
        <v>23032.326893804828</v>
      </c>
      <c r="P32" s="26">
        <f>Income!$K$52</f>
        <v>23032.326893804828</v>
      </c>
      <c r="Q32" s="26">
        <f>Income!$K$52</f>
        <v>23032.326893804828</v>
      </c>
      <c r="R32" s="26">
        <f>Income!$K$52</f>
        <v>23032.326893804828</v>
      </c>
      <c r="S32" s="26">
        <f>Income!$K$52</f>
        <v>23032.326893804828</v>
      </c>
      <c r="T32" s="26">
        <f>Income!$K$52</f>
        <v>23032.326893804828</v>
      </c>
      <c r="U32" s="26">
        <f>Income!$K$52</f>
        <v>23032.326893804828</v>
      </c>
      <c r="V32" s="26">
        <f>Income!$K$52</f>
        <v>23032.326893804828</v>
      </c>
      <c r="W32" s="26">
        <f>Income!$K$52</f>
        <v>23032.326893804828</v>
      </c>
      <c r="X32" s="26">
        <f>Income!$K$52</f>
        <v>23032.326893804828</v>
      </c>
      <c r="Y32" s="26">
        <f>Income!$K$52</f>
        <v>23032.326893804828</v>
      </c>
      <c r="Z32" s="26">
        <f>Income!$K$52</f>
        <v>23032.326893804828</v>
      </c>
      <c r="AA32" s="26">
        <f>Income!$K$52</f>
        <v>23032.326893804828</v>
      </c>
      <c r="AB32" s="26">
        <f>Income!$K$52</f>
        <v>23032.326893804828</v>
      </c>
      <c r="AC32" s="26">
        <f>Income!$K$52</f>
        <v>23032.326893804828</v>
      </c>
      <c r="BI32" s="2">
        <v>27942.408134462166</v>
      </c>
    </row>
    <row r="33" spans="4:61" x14ac:dyDescent="0.35">
      <c r="D33" s="2" t="s">
        <v>204</v>
      </c>
      <c r="E33" s="26">
        <f>E32-E31</f>
        <v>-4036.7100717192588</v>
      </c>
      <c r="F33" s="26">
        <f t="shared" ref="F33:AC33" si="33">F32-F31</f>
        <v>-4036.7100717192588</v>
      </c>
      <c r="G33" s="26">
        <f t="shared" si="33"/>
        <v>-4036.7100717192588</v>
      </c>
      <c r="H33" s="26">
        <f t="shared" si="33"/>
        <v>-4036.7100717192588</v>
      </c>
      <c r="I33" s="26">
        <f t="shared" si="33"/>
        <v>-4036.7100717192588</v>
      </c>
      <c r="J33" s="26">
        <f t="shared" si="33"/>
        <v>-4036.7100717192588</v>
      </c>
      <c r="K33" s="26">
        <f t="shared" si="33"/>
        <v>-4036.7100717192588</v>
      </c>
      <c r="L33" s="26">
        <f t="shared" si="33"/>
        <v>-4036.7100717192588</v>
      </c>
      <c r="M33" s="26">
        <f t="shared" si="33"/>
        <v>-4036.7100717192588</v>
      </c>
      <c r="N33" s="26">
        <f t="shared" si="33"/>
        <v>-4036.7100717192588</v>
      </c>
      <c r="O33" s="26">
        <f t="shared" si="33"/>
        <v>-4036.7100717192588</v>
      </c>
      <c r="P33" s="26">
        <f t="shared" si="33"/>
        <v>-4036.7100717192588</v>
      </c>
      <c r="Q33" s="26">
        <f t="shared" si="33"/>
        <v>-4036.7100717192588</v>
      </c>
      <c r="R33" s="26">
        <f t="shared" si="33"/>
        <v>-4036.7100717192588</v>
      </c>
      <c r="S33" s="26">
        <f t="shared" si="33"/>
        <v>-4036.7100717192588</v>
      </c>
      <c r="T33" s="26">
        <f t="shared" si="33"/>
        <v>-4036.7100717192588</v>
      </c>
      <c r="U33" s="26">
        <f t="shared" si="33"/>
        <v>-4036.7100717192588</v>
      </c>
      <c r="V33" s="26">
        <f t="shared" si="33"/>
        <v>-4036.7100717192588</v>
      </c>
      <c r="W33" s="26">
        <f t="shared" si="33"/>
        <v>-4036.7100717192588</v>
      </c>
      <c r="X33" s="26">
        <f t="shared" si="33"/>
        <v>-4036.7100717192588</v>
      </c>
      <c r="Y33" s="26">
        <f t="shared" si="33"/>
        <v>-4036.7100717192588</v>
      </c>
      <c r="Z33" s="26">
        <f t="shared" si="33"/>
        <v>-4036.7100717192588</v>
      </c>
      <c r="AA33" s="26">
        <f t="shared" si="33"/>
        <v>-4036.7100717192588</v>
      </c>
      <c r="AB33" s="26">
        <f t="shared" si="33"/>
        <v>-4036.7100717192588</v>
      </c>
      <c r="AC33" s="26">
        <f t="shared" si="33"/>
        <v>-4036.7100717192588</v>
      </c>
      <c r="BI33" s="2">
        <v>27942.408134462166</v>
      </c>
    </row>
    <row r="34" spans="4:61" x14ac:dyDescent="0.35">
      <c r="D34" s="2" t="s">
        <v>264</v>
      </c>
      <c r="E34" s="26">
        <f>E33*(1+$B$10)</f>
        <v>-5126.6217910834584</v>
      </c>
      <c r="F34" s="26">
        <f t="shared" ref="F34:AC34" si="34">F33*(1+$B$10)</f>
        <v>-5126.6217910834584</v>
      </c>
      <c r="G34" s="26">
        <f t="shared" si="34"/>
        <v>-5126.6217910834584</v>
      </c>
      <c r="H34" s="26">
        <f t="shared" si="34"/>
        <v>-5126.6217910834584</v>
      </c>
      <c r="I34" s="26">
        <f t="shared" si="34"/>
        <v>-5126.6217910834584</v>
      </c>
      <c r="J34" s="26">
        <f t="shared" si="34"/>
        <v>-5126.6217910834584</v>
      </c>
      <c r="K34" s="26">
        <f t="shared" si="34"/>
        <v>-5126.6217910834584</v>
      </c>
      <c r="L34" s="26">
        <f t="shared" si="34"/>
        <v>-5126.6217910834584</v>
      </c>
      <c r="M34" s="26">
        <f t="shared" si="34"/>
        <v>-5126.6217910834584</v>
      </c>
      <c r="N34" s="26">
        <f t="shared" si="34"/>
        <v>-5126.6217910834584</v>
      </c>
      <c r="O34" s="26">
        <f t="shared" si="34"/>
        <v>-5126.6217910834584</v>
      </c>
      <c r="P34" s="26">
        <f t="shared" si="34"/>
        <v>-5126.6217910834584</v>
      </c>
      <c r="Q34" s="26">
        <f t="shared" si="34"/>
        <v>-5126.6217910834584</v>
      </c>
      <c r="R34" s="26">
        <f t="shared" si="34"/>
        <v>-5126.6217910834584</v>
      </c>
      <c r="S34" s="26">
        <f t="shared" si="34"/>
        <v>-5126.6217910834584</v>
      </c>
      <c r="T34" s="26">
        <f t="shared" si="34"/>
        <v>-5126.6217910834584</v>
      </c>
      <c r="U34" s="26">
        <f t="shared" si="34"/>
        <v>-5126.6217910834584</v>
      </c>
      <c r="V34" s="26">
        <f t="shared" si="34"/>
        <v>-5126.6217910834584</v>
      </c>
      <c r="W34" s="26">
        <f t="shared" si="34"/>
        <v>-5126.6217910834584</v>
      </c>
      <c r="X34" s="26">
        <f t="shared" si="34"/>
        <v>-5126.6217910834584</v>
      </c>
      <c r="Y34" s="26">
        <f t="shared" si="34"/>
        <v>-5126.6217910834584</v>
      </c>
      <c r="Z34" s="26">
        <f t="shared" si="34"/>
        <v>-5126.6217910834584</v>
      </c>
      <c r="AA34" s="26">
        <f t="shared" si="34"/>
        <v>-5126.6217910834584</v>
      </c>
      <c r="AB34" s="26">
        <f t="shared" si="34"/>
        <v>-5126.6217910834584</v>
      </c>
      <c r="AC34" s="26">
        <f t="shared" si="34"/>
        <v>-5126.6217910834584</v>
      </c>
      <c r="BI34" s="2">
        <v>27942.408134462166</v>
      </c>
    </row>
    <row r="35" spans="4:61" x14ac:dyDescent="0.35">
      <c r="D35" s="2" t="s">
        <v>265</v>
      </c>
      <c r="E35" s="26">
        <f>E34*12</f>
        <v>-61519.461493001501</v>
      </c>
      <c r="F35" s="26">
        <f t="shared" ref="F35:AC35" si="35">F34*12</f>
        <v>-61519.461493001501</v>
      </c>
      <c r="G35" s="26">
        <f t="shared" si="35"/>
        <v>-61519.461493001501</v>
      </c>
      <c r="H35" s="26">
        <f t="shared" si="35"/>
        <v>-61519.461493001501</v>
      </c>
      <c r="I35" s="26">
        <f t="shared" si="35"/>
        <v>-61519.461493001501</v>
      </c>
      <c r="J35" s="26">
        <f t="shared" si="35"/>
        <v>-61519.461493001501</v>
      </c>
      <c r="K35" s="26">
        <f t="shared" si="35"/>
        <v>-61519.461493001501</v>
      </c>
      <c r="L35" s="26">
        <f t="shared" si="35"/>
        <v>-61519.461493001501</v>
      </c>
      <c r="M35" s="26">
        <f t="shared" si="35"/>
        <v>-61519.461493001501</v>
      </c>
      <c r="N35" s="26">
        <f t="shared" si="35"/>
        <v>-61519.461493001501</v>
      </c>
      <c r="O35" s="26">
        <f t="shared" si="35"/>
        <v>-61519.461493001501</v>
      </c>
      <c r="P35" s="26">
        <f t="shared" si="35"/>
        <v>-61519.461493001501</v>
      </c>
      <c r="Q35" s="26">
        <f t="shared" si="35"/>
        <v>-61519.461493001501</v>
      </c>
      <c r="R35" s="26">
        <f t="shared" si="35"/>
        <v>-61519.461493001501</v>
      </c>
      <c r="S35" s="26">
        <f t="shared" si="35"/>
        <v>-61519.461493001501</v>
      </c>
      <c r="T35" s="26">
        <f t="shared" si="35"/>
        <v>-61519.461493001501</v>
      </c>
      <c r="U35" s="26">
        <f t="shared" si="35"/>
        <v>-61519.461493001501</v>
      </c>
      <c r="V35" s="26">
        <f t="shared" si="35"/>
        <v>-61519.461493001501</v>
      </c>
      <c r="W35" s="26">
        <f t="shared" si="35"/>
        <v>-61519.461493001501</v>
      </c>
      <c r="X35" s="26">
        <f t="shared" si="35"/>
        <v>-61519.461493001501</v>
      </c>
      <c r="Y35" s="26">
        <f t="shared" si="35"/>
        <v>-61519.461493001501</v>
      </c>
      <c r="Z35" s="26">
        <f t="shared" si="35"/>
        <v>-61519.461493001501</v>
      </c>
      <c r="AA35" s="26">
        <f t="shared" si="35"/>
        <v>-61519.461493001501</v>
      </c>
      <c r="AB35" s="26">
        <f t="shared" si="35"/>
        <v>-61519.461493001501</v>
      </c>
      <c r="AC35" s="26">
        <f t="shared" si="35"/>
        <v>-61519.461493001501</v>
      </c>
      <c r="BI35" s="2">
        <v>27942.408134462166</v>
      </c>
    </row>
    <row r="36" spans="4:61" x14ac:dyDescent="0.35">
      <c r="BI36" s="2">
        <v>27942.408134462166</v>
      </c>
    </row>
    <row r="37" spans="4:61" x14ac:dyDescent="0.35">
      <c r="D37" s="2" t="s">
        <v>205</v>
      </c>
      <c r="E37" s="27">
        <f>SUM(E35:AC35)</f>
        <v>-1537986.5373250383</v>
      </c>
      <c r="BI37" s="2">
        <v>28790.408617256035</v>
      </c>
    </row>
    <row r="38" spans="4:61" x14ac:dyDescent="0.35">
      <c r="E38" s="26"/>
      <c r="BI38" s="2">
        <v>28790.408617256035</v>
      </c>
    </row>
    <row r="39" spans="4:61" x14ac:dyDescent="0.35">
      <c r="E39" s="57">
        <f>1500000</f>
        <v>1500000</v>
      </c>
      <c r="F39" s="57">
        <f>E39/25</f>
        <v>60000</v>
      </c>
      <c r="BI39" s="2">
        <v>28790.408617256035</v>
      </c>
    </row>
    <row r="40" spans="4:61" x14ac:dyDescent="0.35">
      <c r="BI40" s="2">
        <v>28790.408617256035</v>
      </c>
    </row>
    <row r="41" spans="4:61" x14ac:dyDescent="0.35">
      <c r="BI41" s="2">
        <v>28790.408617256035</v>
      </c>
    </row>
    <row r="42" spans="4:61" x14ac:dyDescent="0.35">
      <c r="BI42" s="2">
        <v>28790.408617256035</v>
      </c>
    </row>
    <row r="43" spans="4:61" x14ac:dyDescent="0.35">
      <c r="E43" s="28"/>
      <c r="BI43" s="2">
        <v>28790.408617256035</v>
      </c>
    </row>
    <row r="44" spans="4:61" x14ac:dyDescent="0.35">
      <c r="E44" s="28"/>
      <c r="BI44" s="2">
        <v>28790.408617256035</v>
      </c>
    </row>
    <row r="45" spans="4:61" x14ac:dyDescent="0.35">
      <c r="E45" s="26"/>
      <c r="BI45" s="2">
        <v>28790.408617256035</v>
      </c>
    </row>
    <row r="46" spans="4:61" x14ac:dyDescent="0.35">
      <c r="E46" s="26"/>
      <c r="BI46" s="2">
        <v>28790.408617256035</v>
      </c>
    </row>
    <row r="47" spans="4:61" x14ac:dyDescent="0.35">
      <c r="E47" s="26"/>
      <c r="BI47" s="2">
        <v>28790.408617256035</v>
      </c>
    </row>
    <row r="48" spans="4:61" x14ac:dyDescent="0.35">
      <c r="E48" s="26"/>
      <c r="BI48" s="2">
        <v>28790.408617256035</v>
      </c>
    </row>
    <row r="49" spans="5:61" x14ac:dyDescent="0.35">
      <c r="E49" s="26"/>
      <c r="BI49" s="2">
        <v>28790.408617256035</v>
      </c>
    </row>
    <row r="50" spans="5:61" x14ac:dyDescent="0.35">
      <c r="E50" s="26"/>
      <c r="BI50" s="2">
        <v>28790.408617256035</v>
      </c>
    </row>
    <row r="51" spans="5:61" x14ac:dyDescent="0.35">
      <c r="E51" s="26"/>
      <c r="BI51" s="2">
        <v>28790.408617256035</v>
      </c>
    </row>
    <row r="52" spans="5:61" x14ac:dyDescent="0.35">
      <c r="E52" s="26"/>
      <c r="BI52" s="2">
        <v>0</v>
      </c>
    </row>
    <row r="53" spans="5:61" x14ac:dyDescent="0.35">
      <c r="E53" s="26"/>
    </row>
    <row r="54" spans="5:61" x14ac:dyDescent="0.35">
      <c r="E54" s="26"/>
    </row>
    <row r="55" spans="5:61" x14ac:dyDescent="0.35">
      <c r="E55" s="26"/>
    </row>
    <row r="56" spans="5:61" x14ac:dyDescent="0.35">
      <c r="E56" s="26"/>
    </row>
    <row r="57" spans="5:61" x14ac:dyDescent="0.35">
      <c r="E57" s="26"/>
    </row>
    <row r="58" spans="5:61" x14ac:dyDescent="0.35">
      <c r="E58" s="26"/>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4D0F5-8E8A-4958-9371-73201FAFFCDD}">
  <sheetPr>
    <tabColor theme="8" tint="0.79998168889431442"/>
  </sheetPr>
  <dimension ref="B2:T101"/>
  <sheetViews>
    <sheetView workbookViewId="0">
      <selection activeCell="J14" sqref="J14"/>
    </sheetView>
  </sheetViews>
  <sheetFormatPr defaultColWidth="8.7265625" defaultRowHeight="14.5" x14ac:dyDescent="0.35"/>
  <cols>
    <col min="1" max="2" width="8.7265625" style="2"/>
    <col min="3" max="3" width="11.26953125" style="2" customWidth="1"/>
    <col min="4" max="4" width="15.1796875" style="2" customWidth="1"/>
    <col min="5" max="5" width="12.453125" style="2" customWidth="1"/>
    <col min="6" max="7" width="20.7265625" style="2" bestFit="1" customWidth="1"/>
    <col min="8" max="13" width="8.7265625" style="2"/>
    <col min="14" max="14" width="11.26953125" style="2" customWidth="1"/>
    <col min="15" max="15" width="16.7265625" style="2" customWidth="1"/>
    <col min="16" max="16" width="16.81640625" style="2" customWidth="1"/>
    <col min="17" max="18" width="8.7265625" style="2"/>
    <col min="19" max="19" width="11.26953125" style="2" customWidth="1"/>
    <col min="20" max="16384" width="8.7265625" style="2"/>
  </cols>
  <sheetData>
    <row r="2" spans="2:20" x14ac:dyDescent="0.35">
      <c r="B2" s="4" t="s">
        <v>49</v>
      </c>
      <c r="C2" s="4" t="s">
        <v>50</v>
      </c>
      <c r="D2" s="4" t="s">
        <v>53</v>
      </c>
      <c r="E2" s="4" t="s">
        <v>61</v>
      </c>
      <c r="F2" s="4" t="s">
        <v>59</v>
      </c>
      <c r="G2" s="4" t="s">
        <v>60</v>
      </c>
      <c r="M2" s="4" t="s">
        <v>1</v>
      </c>
      <c r="N2" s="4" t="s">
        <v>50</v>
      </c>
      <c r="O2" s="4" t="s">
        <v>51</v>
      </c>
      <c r="P2" s="4" t="s">
        <v>52</v>
      </c>
      <c r="Q2" s="4" t="s">
        <v>53</v>
      </c>
      <c r="S2" s="4" t="s">
        <v>50</v>
      </c>
      <c r="T2" s="4" t="s">
        <v>54</v>
      </c>
    </row>
    <row r="3" spans="2:20" x14ac:dyDescent="0.35">
      <c r="B3" s="4">
        <v>25</v>
      </c>
      <c r="C3" s="4" t="str">
        <f>IF(B3&lt;30, "25-29 år", IF(B3&lt;35, "30-34 år", IF(B3&lt;40, "35-39 år", IF(B3&lt;45, "40-44 år", IF(B3&lt;50, "45-49 år", IF(B3&lt;55, "50-54 år", IF(B3&lt;60, "55-59 år", IF(B3&lt;65, "60-64 år", "65+ år"))))))))</f>
        <v>25-29 år</v>
      </c>
      <c r="D3" s="13">
        <f>_xlfn.XLOOKUP(C3,S:S,T:T)</f>
        <v>0.51651947969596046</v>
      </c>
      <c r="E3" s="4" t="str">
        <f ca="1">IF(OR(JobHopping[[#This Row],[Age]]=25,JobHopping[[#This Row],[Age]]&gt;69),"N",IF(AND(E1="N",E2="N", RAND()&lt;=D3), "Y", "N"))</f>
        <v>N</v>
      </c>
      <c r="F3" s="4" t="s">
        <v>0</v>
      </c>
      <c r="G3" s="4" t="s">
        <v>0</v>
      </c>
      <c r="M3" s="4">
        <v>2013</v>
      </c>
      <c r="N3" s="4" t="s">
        <v>13</v>
      </c>
      <c r="O3" s="4">
        <f>_xlfn.XLOOKUP(M3&amp;"-"&amp;N3,'Djøf Finance Workers'!D:D,'Djøf Finance Workers'!C:C,0,1)</f>
        <v>6202</v>
      </c>
      <c r="P3" s="4">
        <f>_xlfn.XLOOKUP(M3&amp;"-"&amp;N3,'Djøf Finance Hoppers'!D:D,'Djøf Finance Hoppers'!C:C,0,1)</f>
        <v>2524</v>
      </c>
      <c r="Q3" s="13">
        <f>IF(O3&gt;0, P3/O3, 0)</f>
        <v>0.40696549500161239</v>
      </c>
      <c r="S3" s="4" t="s">
        <v>13</v>
      </c>
      <c r="T3" s="4">
        <f>SUMIFS(Q:Q,N:N,S3)/(MAX($M$3:$M$101)-MIN($M$3:$M$101))</f>
        <v>0.51651947969596046</v>
      </c>
    </row>
    <row r="4" spans="2:20" x14ac:dyDescent="0.35">
      <c r="B4" s="4">
        <v>26</v>
      </c>
      <c r="C4" s="4" t="str">
        <f>IF(B4&lt;30, "25-29 år", IF(B4&lt;35, "30-34 år", IF(B4&lt;40, "35-39 år", IF(B4&lt;45, "40-44 år", IF(B4&lt;50, "45-49 år", IF(B4&lt;55, "50-54 år", IF(B4&lt;60, "55-59 år", IF(B4&lt;65, "60-64 år", "65+ år"))))))))</f>
        <v>25-29 år</v>
      </c>
      <c r="D4" s="13">
        <f t="shared" ref="D4:D34" si="0">_xlfn.XLOOKUP(C4,S:S,T:T)</f>
        <v>0.51651947969596046</v>
      </c>
      <c r="E4" s="4" t="str">
        <f ca="1">IF(OR(JobHopping[[#This Row],[Age]]=25,JobHopping[[#This Row],[Age]]&gt;69),"N",IF(AND(E2="N",E3="N", RAND()&lt;=D4), "Y", "N"))</f>
        <v>N</v>
      </c>
      <c r="F4" s="4" t="s">
        <v>0</v>
      </c>
      <c r="G4" s="4" t="s">
        <v>0</v>
      </c>
      <c r="M4" s="4">
        <v>2013</v>
      </c>
      <c r="N4" s="4" t="s">
        <v>14</v>
      </c>
      <c r="O4" s="4">
        <f>_xlfn.XLOOKUP(M4&amp;"-"&amp;N4,'Djøf Finance Workers'!D:D,'Djøf Finance Workers'!C:C,0,1)</f>
        <v>8560</v>
      </c>
      <c r="P4" s="4">
        <f>_xlfn.XLOOKUP(M4&amp;"-"&amp;N4,'Djøf Finance Hoppers'!D:D,'Djøf Finance Hoppers'!C:C,0,1)</f>
        <v>2176</v>
      </c>
      <c r="Q4" s="13">
        <f t="shared" ref="Q4:Q66" si="1">IF(O4&gt;0, P4/O4, 0)</f>
        <v>0.25420560747663551</v>
      </c>
      <c r="S4" s="4" t="s">
        <v>14</v>
      </c>
      <c r="T4" s="4">
        <f t="shared" ref="T4:T11" si="2">SUMIFS(Q:Q,N:N,S4)/(MAX($M$3:$M$101)-MIN($M$3:$M$101))</f>
        <v>0.33908020385851029</v>
      </c>
    </row>
    <row r="5" spans="2:20" x14ac:dyDescent="0.35">
      <c r="B5" s="4">
        <v>27</v>
      </c>
      <c r="C5" s="4" t="str">
        <f>IF(B5&lt;30, "25-29 år", IF(B5&lt;35, "30-34 år", IF(B5&lt;40, "35-39 år", IF(B5&lt;45, "40-44 år", IF(B5&lt;50, "45-49 år", IF(B5&lt;55, "50-54 år", IF(B5&lt;60, "55-59 år", IF(B5&lt;65, "60-64 år", "65+ år"))))))))</f>
        <v>25-29 år</v>
      </c>
      <c r="D5" s="13">
        <f t="shared" si="0"/>
        <v>0.51651947969596046</v>
      </c>
      <c r="E5" s="4" t="str">
        <f ca="1">IF(OR(JobHopping[[#This Row],[Age]]=25,JobHopping[[#This Row],[Age]]&gt;69),"N",IF(AND(E3="N",E4="N", RAND()&lt;=D5), "Y", "N"))</f>
        <v>N</v>
      </c>
      <c r="F5" s="4" t="s">
        <v>58</v>
      </c>
      <c r="G5" s="4" t="s">
        <v>58</v>
      </c>
      <c r="M5" s="4">
        <v>2013</v>
      </c>
      <c r="N5" s="4" t="s">
        <v>15</v>
      </c>
      <c r="O5" s="4">
        <f>_xlfn.XLOOKUP(M5&amp;"-"&amp;N5,'Djøf Finance Workers'!D:D,'Djøf Finance Workers'!C:C,0,1)</f>
        <v>9790</v>
      </c>
      <c r="P5" s="4">
        <f>_xlfn.XLOOKUP(M5&amp;"-"&amp;N5,'Djøf Finance Hoppers'!D:D,'Djøf Finance Hoppers'!C:C,0,1)</f>
        <v>1896</v>
      </c>
      <c r="Q5" s="13">
        <f t="shared" si="1"/>
        <v>0.19366700715015323</v>
      </c>
      <c r="S5" s="4" t="s">
        <v>15</v>
      </c>
      <c r="T5" s="4">
        <f t="shared" si="2"/>
        <v>0.2624026948424838</v>
      </c>
    </row>
    <row r="6" spans="2:20" x14ac:dyDescent="0.35">
      <c r="B6" s="4">
        <v>28</v>
      </c>
      <c r="C6" s="4" t="str">
        <f t="shared" ref="C6:C48" si="3">IF(B6&lt;30, "25-29 år", IF(B6&lt;35, "30-34 år", IF(B6&lt;40, "35-39 år", IF(B6&lt;45, "40-44 år", IF(B6&lt;50, "45-49 år", IF(B6&lt;55, "50-54 år", IF(B6&lt;60, "55-59 år", IF(B6&lt;65, "60-64 år", "65+ år"))))))))</f>
        <v>25-29 år</v>
      </c>
      <c r="D6" s="13">
        <f t="shared" si="0"/>
        <v>0.51651947969596046</v>
      </c>
      <c r="E6" s="4" t="str">
        <f ca="1">IF(OR(JobHopping[[#This Row],[Age]]=25,JobHopping[[#This Row],[Age]]&gt;69),"N",IF(AND(E4="N",E5="N", RAND()&lt;=D6), "Y", "N"))</f>
        <v>Y</v>
      </c>
      <c r="F6" s="4" t="s">
        <v>0</v>
      </c>
      <c r="G6" s="4" t="s">
        <v>0</v>
      </c>
      <c r="M6" s="4">
        <v>2013</v>
      </c>
      <c r="N6" s="4" t="s">
        <v>16</v>
      </c>
      <c r="O6" s="4">
        <f>_xlfn.XLOOKUP(M6&amp;"-"&amp;N6,'Djøf Finance Workers'!D:D,'Djøf Finance Workers'!C:C,0,1)</f>
        <v>9383</v>
      </c>
      <c r="P6" s="4">
        <f>_xlfn.XLOOKUP(M6&amp;"-"&amp;N6,'Djøf Finance Hoppers'!D:D,'Djøf Finance Hoppers'!C:C,0,1)</f>
        <v>1579</v>
      </c>
      <c r="Q6" s="13">
        <f t="shared" si="1"/>
        <v>0.16828306511776617</v>
      </c>
      <c r="S6" s="4" t="s">
        <v>16</v>
      </c>
      <c r="T6" s="4">
        <f t="shared" si="2"/>
        <v>0.2213187304833609</v>
      </c>
    </row>
    <row r="7" spans="2:20" x14ac:dyDescent="0.35">
      <c r="B7" s="4">
        <v>29</v>
      </c>
      <c r="C7" s="4" t="str">
        <f t="shared" si="3"/>
        <v>25-29 år</v>
      </c>
      <c r="D7" s="13">
        <f t="shared" si="0"/>
        <v>0.51651947969596046</v>
      </c>
      <c r="E7" s="4" t="str">
        <f ca="1">IF(OR(JobHopping[[#This Row],[Age]]=25,JobHopping[[#This Row],[Age]]&gt;69),"N",IF(AND(E5="N",E6="N", RAND()&lt;=D7), "Y", "N"))</f>
        <v>N</v>
      </c>
      <c r="F7" s="4" t="s">
        <v>0</v>
      </c>
      <c r="G7" s="4" t="s">
        <v>0</v>
      </c>
      <c r="M7" s="4">
        <v>2013</v>
      </c>
      <c r="N7" s="4" t="s">
        <v>17</v>
      </c>
      <c r="O7" s="4">
        <f>_xlfn.XLOOKUP(M7&amp;"-"&amp;N7,'Djøf Finance Workers'!D:D,'Djøf Finance Workers'!C:C,0,1)</f>
        <v>12762</v>
      </c>
      <c r="P7" s="4">
        <f>_xlfn.XLOOKUP(M7&amp;"-"&amp;N7,'Djøf Finance Hoppers'!D:D,'Djøf Finance Hoppers'!C:C,0,1)</f>
        <v>1915</v>
      </c>
      <c r="Q7" s="13">
        <f t="shared" si="1"/>
        <v>0.15005485033693777</v>
      </c>
      <c r="S7" s="4" t="s">
        <v>17</v>
      </c>
      <c r="T7" s="4">
        <f t="shared" si="2"/>
        <v>0.19929479981866399</v>
      </c>
    </row>
    <row r="8" spans="2:20" x14ac:dyDescent="0.35">
      <c r="B8" s="4">
        <v>30</v>
      </c>
      <c r="C8" s="4" t="str">
        <f t="shared" si="3"/>
        <v>30-34 år</v>
      </c>
      <c r="D8" s="13">
        <f t="shared" si="0"/>
        <v>0.33908020385851029</v>
      </c>
      <c r="E8" s="4" t="str">
        <f ca="1">IF(OR(JobHopping[[#This Row],[Age]]=25,JobHopping[[#This Row],[Age]]&gt;69),"N",IF(AND(E6="N",E7="N", RAND()&lt;=D8), "Y", "N"))</f>
        <v>N</v>
      </c>
      <c r="F8" s="4" t="s">
        <v>0</v>
      </c>
      <c r="G8" s="4" t="s">
        <v>0</v>
      </c>
      <c r="M8" s="4">
        <v>2013</v>
      </c>
      <c r="N8" s="4" t="s">
        <v>18</v>
      </c>
      <c r="O8" s="4">
        <f>_xlfn.XLOOKUP(M8&amp;"-"&amp;N8,'Djøf Finance Workers'!D:D,'Djøf Finance Workers'!C:C,0,1)</f>
        <v>10587</v>
      </c>
      <c r="P8" s="4">
        <f>_xlfn.XLOOKUP(M8&amp;"-"&amp;N8,'Djøf Finance Hoppers'!D:D,'Djøf Finance Hoppers'!C:C,0,1)</f>
        <v>1462</v>
      </c>
      <c r="Q8" s="13">
        <f t="shared" si="1"/>
        <v>0.13809388873146311</v>
      </c>
      <c r="S8" s="4" t="s">
        <v>18</v>
      </c>
      <c r="T8" s="4">
        <f t="shared" si="2"/>
        <v>0.17668929185764676</v>
      </c>
    </row>
    <row r="9" spans="2:20" x14ac:dyDescent="0.35">
      <c r="B9" s="4">
        <v>31</v>
      </c>
      <c r="C9" s="4" t="str">
        <f t="shared" si="3"/>
        <v>30-34 år</v>
      </c>
      <c r="D9" s="13">
        <f t="shared" si="0"/>
        <v>0.33908020385851029</v>
      </c>
      <c r="E9" s="4" t="str">
        <f ca="1">IF(OR(JobHopping[[#This Row],[Age]]=25,JobHopping[[#This Row],[Age]]&gt;69),"N",IF(AND(E7="N",E8="N", RAND()&lt;=D9), "Y", "N"))</f>
        <v>N</v>
      </c>
      <c r="F9" s="4" t="s">
        <v>58</v>
      </c>
      <c r="G9" s="4" t="s">
        <v>58</v>
      </c>
      <c r="M9" s="4">
        <v>2013</v>
      </c>
      <c r="N9" s="4" t="s">
        <v>19</v>
      </c>
      <c r="O9" s="4">
        <f>_xlfn.XLOOKUP(M9&amp;"-"&amp;N9,'Djøf Finance Workers'!D:D,'Djøf Finance Workers'!C:C,0,1)</f>
        <v>8811</v>
      </c>
      <c r="P9" s="4">
        <f>_xlfn.XLOOKUP(M9&amp;"-"&amp;N9,'Djøf Finance Hoppers'!D:D,'Djøf Finance Hoppers'!C:C,0,1)</f>
        <v>1227</v>
      </c>
      <c r="Q9" s="13">
        <f t="shared" si="1"/>
        <v>0.13925774599931903</v>
      </c>
      <c r="S9" s="4" t="s">
        <v>19</v>
      </c>
      <c r="T9" s="4">
        <f t="shared" si="2"/>
        <v>0.15515674597479437</v>
      </c>
    </row>
    <row r="10" spans="2:20" x14ac:dyDescent="0.35">
      <c r="B10" s="4">
        <v>32</v>
      </c>
      <c r="C10" s="4" t="str">
        <f t="shared" si="3"/>
        <v>30-34 år</v>
      </c>
      <c r="D10" s="13">
        <f t="shared" si="0"/>
        <v>0.33908020385851029</v>
      </c>
      <c r="E10" s="4" t="str">
        <f ca="1">IF(OR(JobHopping[[#This Row],[Age]]=25,JobHopping[[#This Row],[Age]]&gt;69),"N",IF(AND(E8="N",E9="N", RAND()&lt;=D10), "Y", "N"))</f>
        <v>Y</v>
      </c>
      <c r="F10" s="4" t="s">
        <v>0</v>
      </c>
      <c r="G10" s="4" t="s">
        <v>0</v>
      </c>
      <c r="M10" s="4">
        <v>2013</v>
      </c>
      <c r="N10" s="4" t="s">
        <v>20</v>
      </c>
      <c r="O10" s="4">
        <f>_xlfn.XLOOKUP(M10&amp;"-"&amp;N10,'Djøf Finance Workers'!D:D,'Djøf Finance Workers'!C:C,0,1)</f>
        <v>5072</v>
      </c>
      <c r="P10" s="4">
        <f>_xlfn.XLOOKUP(M10&amp;"-"&amp;N10,'Djøf Finance Hoppers'!D:D,'Djøf Finance Hoppers'!C:C,0,1)</f>
        <v>667</v>
      </c>
      <c r="Q10" s="13">
        <f t="shared" si="1"/>
        <v>0.13150630914826497</v>
      </c>
      <c r="S10" s="4" t="s">
        <v>20</v>
      </c>
      <c r="T10" s="4">
        <f t="shared" si="2"/>
        <v>0.13997311637990331</v>
      </c>
    </row>
    <row r="11" spans="2:20" x14ac:dyDescent="0.35">
      <c r="B11" s="4">
        <v>33</v>
      </c>
      <c r="C11" s="4" t="str">
        <f t="shared" si="3"/>
        <v>30-34 år</v>
      </c>
      <c r="D11" s="13">
        <f t="shared" si="0"/>
        <v>0.33908020385851029</v>
      </c>
      <c r="E11" s="4" t="str">
        <f ca="1">IF(OR(JobHopping[[#This Row],[Age]]=25,JobHopping[[#This Row],[Age]]&gt;69),"N",IF(AND(E9="N",E10="N", RAND()&lt;=D11), "Y", "N"))</f>
        <v>N</v>
      </c>
      <c r="F11" s="4" t="s">
        <v>0</v>
      </c>
      <c r="G11" s="4" t="s">
        <v>0</v>
      </c>
      <c r="M11" s="4">
        <v>2013</v>
      </c>
      <c r="N11" s="4" t="s">
        <v>21</v>
      </c>
      <c r="O11" s="4">
        <f>_xlfn.XLOOKUP(M11&amp;"-"&amp;N11,'Djøf Finance Workers'!D:D,'Djøf Finance Workers'!C:C,0,1)</f>
        <v>1539</v>
      </c>
      <c r="P11" s="4">
        <f>_xlfn.XLOOKUP(M11&amp;"-"&amp;N11,'Djøf Finance Hoppers'!D:D,'Djøf Finance Hoppers'!C:C,0,1)</f>
        <v>224</v>
      </c>
      <c r="Q11" s="13">
        <f t="shared" si="1"/>
        <v>0.14554905782975958</v>
      </c>
      <c r="S11" s="4" t="s">
        <v>21</v>
      </c>
      <c r="T11" s="4">
        <f t="shared" si="2"/>
        <v>0.11691873000664299</v>
      </c>
    </row>
    <row r="12" spans="2:20" x14ac:dyDescent="0.35">
      <c r="B12" s="4">
        <v>34</v>
      </c>
      <c r="C12" s="4" t="str">
        <f t="shared" si="3"/>
        <v>30-34 år</v>
      </c>
      <c r="D12" s="13">
        <f t="shared" si="0"/>
        <v>0.33908020385851029</v>
      </c>
      <c r="E12" s="4" t="str">
        <f ca="1">IF(OR(JobHopping[[#This Row],[Age]]=25,JobHopping[[#This Row],[Age]]&gt;69),"N",IF(AND(E10="N",E11="N", RAND()&lt;=D12), "Y", "N"))</f>
        <v>N</v>
      </c>
      <c r="F12" s="4" t="s">
        <v>0</v>
      </c>
      <c r="G12" s="4" t="s">
        <v>0</v>
      </c>
      <c r="M12" s="4">
        <v>2014</v>
      </c>
      <c r="N12" s="4" t="s">
        <v>13</v>
      </c>
      <c r="O12" s="4">
        <f>_xlfn.XLOOKUP(M12&amp;"-"&amp;N12,'Djøf Finance Workers'!D:D,'Djøf Finance Workers'!C:C,0,1)</f>
        <v>6041</v>
      </c>
      <c r="P12" s="4">
        <f>_xlfn.XLOOKUP(M12&amp;"-"&amp;N12,'Djøf Finance Hoppers'!D:D,'Djøf Finance Hoppers'!C:C,0,1)</f>
        <v>2521</v>
      </c>
      <c r="Q12" s="13">
        <f t="shared" si="1"/>
        <v>0.41731501407051813</v>
      </c>
    </row>
    <row r="13" spans="2:20" x14ac:dyDescent="0.35">
      <c r="B13" s="4">
        <v>35</v>
      </c>
      <c r="C13" s="4" t="str">
        <f t="shared" si="3"/>
        <v>35-39 år</v>
      </c>
      <c r="D13" s="13">
        <f t="shared" si="0"/>
        <v>0.2624026948424838</v>
      </c>
      <c r="E13" s="4" t="str">
        <f ca="1">IF(OR(JobHopping[[#This Row],[Age]]=25,JobHopping[[#This Row],[Age]]&gt;69),"N",IF(AND(E11="N",E12="N", RAND()&lt;=D13), "Y", "N"))</f>
        <v>N</v>
      </c>
      <c r="F13" s="4" t="s">
        <v>58</v>
      </c>
      <c r="G13" s="4" t="s">
        <v>58</v>
      </c>
      <c r="M13" s="4">
        <v>2014</v>
      </c>
      <c r="N13" s="4" t="s">
        <v>14</v>
      </c>
      <c r="O13" s="4">
        <f>_xlfn.XLOOKUP(M13&amp;"-"&amp;N13,'Djøf Finance Workers'!D:D,'Djøf Finance Workers'!C:C,0,1)</f>
        <v>8203</v>
      </c>
      <c r="P13" s="4">
        <f>_xlfn.XLOOKUP(M13&amp;"-"&amp;N13,'Djøf Finance Hoppers'!D:D,'Djøf Finance Hoppers'!C:C,0,1)</f>
        <v>2178</v>
      </c>
      <c r="Q13" s="13">
        <f t="shared" si="1"/>
        <v>0.26551261733512127</v>
      </c>
    </row>
    <row r="14" spans="2:20" x14ac:dyDescent="0.35">
      <c r="B14" s="4">
        <v>36</v>
      </c>
      <c r="C14" s="4" t="str">
        <f t="shared" si="3"/>
        <v>35-39 år</v>
      </c>
      <c r="D14" s="13">
        <f t="shared" si="0"/>
        <v>0.2624026948424838</v>
      </c>
      <c r="E14" s="4" t="str">
        <f ca="1">IF(OR(JobHopping[[#This Row],[Age]]=25,JobHopping[[#This Row],[Age]]&gt;69),"N",IF(AND(E12="N",E13="N", RAND()&lt;=D14), "Y", "N"))</f>
        <v>N</v>
      </c>
      <c r="F14" s="4" t="s">
        <v>0</v>
      </c>
      <c r="G14" s="4" t="s">
        <v>0</v>
      </c>
      <c r="M14" s="4">
        <v>2014</v>
      </c>
      <c r="N14" s="4" t="s">
        <v>15</v>
      </c>
      <c r="O14" s="4">
        <f>_xlfn.XLOOKUP(M14&amp;"-"&amp;N14,'Djøf Finance Workers'!D:D,'Djøf Finance Workers'!C:C,0,1)</f>
        <v>9972</v>
      </c>
      <c r="P14" s="4">
        <f>_xlfn.XLOOKUP(M14&amp;"-"&amp;N14,'Djøf Finance Hoppers'!D:D,'Djøf Finance Hoppers'!C:C,0,1)</f>
        <v>2066</v>
      </c>
      <c r="Q14" s="13">
        <f t="shared" si="1"/>
        <v>0.20718010429201764</v>
      </c>
    </row>
    <row r="15" spans="2:20" x14ac:dyDescent="0.35">
      <c r="B15" s="4">
        <v>37</v>
      </c>
      <c r="C15" s="4" t="str">
        <f t="shared" si="3"/>
        <v>35-39 år</v>
      </c>
      <c r="D15" s="13">
        <f t="shared" si="0"/>
        <v>0.2624026948424838</v>
      </c>
      <c r="E15" s="4" t="str">
        <f ca="1">IF(OR(JobHopping[[#This Row],[Age]]=25,JobHopping[[#This Row],[Age]]&gt;69),"N",IF(AND(E13="N",E14="N", RAND()&lt;=D15), "Y", "N"))</f>
        <v>Y</v>
      </c>
      <c r="F15" s="4" t="s">
        <v>0</v>
      </c>
      <c r="G15" s="4" t="s">
        <v>0</v>
      </c>
      <c r="M15" s="4">
        <v>2014</v>
      </c>
      <c r="N15" s="4" t="s">
        <v>16</v>
      </c>
      <c r="O15" s="4">
        <f>_xlfn.XLOOKUP(M15&amp;"-"&amp;N15,'Djøf Finance Workers'!D:D,'Djøf Finance Workers'!C:C,0,1)</f>
        <v>9409</v>
      </c>
      <c r="P15" s="4">
        <f>_xlfn.XLOOKUP(M15&amp;"-"&amp;N15,'Djøf Finance Hoppers'!D:D,'Djøf Finance Hoppers'!C:C,0,1)</f>
        <v>1647</v>
      </c>
      <c r="Q15" s="13">
        <f t="shared" si="1"/>
        <v>0.17504516951854607</v>
      </c>
    </row>
    <row r="16" spans="2:20" x14ac:dyDescent="0.35">
      <c r="B16" s="4">
        <v>38</v>
      </c>
      <c r="C16" s="4" t="str">
        <f t="shared" si="3"/>
        <v>35-39 år</v>
      </c>
      <c r="D16" s="13">
        <f t="shared" si="0"/>
        <v>0.2624026948424838</v>
      </c>
      <c r="E16" s="4" t="str">
        <f ca="1">IF(OR(JobHopping[[#This Row],[Age]]=25,JobHopping[[#This Row],[Age]]&gt;69),"N",IF(AND(E14="N",E15="N", RAND()&lt;=D16), "Y", "N"))</f>
        <v>N</v>
      </c>
      <c r="F16" s="4" t="s">
        <v>58</v>
      </c>
      <c r="G16" s="4" t="s">
        <v>58</v>
      </c>
      <c r="M16" s="4">
        <v>2014</v>
      </c>
      <c r="N16" s="4" t="s">
        <v>17</v>
      </c>
      <c r="O16" s="4">
        <f>_xlfn.XLOOKUP(M16&amp;"-"&amp;N16,'Djøf Finance Workers'!D:D,'Djøf Finance Workers'!C:C,0,1)</f>
        <v>12377</v>
      </c>
      <c r="P16" s="4">
        <f>_xlfn.XLOOKUP(M16&amp;"-"&amp;N16,'Djøf Finance Hoppers'!D:D,'Djøf Finance Hoppers'!C:C,0,1)</f>
        <v>1953</v>
      </c>
      <c r="Q16" s="13">
        <f t="shared" si="1"/>
        <v>0.15779267997091379</v>
      </c>
    </row>
    <row r="17" spans="2:17" x14ac:dyDescent="0.35">
      <c r="B17" s="4">
        <v>39</v>
      </c>
      <c r="C17" s="4" t="str">
        <f t="shared" si="3"/>
        <v>35-39 år</v>
      </c>
      <c r="D17" s="13">
        <f t="shared" si="0"/>
        <v>0.2624026948424838</v>
      </c>
      <c r="E17" s="4" t="str">
        <f ca="1">IF(OR(JobHopping[[#This Row],[Age]]=25,JobHopping[[#This Row],[Age]]&gt;69),"N",IF(AND(E15="N",E16="N", RAND()&lt;=D17), "Y", "N"))</f>
        <v>N</v>
      </c>
      <c r="F17" s="4" t="s">
        <v>0</v>
      </c>
      <c r="G17" s="4" t="s">
        <v>0</v>
      </c>
      <c r="M17" s="4">
        <v>2014</v>
      </c>
      <c r="N17" s="4" t="s">
        <v>18</v>
      </c>
      <c r="O17" s="4">
        <f>_xlfn.XLOOKUP(M17&amp;"-"&amp;N17,'Djøf Finance Workers'!D:D,'Djøf Finance Workers'!C:C,0,1)</f>
        <v>10828</v>
      </c>
      <c r="P17" s="4">
        <f>_xlfn.XLOOKUP(M17&amp;"-"&amp;N17,'Djøf Finance Hoppers'!D:D,'Djøf Finance Hoppers'!C:C,0,1)</f>
        <v>1636</v>
      </c>
      <c r="Q17" s="13">
        <f t="shared" si="1"/>
        <v>0.15108976727004064</v>
      </c>
    </row>
    <row r="18" spans="2:17" x14ac:dyDescent="0.35">
      <c r="B18" s="4">
        <v>40</v>
      </c>
      <c r="C18" s="4" t="str">
        <f t="shared" si="3"/>
        <v>40-44 år</v>
      </c>
      <c r="D18" s="13">
        <f t="shared" si="0"/>
        <v>0.2213187304833609</v>
      </c>
      <c r="E18" s="4" t="str">
        <f ca="1">IF(OR(JobHopping[[#This Row],[Age]]=25,JobHopping[[#This Row],[Age]]&gt;69),"N",IF(AND(E16="N",E17="N", RAND()&lt;=D18), "Y", "N"))</f>
        <v>Y</v>
      </c>
      <c r="F18" s="4" t="s">
        <v>0</v>
      </c>
      <c r="G18" s="4" t="s">
        <v>0</v>
      </c>
      <c r="M18" s="4">
        <v>2014</v>
      </c>
      <c r="N18" s="4" t="s">
        <v>19</v>
      </c>
      <c r="O18" s="4">
        <f>_xlfn.XLOOKUP(M18&amp;"-"&amp;N18,'Djøf Finance Workers'!D:D,'Djøf Finance Workers'!C:C,0,1)</f>
        <v>8888</v>
      </c>
      <c r="P18" s="4">
        <f>_xlfn.XLOOKUP(M18&amp;"-"&amp;N18,'Djøf Finance Hoppers'!D:D,'Djøf Finance Hoppers'!C:C,0,1)</f>
        <v>1231</v>
      </c>
      <c r="Q18" s="13">
        <f t="shared" si="1"/>
        <v>0.1385013501350135</v>
      </c>
    </row>
    <row r="19" spans="2:17" x14ac:dyDescent="0.35">
      <c r="B19" s="4">
        <v>41</v>
      </c>
      <c r="C19" s="4" t="str">
        <f t="shared" si="3"/>
        <v>40-44 år</v>
      </c>
      <c r="D19" s="13">
        <f t="shared" si="0"/>
        <v>0.2213187304833609</v>
      </c>
      <c r="E19" s="4" t="str">
        <f ca="1">IF(OR(JobHopping[[#This Row],[Age]]=25,JobHopping[[#This Row],[Age]]&gt;69),"N",IF(AND(E17="N",E18="N", RAND()&lt;=D19), "Y", "N"))</f>
        <v>N</v>
      </c>
      <c r="F19" s="4" t="s">
        <v>0</v>
      </c>
      <c r="G19" s="4" t="s">
        <v>0</v>
      </c>
      <c r="M19" s="4">
        <v>2014</v>
      </c>
      <c r="N19" s="4" t="s">
        <v>20</v>
      </c>
      <c r="O19" s="4">
        <f>_xlfn.XLOOKUP(M19&amp;"-"&amp;N19,'Djøf Finance Workers'!D:D,'Djøf Finance Workers'!C:C,0,1)</f>
        <v>5141</v>
      </c>
      <c r="P19" s="4">
        <f>_xlfn.XLOOKUP(M19&amp;"-"&amp;N19,'Djøf Finance Hoppers'!D:D,'Djøf Finance Hoppers'!C:C,0,1)</f>
        <v>706</v>
      </c>
      <c r="Q19" s="13">
        <f t="shared" si="1"/>
        <v>0.13732736821630034</v>
      </c>
    </row>
    <row r="20" spans="2:17" x14ac:dyDescent="0.35">
      <c r="B20" s="4">
        <v>42</v>
      </c>
      <c r="C20" s="4" t="str">
        <f t="shared" si="3"/>
        <v>40-44 år</v>
      </c>
      <c r="D20" s="13">
        <f t="shared" si="0"/>
        <v>0.2213187304833609</v>
      </c>
      <c r="E20" s="4" t="str">
        <f ca="1">IF(OR(JobHopping[[#This Row],[Age]]=25,JobHopping[[#This Row],[Age]]&gt;69),"N",IF(AND(E18="N",E19="N", RAND()&lt;=D20), "Y", "N"))</f>
        <v>N</v>
      </c>
      <c r="F20" s="4" t="s">
        <v>0</v>
      </c>
      <c r="G20" s="4" t="s">
        <v>0</v>
      </c>
      <c r="M20" s="4">
        <v>2014</v>
      </c>
      <c r="N20" s="4" t="s">
        <v>21</v>
      </c>
      <c r="O20" s="4">
        <f>_xlfn.XLOOKUP(M20&amp;"-"&amp;N20,'Djøf Finance Workers'!D:D,'Djøf Finance Workers'!C:C,0,1)</f>
        <v>1600</v>
      </c>
      <c r="P20" s="4">
        <f>_xlfn.XLOOKUP(M20&amp;"-"&amp;N20,'Djøf Finance Hoppers'!D:D,'Djøf Finance Hoppers'!C:C,0,1)</f>
        <v>204</v>
      </c>
      <c r="Q20" s="13">
        <f t="shared" si="1"/>
        <v>0.1275</v>
      </c>
    </row>
    <row r="21" spans="2:17" x14ac:dyDescent="0.35">
      <c r="B21" s="4">
        <v>43</v>
      </c>
      <c r="C21" s="4" t="str">
        <f t="shared" si="3"/>
        <v>40-44 år</v>
      </c>
      <c r="D21" s="13">
        <f t="shared" si="0"/>
        <v>0.2213187304833609</v>
      </c>
      <c r="E21" s="4" t="str">
        <f ca="1">IF(OR(JobHopping[[#This Row],[Age]]=25,JobHopping[[#This Row],[Age]]&gt;69),"N",IF(AND(E19="N",E20="N", RAND()&lt;=D21), "Y", "N"))</f>
        <v>N</v>
      </c>
      <c r="F21" s="4" t="s">
        <v>58</v>
      </c>
      <c r="G21" s="4" t="s">
        <v>58</v>
      </c>
      <c r="M21" s="4">
        <v>2015</v>
      </c>
      <c r="N21" s="4" t="s">
        <v>13</v>
      </c>
      <c r="O21" s="4">
        <f>_xlfn.XLOOKUP(M21&amp;"-"&amp;N21,'Djøf Finance Workers'!D:D,'Djøf Finance Workers'!C:C,0,1)</f>
        <v>5834</v>
      </c>
      <c r="P21" s="4">
        <f>_xlfn.XLOOKUP(M21&amp;"-"&amp;N21,'Djøf Finance Hoppers'!D:D,'Djøf Finance Hoppers'!C:C,0,1)</f>
        <v>2715</v>
      </c>
      <c r="Q21" s="13">
        <f t="shared" si="1"/>
        <v>0.46537538567020914</v>
      </c>
    </row>
    <row r="22" spans="2:17" x14ac:dyDescent="0.35">
      <c r="B22" s="4">
        <v>44</v>
      </c>
      <c r="C22" s="4" t="str">
        <f t="shared" si="3"/>
        <v>40-44 år</v>
      </c>
      <c r="D22" s="13">
        <f t="shared" si="0"/>
        <v>0.2213187304833609</v>
      </c>
      <c r="E22" s="4" t="str">
        <f ca="1">IF(OR(JobHopping[[#This Row],[Age]]=25,JobHopping[[#This Row],[Age]]&gt;69),"N",IF(AND(E20="N",E21="N", RAND()&lt;=D22), "Y", "N"))</f>
        <v>N</v>
      </c>
      <c r="F22" s="4" t="s">
        <v>0</v>
      </c>
      <c r="G22" s="4" t="s">
        <v>0</v>
      </c>
      <c r="M22" s="4">
        <v>2015</v>
      </c>
      <c r="N22" s="4" t="s">
        <v>14</v>
      </c>
      <c r="O22" s="4">
        <f>_xlfn.XLOOKUP(M22&amp;"-"&amp;N22,'Djøf Finance Workers'!D:D,'Djøf Finance Workers'!C:C,0,1)</f>
        <v>7834</v>
      </c>
      <c r="P22" s="4">
        <f>_xlfn.XLOOKUP(M22&amp;"-"&amp;N22,'Djøf Finance Hoppers'!D:D,'Djøf Finance Hoppers'!C:C,0,1)</f>
        <v>2473</v>
      </c>
      <c r="Q22" s="13">
        <f t="shared" si="1"/>
        <v>0.31567526167985704</v>
      </c>
    </row>
    <row r="23" spans="2:17" x14ac:dyDescent="0.35">
      <c r="B23" s="4">
        <v>45</v>
      </c>
      <c r="C23" s="4" t="str">
        <f t="shared" si="3"/>
        <v>45-49 år</v>
      </c>
      <c r="D23" s="13">
        <f t="shared" si="0"/>
        <v>0.19929479981866399</v>
      </c>
      <c r="E23" s="4" t="str">
        <f ca="1">IF(OR(JobHopping[[#This Row],[Age]]=25,JobHopping[[#This Row],[Age]]&gt;69),"N",IF(AND(E21="N",E22="N", RAND()&lt;=D23), "Y", "N"))</f>
        <v>Y</v>
      </c>
      <c r="F23" s="4" t="s">
        <v>0</v>
      </c>
      <c r="G23" s="4" t="s">
        <v>0</v>
      </c>
      <c r="M23" s="4">
        <v>2015</v>
      </c>
      <c r="N23" s="4" t="s">
        <v>15</v>
      </c>
      <c r="O23" s="4">
        <f>_xlfn.XLOOKUP(M23&amp;"-"&amp;N23,'Djøf Finance Workers'!D:D,'Djøf Finance Workers'!C:C,0,1)</f>
        <v>9897</v>
      </c>
      <c r="P23" s="4">
        <f>_xlfn.XLOOKUP(M23&amp;"-"&amp;N23,'Djøf Finance Hoppers'!D:D,'Djøf Finance Hoppers'!C:C,0,1)</f>
        <v>2378</v>
      </c>
      <c r="Q23" s="13">
        <f t="shared" si="1"/>
        <v>0.24027483075679498</v>
      </c>
    </row>
    <row r="24" spans="2:17" x14ac:dyDescent="0.35">
      <c r="B24" s="4">
        <v>46</v>
      </c>
      <c r="C24" s="4" t="str">
        <f t="shared" si="3"/>
        <v>45-49 år</v>
      </c>
      <c r="D24" s="13">
        <f t="shared" si="0"/>
        <v>0.19929479981866399</v>
      </c>
      <c r="E24" s="4" t="str">
        <f ca="1">IF(OR(JobHopping[[#This Row],[Age]]=25,JobHopping[[#This Row],[Age]]&gt;69),"N",IF(AND(E22="N",E23="N", RAND()&lt;=D24), "Y", "N"))</f>
        <v>N</v>
      </c>
      <c r="F24" s="4" t="s">
        <v>0</v>
      </c>
      <c r="G24" s="4" t="s">
        <v>0</v>
      </c>
      <c r="M24" s="4">
        <v>2015</v>
      </c>
      <c r="N24" s="4" t="s">
        <v>16</v>
      </c>
      <c r="O24" s="4">
        <f>_xlfn.XLOOKUP(M24&amp;"-"&amp;N24,'Djøf Finance Workers'!D:D,'Djøf Finance Workers'!C:C,0,1)</f>
        <v>9571</v>
      </c>
      <c r="P24" s="4">
        <f>_xlfn.XLOOKUP(M24&amp;"-"&amp;N24,'Djøf Finance Hoppers'!D:D,'Djøf Finance Hoppers'!C:C,0,1)</f>
        <v>1902</v>
      </c>
      <c r="Q24" s="13">
        <f t="shared" si="1"/>
        <v>0.19872531605892801</v>
      </c>
    </row>
    <row r="25" spans="2:17" x14ac:dyDescent="0.35">
      <c r="B25" s="4">
        <v>47</v>
      </c>
      <c r="C25" s="4" t="str">
        <f t="shared" si="3"/>
        <v>45-49 år</v>
      </c>
      <c r="D25" s="13">
        <f t="shared" si="0"/>
        <v>0.19929479981866399</v>
      </c>
      <c r="E25" s="4" t="str">
        <f ca="1">IF(OR(JobHopping[[#This Row],[Age]]=25,JobHopping[[#This Row],[Age]]&gt;69),"N",IF(AND(E23="N",E24="N", RAND()&lt;=D25), "Y", "N"))</f>
        <v>N</v>
      </c>
      <c r="F25" s="4" t="s">
        <v>58</v>
      </c>
      <c r="G25" s="4" t="s">
        <v>58</v>
      </c>
      <c r="M25" s="4">
        <v>2015</v>
      </c>
      <c r="N25" s="4" t="s">
        <v>17</v>
      </c>
      <c r="O25" s="4">
        <f>_xlfn.XLOOKUP(M25&amp;"-"&amp;N25,'Djøf Finance Workers'!D:D,'Djøf Finance Workers'!C:C,0,1)</f>
        <v>11603</v>
      </c>
      <c r="P25" s="4">
        <f>_xlfn.XLOOKUP(M25&amp;"-"&amp;N25,'Djøf Finance Hoppers'!D:D,'Djøf Finance Hoppers'!C:C,0,1)</f>
        <v>2085</v>
      </c>
      <c r="Q25" s="13">
        <f t="shared" si="1"/>
        <v>0.17969490648970093</v>
      </c>
    </row>
    <row r="26" spans="2:17" x14ac:dyDescent="0.35">
      <c r="B26" s="4">
        <v>48</v>
      </c>
      <c r="C26" s="4" t="str">
        <f t="shared" si="3"/>
        <v>45-49 år</v>
      </c>
      <c r="D26" s="13">
        <f t="shared" si="0"/>
        <v>0.19929479981866399</v>
      </c>
      <c r="E26" s="4" t="str">
        <f ca="1">IF(OR(JobHopping[[#This Row],[Age]]=25,JobHopping[[#This Row],[Age]]&gt;69),"N",IF(AND(E24="N",E25="N", RAND()&lt;=D26), "Y", "N"))</f>
        <v>Y</v>
      </c>
      <c r="F26" s="4" t="s">
        <v>0</v>
      </c>
      <c r="G26" s="4" t="s">
        <v>0</v>
      </c>
      <c r="M26" s="4">
        <v>2015</v>
      </c>
      <c r="N26" s="4" t="s">
        <v>18</v>
      </c>
      <c r="O26" s="4">
        <f>_xlfn.XLOOKUP(M26&amp;"-"&amp;N26,'Djøf Finance Workers'!D:D,'Djøf Finance Workers'!C:C,0,1)</f>
        <v>11160</v>
      </c>
      <c r="P26" s="4">
        <f>_xlfn.XLOOKUP(M26&amp;"-"&amp;N26,'Djøf Finance Hoppers'!D:D,'Djøf Finance Hoppers'!C:C,0,1)</f>
        <v>1717</v>
      </c>
      <c r="Q26" s="13">
        <f t="shared" si="1"/>
        <v>0.15385304659498208</v>
      </c>
    </row>
    <row r="27" spans="2:17" x14ac:dyDescent="0.35">
      <c r="B27" s="4">
        <v>49</v>
      </c>
      <c r="C27" s="4" t="str">
        <f t="shared" si="3"/>
        <v>45-49 år</v>
      </c>
      <c r="D27" s="13">
        <f t="shared" si="0"/>
        <v>0.19929479981866399</v>
      </c>
      <c r="E27" s="4" t="str">
        <f ca="1">IF(OR(JobHopping[[#This Row],[Age]]=25,JobHopping[[#This Row],[Age]]&gt;69),"N",IF(AND(E25="N",E26="N", RAND()&lt;=D27), "Y", "N"))</f>
        <v>N</v>
      </c>
      <c r="F27" s="4" t="s">
        <v>0</v>
      </c>
      <c r="G27" s="4" t="s">
        <v>0</v>
      </c>
      <c r="M27" s="4">
        <v>2015</v>
      </c>
      <c r="N27" s="4" t="s">
        <v>19</v>
      </c>
      <c r="O27" s="4">
        <f>_xlfn.XLOOKUP(M27&amp;"-"&amp;N27,'Djøf Finance Workers'!D:D,'Djøf Finance Workers'!C:C,0,1)</f>
        <v>8969</v>
      </c>
      <c r="P27" s="4">
        <f>_xlfn.XLOOKUP(M27&amp;"-"&amp;N27,'Djøf Finance Hoppers'!D:D,'Djøf Finance Hoppers'!C:C,0,1)</f>
        <v>1226</v>
      </c>
      <c r="Q27" s="13">
        <f t="shared" si="1"/>
        <v>0.13669305385215744</v>
      </c>
    </row>
    <row r="28" spans="2:17" x14ac:dyDescent="0.35">
      <c r="B28" s="4">
        <v>50</v>
      </c>
      <c r="C28" s="4" t="str">
        <f t="shared" si="3"/>
        <v>50-54 år</v>
      </c>
      <c r="D28" s="13">
        <f t="shared" si="0"/>
        <v>0.17668929185764676</v>
      </c>
      <c r="E28" s="4" t="str">
        <f ca="1">IF(OR(JobHopping[[#This Row],[Age]]=25,JobHopping[[#This Row],[Age]]&gt;69),"N",IF(AND(E26="N",E27="N", RAND()&lt;=D28), "Y", "N"))</f>
        <v>N</v>
      </c>
      <c r="F28" s="4" t="s">
        <v>0</v>
      </c>
      <c r="G28" s="4" t="s">
        <v>0</v>
      </c>
      <c r="M28" s="4">
        <v>2015</v>
      </c>
      <c r="N28" s="4" t="s">
        <v>20</v>
      </c>
      <c r="O28" s="4">
        <f>_xlfn.XLOOKUP(M28&amp;"-"&amp;N28,'Djøf Finance Workers'!D:D,'Djøf Finance Workers'!C:C,0,1)</f>
        <v>5167</v>
      </c>
      <c r="P28" s="4">
        <f>_xlfn.XLOOKUP(M28&amp;"-"&amp;N28,'Djøf Finance Hoppers'!D:D,'Djøf Finance Hoppers'!C:C,0,1)</f>
        <v>583</v>
      </c>
      <c r="Q28" s="13">
        <f t="shared" si="1"/>
        <v>0.11283143023030773</v>
      </c>
    </row>
    <row r="29" spans="2:17" x14ac:dyDescent="0.35">
      <c r="B29" s="4">
        <v>51</v>
      </c>
      <c r="C29" s="4" t="str">
        <f t="shared" si="3"/>
        <v>50-54 år</v>
      </c>
      <c r="D29" s="13">
        <f t="shared" si="0"/>
        <v>0.17668929185764676</v>
      </c>
      <c r="E29" s="4" t="str">
        <f ca="1">IF(OR(JobHopping[[#This Row],[Age]]=25,JobHopping[[#This Row],[Age]]&gt;69),"N",IF(AND(E27="N",E28="N", RAND()&lt;=D29), "Y", "N"))</f>
        <v>N</v>
      </c>
      <c r="F29" s="4" t="s">
        <v>0</v>
      </c>
      <c r="G29" s="4" t="s">
        <v>0</v>
      </c>
      <c r="M29" s="4">
        <v>2015</v>
      </c>
      <c r="N29" s="4" t="s">
        <v>21</v>
      </c>
      <c r="O29" s="4">
        <f>_xlfn.XLOOKUP(M29&amp;"-"&amp;N29,'Djøf Finance Workers'!D:D,'Djøf Finance Workers'!C:C,0,1)</f>
        <v>1642</v>
      </c>
      <c r="P29" s="4">
        <f>_xlfn.XLOOKUP(M29&amp;"-"&amp;N29,'Djøf Finance Hoppers'!D:D,'Djøf Finance Hoppers'!C:C,0,1)</f>
        <v>211</v>
      </c>
      <c r="Q29" s="13">
        <f t="shared" si="1"/>
        <v>0.12850182704019489</v>
      </c>
    </row>
    <row r="30" spans="2:17" x14ac:dyDescent="0.35">
      <c r="B30" s="4">
        <v>52</v>
      </c>
      <c r="C30" s="4" t="str">
        <f t="shared" si="3"/>
        <v>50-54 år</v>
      </c>
      <c r="D30" s="13">
        <f t="shared" si="0"/>
        <v>0.17668929185764676</v>
      </c>
      <c r="E30" s="4" t="str">
        <f ca="1">IF(OR(JobHopping[[#This Row],[Age]]=25,JobHopping[[#This Row],[Age]]&gt;69),"N",IF(AND(E28="N",E29="N", RAND()&lt;=D30), "Y", "N"))</f>
        <v>N</v>
      </c>
      <c r="F30" s="4" t="s">
        <v>0</v>
      </c>
      <c r="G30" s="4" t="s">
        <v>0</v>
      </c>
      <c r="M30" s="4">
        <v>2016</v>
      </c>
      <c r="N30" s="4" t="s">
        <v>13</v>
      </c>
      <c r="O30" s="4">
        <f>_xlfn.XLOOKUP(M30&amp;"-"&amp;N30,'Djøf Finance Workers'!D:D,'Djøf Finance Workers'!C:C,0,1)</f>
        <v>5701</v>
      </c>
      <c r="P30" s="4">
        <f>_xlfn.XLOOKUP(M30&amp;"-"&amp;N30,'Djøf Finance Hoppers'!D:D,'Djøf Finance Hoppers'!C:C,0,1)</f>
        <v>3005</v>
      </c>
      <c r="Q30" s="13">
        <f t="shared" si="1"/>
        <v>0.52710050868268721</v>
      </c>
    </row>
    <row r="31" spans="2:17" x14ac:dyDescent="0.35">
      <c r="B31" s="4">
        <v>53</v>
      </c>
      <c r="C31" s="4" t="str">
        <f t="shared" si="3"/>
        <v>50-54 år</v>
      </c>
      <c r="D31" s="13">
        <f t="shared" si="0"/>
        <v>0.17668929185764676</v>
      </c>
      <c r="E31" s="4" t="str">
        <f ca="1">IF(OR(JobHopping[[#This Row],[Age]]=25,JobHopping[[#This Row],[Age]]&gt;69),"N",IF(AND(E29="N",E30="N", RAND()&lt;=D31), "Y", "N"))</f>
        <v>N</v>
      </c>
      <c r="F31" s="4" t="s">
        <v>0</v>
      </c>
      <c r="G31" s="4" t="s">
        <v>0</v>
      </c>
      <c r="M31" s="4">
        <v>2016</v>
      </c>
      <c r="N31" s="4" t="s">
        <v>14</v>
      </c>
      <c r="O31" s="4">
        <f>_xlfn.XLOOKUP(M31&amp;"-"&amp;N31,'Djøf Finance Workers'!D:D,'Djøf Finance Workers'!C:C,0,1)</f>
        <v>7831</v>
      </c>
      <c r="P31" s="4">
        <f>_xlfn.XLOOKUP(M31&amp;"-"&amp;N31,'Djøf Finance Hoppers'!D:D,'Djøf Finance Hoppers'!C:C,0,1)</f>
        <v>2584</v>
      </c>
      <c r="Q31" s="13">
        <f t="shared" si="1"/>
        <v>0.32997062954922746</v>
      </c>
    </row>
    <row r="32" spans="2:17" x14ac:dyDescent="0.35">
      <c r="B32" s="4">
        <v>54</v>
      </c>
      <c r="C32" s="4" t="str">
        <f t="shared" si="3"/>
        <v>50-54 år</v>
      </c>
      <c r="D32" s="13">
        <f t="shared" si="0"/>
        <v>0.17668929185764676</v>
      </c>
      <c r="E32" s="4" t="str">
        <f ca="1">IF(OR(JobHopping[[#This Row],[Age]]=25,JobHopping[[#This Row],[Age]]&gt;69),"N",IF(AND(E30="N",E31="N", RAND()&lt;=D32), "Y", "N"))</f>
        <v>N</v>
      </c>
      <c r="F32" s="4" t="s">
        <v>0</v>
      </c>
      <c r="G32" s="4" t="s">
        <v>0</v>
      </c>
      <c r="M32" s="4">
        <v>2016</v>
      </c>
      <c r="N32" s="4" t="s">
        <v>15</v>
      </c>
      <c r="O32" s="4">
        <f>_xlfn.XLOOKUP(M32&amp;"-"&amp;N32,'Djøf Finance Workers'!D:D,'Djøf Finance Workers'!C:C,0,1)</f>
        <v>9564</v>
      </c>
      <c r="P32" s="4">
        <f>_xlfn.XLOOKUP(M32&amp;"-"&amp;N32,'Djøf Finance Hoppers'!D:D,'Djøf Finance Hoppers'!C:C,0,1)</f>
        <v>2311</v>
      </c>
      <c r="Q32" s="13">
        <f t="shared" si="1"/>
        <v>0.24163529903805939</v>
      </c>
    </row>
    <row r="33" spans="2:17" x14ac:dyDescent="0.35">
      <c r="B33" s="4">
        <v>55</v>
      </c>
      <c r="C33" s="4" t="str">
        <f t="shared" si="3"/>
        <v>55-59 år</v>
      </c>
      <c r="D33" s="13">
        <f t="shared" si="0"/>
        <v>0.15515674597479437</v>
      </c>
      <c r="E33" s="4" t="str">
        <f ca="1">IF(OR(JobHopping[[#This Row],[Age]]=25,JobHopping[[#This Row],[Age]]&gt;69),"N",IF(AND(E31="N",E32="N", RAND()&lt;=D33), "Y", "N"))</f>
        <v>N</v>
      </c>
      <c r="F33" s="4" t="s">
        <v>0</v>
      </c>
      <c r="G33" s="4" t="s">
        <v>0</v>
      </c>
      <c r="M33" s="4">
        <v>2016</v>
      </c>
      <c r="N33" s="4" t="s">
        <v>16</v>
      </c>
      <c r="O33" s="4">
        <f>_xlfn.XLOOKUP(M33&amp;"-"&amp;N33,'Djøf Finance Workers'!D:D,'Djøf Finance Workers'!C:C,0,1)</f>
        <v>9711</v>
      </c>
      <c r="P33" s="4">
        <f>_xlfn.XLOOKUP(M33&amp;"-"&amp;N33,'Djøf Finance Hoppers'!D:D,'Djøf Finance Hoppers'!C:C,0,1)</f>
        <v>2111</v>
      </c>
      <c r="Q33" s="13">
        <f t="shared" si="1"/>
        <v>0.21738234991247041</v>
      </c>
    </row>
    <row r="34" spans="2:17" x14ac:dyDescent="0.35">
      <c r="B34" s="4">
        <v>56</v>
      </c>
      <c r="C34" s="4" t="str">
        <f t="shared" si="3"/>
        <v>55-59 år</v>
      </c>
      <c r="D34" s="13">
        <f t="shared" si="0"/>
        <v>0.15515674597479437</v>
      </c>
      <c r="E34" s="4" t="str">
        <f ca="1">IF(OR(JobHopping[[#This Row],[Age]]=25,JobHopping[[#This Row],[Age]]&gt;69),"N",IF(AND(E32="N",E33="N", RAND()&lt;=D34), "Y", "N"))</f>
        <v>N</v>
      </c>
      <c r="F34" s="4" t="s">
        <v>0</v>
      </c>
      <c r="G34" s="4" t="s">
        <v>0</v>
      </c>
      <c r="M34" s="4">
        <v>2016</v>
      </c>
      <c r="N34" s="4" t="s">
        <v>17</v>
      </c>
      <c r="O34" s="4">
        <f>_xlfn.XLOOKUP(M34&amp;"-"&amp;N34,'Djøf Finance Workers'!D:D,'Djøf Finance Workers'!C:C,0,1)</f>
        <v>10533</v>
      </c>
      <c r="P34" s="4">
        <f>_xlfn.XLOOKUP(M34&amp;"-"&amp;N34,'Djøf Finance Hoppers'!D:D,'Djøf Finance Hoppers'!C:C,0,1)</f>
        <v>2000</v>
      </c>
      <c r="Q34" s="13">
        <f t="shared" si="1"/>
        <v>0.18987942656413179</v>
      </c>
    </row>
    <row r="35" spans="2:17" x14ac:dyDescent="0.35">
      <c r="B35" s="4">
        <v>57</v>
      </c>
      <c r="C35" s="4" t="str">
        <f t="shared" si="3"/>
        <v>55-59 år</v>
      </c>
      <c r="D35" s="13">
        <f t="shared" ref="D35:D66" si="4">_xlfn.XLOOKUP(C35,S:S,T:T)</f>
        <v>0.15515674597479437</v>
      </c>
      <c r="E35" s="4" t="str">
        <f ca="1">IF(OR(JobHopping[[#This Row],[Age]]=25,JobHopping[[#This Row],[Age]]&gt;69),"N",IF(AND(E33="N",E34="N", RAND()&lt;=D35), "Y", "N"))</f>
        <v>N</v>
      </c>
      <c r="F35" s="4" t="s">
        <v>0</v>
      </c>
      <c r="G35" s="4" t="s">
        <v>0</v>
      </c>
      <c r="M35" s="4">
        <v>2016</v>
      </c>
      <c r="N35" s="4" t="s">
        <v>18</v>
      </c>
      <c r="O35" s="4">
        <f>_xlfn.XLOOKUP(M35&amp;"-"&amp;N35,'Djøf Finance Workers'!D:D,'Djøf Finance Workers'!C:C,0,1)</f>
        <v>11490</v>
      </c>
      <c r="P35" s="4">
        <f>_xlfn.XLOOKUP(M35&amp;"-"&amp;N35,'Djøf Finance Hoppers'!D:D,'Djøf Finance Hoppers'!C:C,0,1)</f>
        <v>1808</v>
      </c>
      <c r="Q35" s="13">
        <f t="shared" si="1"/>
        <v>0.15735422106179286</v>
      </c>
    </row>
    <row r="36" spans="2:17" x14ac:dyDescent="0.35">
      <c r="B36" s="4">
        <v>58</v>
      </c>
      <c r="C36" s="4" t="str">
        <f t="shared" si="3"/>
        <v>55-59 år</v>
      </c>
      <c r="D36" s="13">
        <f t="shared" si="4"/>
        <v>0.15515674597479437</v>
      </c>
      <c r="E36" s="4" t="str">
        <f ca="1">IF(OR(JobHopping[[#This Row],[Age]]=25,JobHopping[[#This Row],[Age]]&gt;69),"N",IF(AND(E34="N",E35="N", RAND()&lt;=D36), "Y", "N"))</f>
        <v>N</v>
      </c>
      <c r="F36" s="4" t="s">
        <v>0</v>
      </c>
      <c r="G36" s="4" t="s">
        <v>0</v>
      </c>
      <c r="M36" s="4">
        <v>2016</v>
      </c>
      <c r="N36" s="4" t="s">
        <v>19</v>
      </c>
      <c r="O36" s="4">
        <f>_xlfn.XLOOKUP(M36&amp;"-"&amp;N36,'Djøf Finance Workers'!D:D,'Djøf Finance Workers'!C:C,0,1)</f>
        <v>9121</v>
      </c>
      <c r="P36" s="4">
        <f>_xlfn.XLOOKUP(M36&amp;"-"&amp;N36,'Djøf Finance Hoppers'!D:D,'Djøf Finance Hoppers'!C:C,0,1)</f>
        <v>1301</v>
      </c>
      <c r="Q36" s="13">
        <f t="shared" si="1"/>
        <v>0.14263786865475278</v>
      </c>
    </row>
    <row r="37" spans="2:17" x14ac:dyDescent="0.35">
      <c r="B37" s="4">
        <v>59</v>
      </c>
      <c r="C37" s="4" t="str">
        <f t="shared" si="3"/>
        <v>55-59 år</v>
      </c>
      <c r="D37" s="13">
        <f t="shared" si="4"/>
        <v>0.15515674597479437</v>
      </c>
      <c r="E37" s="4" t="str">
        <f ca="1">IF(OR(JobHopping[[#This Row],[Age]]=25,JobHopping[[#This Row],[Age]]&gt;69),"N",IF(AND(E35="N",E36="N", RAND()&lt;=D37), "Y", "N"))</f>
        <v>N</v>
      </c>
      <c r="F37" s="4" t="s">
        <v>0</v>
      </c>
      <c r="G37" s="4" t="s">
        <v>0</v>
      </c>
      <c r="M37" s="4">
        <v>2016</v>
      </c>
      <c r="N37" s="4" t="s">
        <v>20</v>
      </c>
      <c r="O37" s="4">
        <f>_xlfn.XLOOKUP(M37&amp;"-"&amp;N37,'Djøf Finance Workers'!D:D,'Djøf Finance Workers'!C:C,0,1)</f>
        <v>5304</v>
      </c>
      <c r="P37" s="4">
        <f>_xlfn.XLOOKUP(M37&amp;"-"&amp;N37,'Djøf Finance Hoppers'!D:D,'Djøf Finance Hoppers'!C:C,0,1)</f>
        <v>708</v>
      </c>
      <c r="Q37" s="13">
        <f t="shared" si="1"/>
        <v>0.1334841628959276</v>
      </c>
    </row>
    <row r="38" spans="2:17" x14ac:dyDescent="0.35">
      <c r="B38" s="4">
        <v>60</v>
      </c>
      <c r="C38" s="4" t="str">
        <f t="shared" si="3"/>
        <v>60-64 år</v>
      </c>
      <c r="D38" s="13">
        <f t="shared" si="4"/>
        <v>0.13997311637990331</v>
      </c>
      <c r="E38" s="4" t="str">
        <f ca="1">IF(OR(JobHopping[[#This Row],[Age]]=25,JobHopping[[#This Row],[Age]]&gt;69),"N",IF(AND(E36="N",E37="N", RAND()&lt;=D38), "Y", "N"))</f>
        <v>N</v>
      </c>
      <c r="F38" s="4" t="s">
        <v>58</v>
      </c>
      <c r="G38" s="4" t="s">
        <v>58</v>
      </c>
      <c r="M38" s="4">
        <v>2016</v>
      </c>
      <c r="N38" s="4" t="s">
        <v>21</v>
      </c>
      <c r="O38" s="4">
        <f>_xlfn.XLOOKUP(M38&amp;"-"&amp;N38,'Djøf Finance Workers'!D:D,'Djøf Finance Workers'!C:C,0,1)</f>
        <v>1680</v>
      </c>
      <c r="P38" s="4">
        <f>_xlfn.XLOOKUP(M38&amp;"-"&amp;N38,'Djøf Finance Hoppers'!D:D,'Djøf Finance Hoppers'!C:C,0,1)</f>
        <v>183</v>
      </c>
      <c r="Q38" s="13">
        <f t="shared" si="1"/>
        <v>0.10892857142857143</v>
      </c>
    </row>
    <row r="39" spans="2:17" x14ac:dyDescent="0.35">
      <c r="B39" s="4">
        <v>61</v>
      </c>
      <c r="C39" s="4" t="str">
        <f t="shared" si="3"/>
        <v>60-64 år</v>
      </c>
      <c r="D39" s="13">
        <f t="shared" si="4"/>
        <v>0.13997311637990331</v>
      </c>
      <c r="E39" s="4" t="str">
        <f ca="1">IF(OR(JobHopping[[#This Row],[Age]]=25,JobHopping[[#This Row],[Age]]&gt;69),"N",IF(AND(E37="N",E38="N", RAND()&lt;=D39), "Y", "N"))</f>
        <v>N</v>
      </c>
      <c r="F39" s="4" t="s">
        <v>0</v>
      </c>
      <c r="G39" s="4" t="s">
        <v>0</v>
      </c>
      <c r="M39" s="4">
        <v>2017</v>
      </c>
      <c r="N39" s="4" t="s">
        <v>13</v>
      </c>
      <c r="O39" s="4">
        <f>_xlfn.XLOOKUP(M39&amp;"-"&amp;N39,'Djøf Finance Workers'!D:D,'Djøf Finance Workers'!C:C,0,1)</f>
        <v>5951</v>
      </c>
      <c r="P39" s="4">
        <f>_xlfn.XLOOKUP(M39&amp;"-"&amp;N39,'Djøf Finance Hoppers'!D:D,'Djøf Finance Hoppers'!C:C,0,1)</f>
        <v>3106</v>
      </c>
      <c r="Q39" s="13">
        <f t="shared" si="1"/>
        <v>0.52192908754831124</v>
      </c>
    </row>
    <row r="40" spans="2:17" x14ac:dyDescent="0.35">
      <c r="B40" s="4">
        <v>62</v>
      </c>
      <c r="C40" s="4" t="str">
        <f t="shared" si="3"/>
        <v>60-64 år</v>
      </c>
      <c r="D40" s="13">
        <f t="shared" si="4"/>
        <v>0.13997311637990331</v>
      </c>
      <c r="E40" s="4" t="str">
        <f ca="1">IF(OR(JobHopping[[#This Row],[Age]]=25,JobHopping[[#This Row],[Age]]&gt;69),"N",IF(AND(E38="N",E39="N", RAND()&lt;=D40), "Y", "N"))</f>
        <v>N</v>
      </c>
      <c r="F40" s="4" t="s">
        <v>0</v>
      </c>
      <c r="G40" s="4" t="s">
        <v>0</v>
      </c>
      <c r="M40" s="4">
        <v>2017</v>
      </c>
      <c r="N40" s="4" t="s">
        <v>14</v>
      </c>
      <c r="O40" s="4">
        <f>_xlfn.XLOOKUP(M40&amp;"-"&amp;N40,'Djøf Finance Workers'!D:D,'Djøf Finance Workers'!C:C,0,1)</f>
        <v>8016</v>
      </c>
      <c r="P40" s="4">
        <f>_xlfn.XLOOKUP(M40&amp;"-"&amp;N40,'Djøf Finance Hoppers'!D:D,'Djøf Finance Hoppers'!C:C,0,1)</f>
        <v>2692</v>
      </c>
      <c r="Q40" s="13">
        <f t="shared" si="1"/>
        <v>0.33582834331337325</v>
      </c>
    </row>
    <row r="41" spans="2:17" x14ac:dyDescent="0.35">
      <c r="B41" s="4">
        <v>63</v>
      </c>
      <c r="C41" s="4" t="str">
        <f t="shared" si="3"/>
        <v>60-64 år</v>
      </c>
      <c r="D41" s="13">
        <f t="shared" si="4"/>
        <v>0.13997311637990331</v>
      </c>
      <c r="E41" s="4" t="str">
        <f ca="1">IF(OR(JobHopping[[#This Row],[Age]]=25,JobHopping[[#This Row],[Age]]&gt;69),"N",IF(AND(E39="N",E40="N", RAND()&lt;=D41), "Y", "N"))</f>
        <v>N</v>
      </c>
      <c r="F41" s="4" t="s">
        <v>0</v>
      </c>
      <c r="G41" s="4" t="s">
        <v>0</v>
      </c>
      <c r="M41" s="4">
        <v>2017</v>
      </c>
      <c r="N41" s="4" t="s">
        <v>15</v>
      </c>
      <c r="O41" s="4">
        <f>_xlfn.XLOOKUP(M41&amp;"-"&amp;N41,'Djøf Finance Workers'!D:D,'Djøf Finance Workers'!C:C,0,1)</f>
        <v>9344</v>
      </c>
      <c r="P41" s="4">
        <f>_xlfn.XLOOKUP(M41&amp;"-"&amp;N41,'Djøf Finance Hoppers'!D:D,'Djøf Finance Hoppers'!C:C,0,1)</f>
        <v>2452</v>
      </c>
      <c r="Q41" s="13">
        <f t="shared" si="1"/>
        <v>0.26241438356164382</v>
      </c>
    </row>
    <row r="42" spans="2:17" x14ac:dyDescent="0.35">
      <c r="B42" s="4">
        <v>64</v>
      </c>
      <c r="C42" s="4" t="str">
        <f t="shared" si="3"/>
        <v>60-64 år</v>
      </c>
      <c r="D42" s="13">
        <f t="shared" si="4"/>
        <v>0.13997311637990331</v>
      </c>
      <c r="E42" s="4" t="str">
        <f ca="1">IF(OR(JobHopping[[#This Row],[Age]]=25,JobHopping[[#This Row],[Age]]&gt;69),"N",IF(AND(E40="N",E41="N", RAND()&lt;=D42), "Y", "N"))</f>
        <v>Y</v>
      </c>
      <c r="F42" s="4" t="s">
        <v>0</v>
      </c>
      <c r="G42" s="4" t="s">
        <v>0</v>
      </c>
      <c r="M42" s="4">
        <v>2017</v>
      </c>
      <c r="N42" s="4" t="s">
        <v>16</v>
      </c>
      <c r="O42" s="4">
        <f>_xlfn.XLOOKUP(M42&amp;"-"&amp;N42,'Djøf Finance Workers'!D:D,'Djøf Finance Workers'!C:C,0,1)</f>
        <v>9699</v>
      </c>
      <c r="P42" s="4">
        <f>_xlfn.XLOOKUP(M42&amp;"-"&amp;N42,'Djøf Finance Hoppers'!D:D,'Djøf Finance Hoppers'!C:C,0,1)</f>
        <v>2105</v>
      </c>
      <c r="Q42" s="13">
        <f t="shared" si="1"/>
        <v>0.21703268378183319</v>
      </c>
    </row>
    <row r="43" spans="2:17" x14ac:dyDescent="0.35">
      <c r="B43" s="4">
        <v>65</v>
      </c>
      <c r="C43" s="4" t="str">
        <f t="shared" si="3"/>
        <v>65+ år</v>
      </c>
      <c r="D43" s="13">
        <f t="shared" si="4"/>
        <v>0.11691873000664299</v>
      </c>
      <c r="E43" s="4" t="str">
        <f ca="1">IF(OR(JobHopping[[#This Row],[Age]]=25,JobHopping[[#This Row],[Age]]&gt;69),"N",IF(AND(E41="N",E42="N", RAND()&lt;=D43), "Y", "N"))</f>
        <v>N</v>
      </c>
      <c r="F43" s="4" t="s">
        <v>0</v>
      </c>
      <c r="G43" s="4" t="s">
        <v>0</v>
      </c>
      <c r="M43" s="4">
        <v>2017</v>
      </c>
      <c r="N43" s="4" t="s">
        <v>17</v>
      </c>
      <c r="O43" s="4">
        <f>_xlfn.XLOOKUP(M43&amp;"-"&amp;N43,'Djøf Finance Workers'!D:D,'Djøf Finance Workers'!C:C,0,1)</f>
        <v>9778</v>
      </c>
      <c r="P43" s="4">
        <f>_xlfn.XLOOKUP(M43&amp;"-"&amp;N43,'Djøf Finance Hoppers'!D:D,'Djøf Finance Hoppers'!C:C,0,1)</f>
        <v>1892</v>
      </c>
      <c r="Q43" s="13">
        <f t="shared" si="1"/>
        <v>0.19349560237267335</v>
      </c>
    </row>
    <row r="44" spans="2:17" x14ac:dyDescent="0.35">
      <c r="B44" s="4">
        <v>66</v>
      </c>
      <c r="C44" s="4" t="str">
        <f t="shared" si="3"/>
        <v>65+ år</v>
      </c>
      <c r="D44" s="13">
        <f t="shared" si="4"/>
        <v>0.11691873000664299</v>
      </c>
      <c r="E44" s="4" t="str">
        <f ca="1">IF(OR(JobHopping[[#This Row],[Age]]=25,JobHopping[[#This Row],[Age]]&gt;69),"N",IF(AND(E42="N",E43="N", RAND()&lt;=D44), "Y", "N"))</f>
        <v>N</v>
      </c>
      <c r="F44" s="4" t="s">
        <v>0</v>
      </c>
      <c r="G44" s="4" t="s">
        <v>0</v>
      </c>
      <c r="M44" s="4">
        <v>2017</v>
      </c>
      <c r="N44" s="4" t="s">
        <v>18</v>
      </c>
      <c r="O44" s="4">
        <f>_xlfn.XLOOKUP(M44&amp;"-"&amp;N44,'Djøf Finance Workers'!D:D,'Djøf Finance Workers'!C:C,0,1)</f>
        <v>11940</v>
      </c>
      <c r="P44" s="4">
        <f>_xlfn.XLOOKUP(M44&amp;"-"&amp;N44,'Djøf Finance Hoppers'!D:D,'Djøf Finance Hoppers'!C:C,0,1)</f>
        <v>2042</v>
      </c>
      <c r="Q44" s="13">
        <f t="shared" si="1"/>
        <v>0.1710217755443886</v>
      </c>
    </row>
    <row r="45" spans="2:17" x14ac:dyDescent="0.35">
      <c r="B45" s="4">
        <v>67</v>
      </c>
      <c r="C45" s="4" t="str">
        <f t="shared" si="3"/>
        <v>65+ år</v>
      </c>
      <c r="D45" s="13">
        <f t="shared" si="4"/>
        <v>0.11691873000664299</v>
      </c>
      <c r="E45" s="4" t="str">
        <f ca="1">IF(OR(JobHopping[[#This Row],[Age]]=25,JobHopping[[#This Row],[Age]]&gt;69),"N",IF(AND(E43="N",E44="N", RAND()&lt;=D45), "Y", "N"))</f>
        <v>N</v>
      </c>
      <c r="F45" s="4" t="s">
        <v>0</v>
      </c>
      <c r="G45" s="4" t="s">
        <v>0</v>
      </c>
      <c r="M45" s="4">
        <v>2017</v>
      </c>
      <c r="N45" s="4" t="s">
        <v>19</v>
      </c>
      <c r="O45" s="4">
        <f>_xlfn.XLOOKUP(M45&amp;"-"&amp;N45,'Djøf Finance Workers'!D:D,'Djøf Finance Workers'!C:C,0,1)</f>
        <v>9231</v>
      </c>
      <c r="P45" s="4">
        <f>_xlfn.XLOOKUP(M45&amp;"-"&amp;N45,'Djøf Finance Hoppers'!D:D,'Djøf Finance Hoppers'!C:C,0,1)</f>
        <v>1410</v>
      </c>
      <c r="Q45" s="13">
        <f t="shared" si="1"/>
        <v>0.15274618134546636</v>
      </c>
    </row>
    <row r="46" spans="2:17" x14ac:dyDescent="0.35">
      <c r="B46" s="4">
        <v>68</v>
      </c>
      <c r="C46" s="4" t="str">
        <f t="shared" si="3"/>
        <v>65+ år</v>
      </c>
      <c r="D46" s="13">
        <f t="shared" si="4"/>
        <v>0.11691873000664299</v>
      </c>
      <c r="E46" s="4" t="str">
        <f ca="1">IF(OR(JobHopping[[#This Row],[Age]]=25,JobHopping[[#This Row],[Age]]&gt;69),"N",IF(AND(E44="N",E45="N", RAND()&lt;=D46), "Y", "N"))</f>
        <v>N</v>
      </c>
      <c r="F46" s="4" t="s">
        <v>0</v>
      </c>
      <c r="G46" s="4" t="s">
        <v>0</v>
      </c>
      <c r="M46" s="4">
        <v>2017</v>
      </c>
      <c r="N46" s="4" t="s">
        <v>20</v>
      </c>
      <c r="O46" s="4">
        <f>_xlfn.XLOOKUP(M46&amp;"-"&amp;N46,'Djøf Finance Workers'!D:D,'Djøf Finance Workers'!C:C,0,1)</f>
        <v>5403</v>
      </c>
      <c r="P46" s="4">
        <f>_xlfn.XLOOKUP(M46&amp;"-"&amp;N46,'Djøf Finance Hoppers'!D:D,'Djøf Finance Hoppers'!C:C,0,1)</f>
        <v>757</v>
      </c>
      <c r="Q46" s="13">
        <f t="shared" si="1"/>
        <v>0.14010734776975753</v>
      </c>
    </row>
    <row r="47" spans="2:17" x14ac:dyDescent="0.35">
      <c r="B47" s="4">
        <v>69</v>
      </c>
      <c r="C47" s="4" t="str">
        <f t="shared" si="3"/>
        <v>65+ år</v>
      </c>
      <c r="D47" s="13">
        <f t="shared" si="4"/>
        <v>0.11691873000664299</v>
      </c>
      <c r="E47" s="4" t="str">
        <f ca="1">IF(OR(JobHopping[[#This Row],[Age]]=25,JobHopping[[#This Row],[Age]]&gt;69),"N",IF(AND(E45="N",E46="N", RAND()&lt;=D47), "Y", "N"))</f>
        <v>Y</v>
      </c>
      <c r="F47" s="4" t="s">
        <v>0</v>
      </c>
      <c r="G47" s="4" t="s">
        <v>0</v>
      </c>
      <c r="M47" s="4">
        <v>2017</v>
      </c>
      <c r="N47" s="4" t="s">
        <v>21</v>
      </c>
      <c r="O47" s="4">
        <f>_xlfn.XLOOKUP(M47&amp;"-"&amp;N47,'Djøf Finance Workers'!D:D,'Djøf Finance Workers'!C:C,0,1)</f>
        <v>1775</v>
      </c>
      <c r="P47" s="4">
        <f>_xlfn.XLOOKUP(M47&amp;"-"&amp;N47,'Djøf Finance Hoppers'!D:D,'Djøf Finance Hoppers'!C:C,0,1)</f>
        <v>194</v>
      </c>
      <c r="Q47" s="13">
        <f t="shared" si="1"/>
        <v>0.10929577464788733</v>
      </c>
    </row>
    <row r="48" spans="2:17" x14ac:dyDescent="0.35">
      <c r="B48" s="4">
        <v>70</v>
      </c>
      <c r="C48" s="4" t="str">
        <f t="shared" si="3"/>
        <v>65+ år</v>
      </c>
      <c r="D48" s="13">
        <f t="shared" si="4"/>
        <v>0.11691873000664299</v>
      </c>
      <c r="E48" s="4" t="str">
        <f ca="1">IF(OR(JobHopping[[#This Row],[Age]]=25,JobHopping[[#This Row],[Age]]&gt;69),"N",IF(AND(E46="N",E47="N", RAND()&lt;=D48), "Y", "N"))</f>
        <v>N</v>
      </c>
      <c r="F48" s="4" t="s">
        <v>0</v>
      </c>
      <c r="G48" s="4" t="s">
        <v>0</v>
      </c>
      <c r="M48" s="4">
        <v>2018</v>
      </c>
      <c r="N48" s="4" t="s">
        <v>13</v>
      </c>
      <c r="O48" s="4">
        <f>_xlfn.XLOOKUP(M48&amp;"-"&amp;N48,'Djøf Finance Workers'!D:D,'Djøf Finance Workers'!C:C,0,1)</f>
        <v>6353</v>
      </c>
      <c r="P48" s="4">
        <f>_xlfn.XLOOKUP(M48&amp;"-"&amp;N48,'Djøf Finance Hoppers'!D:D,'Djøf Finance Hoppers'!C:C,0,1)</f>
        <v>3149</v>
      </c>
      <c r="Q48" s="13">
        <f t="shared" si="1"/>
        <v>0.49567133637651506</v>
      </c>
    </row>
    <row r="49" spans="2:17" x14ac:dyDescent="0.35">
      <c r="B49" s="4">
        <v>71</v>
      </c>
      <c r="C49" s="4" t="str">
        <f t="shared" ref="C49:C54" si="5">IF(B49&lt;30, "25-29 år", IF(B49&lt;35, "30-34 år", IF(B49&lt;40, "35-39 år", IF(B49&lt;45, "40-44 år", IF(B49&lt;50, "45-49 år", IF(B49&lt;55, "50-54 år", IF(B49&lt;60, "55-59 år", IF(B49&lt;65, "60-64 år", "65+ år"))))))))</f>
        <v>65+ år</v>
      </c>
      <c r="D49" s="13">
        <f t="shared" si="4"/>
        <v>0.11691873000664299</v>
      </c>
      <c r="E49" s="4" t="str">
        <f ca="1">IF(OR(JobHopping[[#This Row],[Age]]=25,JobHopping[[#This Row],[Age]]&gt;69),"N",IF(AND(E47="N",E48="N", RAND()&lt;=D49), "Y", "N"))</f>
        <v>N</v>
      </c>
      <c r="F49" s="4" t="s">
        <v>0</v>
      </c>
      <c r="G49" s="4" t="s">
        <v>0</v>
      </c>
      <c r="M49" s="4">
        <v>2018</v>
      </c>
      <c r="N49" s="4" t="s">
        <v>14</v>
      </c>
      <c r="O49" s="4">
        <f>_xlfn.XLOOKUP(M49&amp;"-"&amp;N49,'Djøf Finance Workers'!D:D,'Djøf Finance Workers'!C:C,0,1)</f>
        <v>8276</v>
      </c>
      <c r="P49" s="4">
        <f>_xlfn.XLOOKUP(M49&amp;"-"&amp;N49,'Djøf Finance Hoppers'!D:D,'Djøf Finance Hoppers'!C:C,0,1)</f>
        <v>2658</v>
      </c>
      <c r="Q49" s="13">
        <f t="shared" si="1"/>
        <v>0.32116964717254715</v>
      </c>
    </row>
    <row r="50" spans="2:17" x14ac:dyDescent="0.35">
      <c r="B50" s="4">
        <v>72</v>
      </c>
      <c r="C50" s="4" t="str">
        <f t="shared" si="5"/>
        <v>65+ år</v>
      </c>
      <c r="D50" s="13">
        <f t="shared" si="4"/>
        <v>0.11691873000664299</v>
      </c>
      <c r="E50" s="4" t="str">
        <f ca="1">IF(OR(JobHopping[[#This Row],[Age]]=25,JobHopping[[#This Row],[Age]]&gt;69),"N",IF(AND(E48="N",E49="N", RAND()&lt;=D50), "Y", "N"))</f>
        <v>N</v>
      </c>
      <c r="F50" s="4" t="s">
        <v>0</v>
      </c>
      <c r="G50" s="4" t="s">
        <v>0</v>
      </c>
      <c r="M50" s="4">
        <v>2018</v>
      </c>
      <c r="N50" s="4" t="s">
        <v>15</v>
      </c>
      <c r="O50" s="4">
        <f>_xlfn.XLOOKUP(M50&amp;"-"&amp;N50,'Djøf Finance Workers'!D:D,'Djøf Finance Workers'!C:C,0,1)</f>
        <v>9245</v>
      </c>
      <c r="P50" s="4">
        <f>_xlfn.XLOOKUP(M50&amp;"-"&amp;N50,'Djøf Finance Hoppers'!D:D,'Djøf Finance Hoppers'!C:C,0,1)</f>
        <v>2333</v>
      </c>
      <c r="Q50" s="13">
        <f t="shared" si="1"/>
        <v>0.25235262303948081</v>
      </c>
    </row>
    <row r="51" spans="2:17" x14ac:dyDescent="0.35">
      <c r="B51" s="4">
        <v>73</v>
      </c>
      <c r="C51" s="4" t="str">
        <f t="shared" si="5"/>
        <v>65+ år</v>
      </c>
      <c r="D51" s="13">
        <f t="shared" si="4"/>
        <v>0.11691873000664299</v>
      </c>
      <c r="E51" s="4" t="str">
        <f ca="1">IF(OR(JobHopping[[#This Row],[Age]]=25,JobHopping[[#This Row],[Age]]&gt;69),"N",IF(AND(E49="N",E50="N", RAND()&lt;=D51), "Y", "N"))</f>
        <v>N</v>
      </c>
      <c r="F51" s="4" t="s">
        <v>0</v>
      </c>
      <c r="G51" s="4" t="s">
        <v>0</v>
      </c>
      <c r="M51" s="4">
        <v>2018</v>
      </c>
      <c r="N51" s="4" t="s">
        <v>16</v>
      </c>
      <c r="O51" s="4">
        <f>_xlfn.XLOOKUP(M51&amp;"-"&amp;N51,'Djøf Finance Workers'!D:D,'Djøf Finance Workers'!C:C,0,1)</f>
        <v>9937</v>
      </c>
      <c r="P51" s="4">
        <f>_xlfn.XLOOKUP(M51&amp;"-"&amp;N51,'Djøf Finance Hoppers'!D:D,'Djøf Finance Hoppers'!C:C,0,1)</f>
        <v>2068</v>
      </c>
      <c r="Q51" s="13">
        <f t="shared" si="1"/>
        <v>0.2081110999295562</v>
      </c>
    </row>
    <row r="52" spans="2:17" x14ac:dyDescent="0.35">
      <c r="B52" s="4">
        <v>74</v>
      </c>
      <c r="C52" s="4" t="str">
        <f t="shared" si="5"/>
        <v>65+ år</v>
      </c>
      <c r="D52" s="13">
        <f t="shared" si="4"/>
        <v>0.11691873000664299</v>
      </c>
      <c r="E52" s="4" t="str">
        <f ca="1">IF(OR(JobHopping[[#This Row],[Age]]=25,JobHopping[[#This Row],[Age]]&gt;69),"N",IF(AND(E50="N",E51="N", RAND()&lt;=D52), "Y", "N"))</f>
        <v>N</v>
      </c>
      <c r="F52" s="4" t="s">
        <v>0</v>
      </c>
      <c r="G52" s="4" t="s">
        <v>0</v>
      </c>
      <c r="M52" s="4">
        <v>2018</v>
      </c>
      <c r="N52" s="4" t="s">
        <v>17</v>
      </c>
      <c r="O52" s="4">
        <f>_xlfn.XLOOKUP(M52&amp;"-"&amp;N52,'Djøf Finance Workers'!D:D,'Djøf Finance Workers'!C:C,0,1)</f>
        <v>9488</v>
      </c>
      <c r="P52" s="4">
        <f>_xlfn.XLOOKUP(M52&amp;"-"&amp;N52,'Djøf Finance Hoppers'!D:D,'Djøf Finance Hoppers'!C:C,0,1)</f>
        <v>1770</v>
      </c>
      <c r="Q52" s="13">
        <f t="shared" si="1"/>
        <v>0.18655143338954469</v>
      </c>
    </row>
    <row r="53" spans="2:17" x14ac:dyDescent="0.35">
      <c r="B53" s="4">
        <v>75</v>
      </c>
      <c r="C53" s="4" t="str">
        <f t="shared" si="5"/>
        <v>65+ år</v>
      </c>
      <c r="D53" s="13">
        <f t="shared" si="4"/>
        <v>0.11691873000664299</v>
      </c>
      <c r="E53" s="4" t="str">
        <f ca="1">IF(OR(JobHopping[[#This Row],[Age]]=25,JobHopping[[#This Row],[Age]]&gt;69),"N",IF(AND(E51="N",E52="N", RAND()&lt;=D53), "Y", "N"))</f>
        <v>N</v>
      </c>
      <c r="F53" s="4" t="s">
        <v>0</v>
      </c>
      <c r="G53" s="4" t="s">
        <v>0</v>
      </c>
      <c r="M53" s="4">
        <v>2018</v>
      </c>
      <c r="N53" s="4" t="s">
        <v>18</v>
      </c>
      <c r="O53" s="4">
        <f>_xlfn.XLOOKUP(M53&amp;"-"&amp;N53,'Djøf Finance Workers'!D:D,'Djøf Finance Workers'!C:C,0,1)</f>
        <v>12171</v>
      </c>
      <c r="P53" s="4">
        <f>_xlfn.XLOOKUP(M53&amp;"-"&amp;N53,'Djøf Finance Hoppers'!D:D,'Djøf Finance Hoppers'!C:C,0,1)</f>
        <v>2055</v>
      </c>
      <c r="Q53" s="13">
        <f t="shared" si="1"/>
        <v>0.16884397337934434</v>
      </c>
    </row>
    <row r="54" spans="2:17" x14ac:dyDescent="0.35">
      <c r="B54" s="4">
        <v>76</v>
      </c>
      <c r="C54" s="4" t="str">
        <f t="shared" si="5"/>
        <v>65+ år</v>
      </c>
      <c r="D54" s="13">
        <f t="shared" si="4"/>
        <v>0.11691873000664299</v>
      </c>
      <c r="E54" s="4" t="str">
        <f ca="1">IF(OR(JobHopping[[#This Row],[Age]]=25,JobHopping[[#This Row],[Age]]&gt;69),"N",IF(AND(E52="N",E53="N", RAND()&lt;=D54), "Y", "N"))</f>
        <v>N</v>
      </c>
      <c r="F54" s="4" t="s">
        <v>0</v>
      </c>
      <c r="G54" s="4" t="s">
        <v>0</v>
      </c>
      <c r="M54" s="4">
        <v>2018</v>
      </c>
      <c r="N54" s="4" t="s">
        <v>19</v>
      </c>
      <c r="O54" s="4">
        <f>_xlfn.XLOOKUP(M54&amp;"-"&amp;N54,'Djøf Finance Workers'!D:D,'Djøf Finance Workers'!C:C,0,1)</f>
        <v>9537</v>
      </c>
      <c r="P54" s="4">
        <f>_xlfn.XLOOKUP(M54&amp;"-"&amp;N54,'Djøf Finance Hoppers'!D:D,'Djøf Finance Hoppers'!C:C,0,1)</f>
        <v>1415</v>
      </c>
      <c r="Q54" s="13">
        <f t="shared" si="1"/>
        <v>0.14836950823109993</v>
      </c>
    </row>
    <row r="55" spans="2:17" x14ac:dyDescent="0.35">
      <c r="B55" s="4">
        <v>77</v>
      </c>
      <c r="C55" s="4" t="str">
        <f t="shared" ref="C55:C69" si="6">IF(B55&lt;30, "25-29 år", IF(B55&lt;35, "30-34 år", IF(B55&lt;40, "35-39 år", IF(B55&lt;45, "40-44 år", IF(B55&lt;50, "45-49 år", IF(B55&lt;55, "50-54 år", IF(B55&lt;60, "55-59 år", IF(B55&lt;65, "60-64 år", "65+ år"))))))))</f>
        <v>65+ år</v>
      </c>
      <c r="D55" s="13">
        <f t="shared" si="4"/>
        <v>0.11691873000664299</v>
      </c>
      <c r="E55" s="4" t="str">
        <f ca="1">IF(OR(JobHopping[[#This Row],[Age]]=25,JobHopping[[#This Row],[Age]]&gt;69),"N",IF(AND(E53="N",E54="N", RAND()&lt;=D55), "Y", "N"))</f>
        <v>N</v>
      </c>
      <c r="F55" s="4" t="s">
        <v>0</v>
      </c>
      <c r="G55" s="4" t="s">
        <v>0</v>
      </c>
      <c r="M55" s="4">
        <v>2018</v>
      </c>
      <c r="N55" s="4" t="s">
        <v>20</v>
      </c>
      <c r="O55" s="4">
        <f>_xlfn.XLOOKUP(M55&amp;"-"&amp;N55,'Djøf Finance Workers'!D:D,'Djøf Finance Workers'!C:C,0,1)</f>
        <v>5638</v>
      </c>
      <c r="P55" s="4">
        <f>_xlfn.XLOOKUP(M55&amp;"-"&amp;N55,'Djøf Finance Hoppers'!D:D,'Djøf Finance Hoppers'!C:C,0,1)</f>
        <v>681</v>
      </c>
      <c r="Q55" s="13">
        <f t="shared" si="1"/>
        <v>0.12078751330258958</v>
      </c>
    </row>
    <row r="56" spans="2:17" x14ac:dyDescent="0.35">
      <c r="B56" s="4">
        <v>78</v>
      </c>
      <c r="C56" s="4" t="str">
        <f t="shared" si="6"/>
        <v>65+ år</v>
      </c>
      <c r="D56" s="13">
        <f t="shared" si="4"/>
        <v>0.11691873000664299</v>
      </c>
      <c r="E56" s="4" t="str">
        <f ca="1">IF(OR(JobHopping[[#This Row],[Age]]=25,JobHopping[[#This Row],[Age]]&gt;69),"N",IF(AND(E54="N",E55="N", RAND()&lt;=D56), "Y", "N"))</f>
        <v>N</v>
      </c>
      <c r="F56" s="4" t="s">
        <v>0</v>
      </c>
      <c r="G56" s="4" t="s">
        <v>0</v>
      </c>
      <c r="M56" s="4">
        <v>2018</v>
      </c>
      <c r="N56" s="4" t="s">
        <v>21</v>
      </c>
      <c r="O56" s="4">
        <f>_xlfn.XLOOKUP(M56&amp;"-"&amp;N56,'Djøf Finance Workers'!D:D,'Djøf Finance Workers'!C:C,0,1)</f>
        <v>1897</v>
      </c>
      <c r="P56" s="4">
        <f>_xlfn.XLOOKUP(M56&amp;"-"&amp;N56,'Djøf Finance Hoppers'!D:D,'Djøf Finance Hoppers'!C:C,0,1)</f>
        <v>174</v>
      </c>
      <c r="Q56" s="13">
        <f t="shared" si="1"/>
        <v>9.1723774380600948E-2</v>
      </c>
    </row>
    <row r="57" spans="2:17" x14ac:dyDescent="0.35">
      <c r="B57" s="4">
        <v>79</v>
      </c>
      <c r="C57" s="4" t="str">
        <f t="shared" si="6"/>
        <v>65+ år</v>
      </c>
      <c r="D57" s="13">
        <f t="shared" si="4"/>
        <v>0.11691873000664299</v>
      </c>
      <c r="E57" s="4" t="str">
        <f ca="1">IF(OR(JobHopping[[#This Row],[Age]]=25,JobHopping[[#This Row],[Age]]&gt;69),"N",IF(AND(E55="N",E56="N", RAND()&lt;=D57), "Y", "N"))</f>
        <v>N</v>
      </c>
      <c r="F57" s="4" t="s">
        <v>0</v>
      </c>
      <c r="G57" s="4" t="s">
        <v>0</v>
      </c>
      <c r="M57" s="4">
        <v>2019</v>
      </c>
      <c r="N57" s="4" t="s">
        <v>13</v>
      </c>
      <c r="O57" s="4">
        <f>_xlfn.XLOOKUP(M57&amp;"-"&amp;N57,'Djøf Finance Workers'!D:D,'Djøf Finance Workers'!C:C,0,1)</f>
        <v>6883</v>
      </c>
      <c r="P57" s="4">
        <f>_xlfn.XLOOKUP(M57&amp;"-"&amp;N57,'Djøf Finance Hoppers'!D:D,'Djøf Finance Hoppers'!C:C,0,1)</f>
        <v>3477</v>
      </c>
      <c r="Q57" s="13">
        <f t="shared" si="1"/>
        <v>0.50515763475228825</v>
      </c>
    </row>
    <row r="58" spans="2:17" x14ac:dyDescent="0.35">
      <c r="B58" s="4">
        <v>80</v>
      </c>
      <c r="C58" s="4" t="str">
        <f t="shared" si="6"/>
        <v>65+ år</v>
      </c>
      <c r="D58" s="13">
        <f t="shared" si="4"/>
        <v>0.11691873000664299</v>
      </c>
      <c r="E58" s="4" t="str">
        <f ca="1">IF(OR(JobHopping[[#This Row],[Age]]=25,JobHopping[[#This Row],[Age]]&gt;69),"N",IF(AND(E56="N",E57="N", RAND()&lt;=D58), "Y", "N"))</f>
        <v>N</v>
      </c>
      <c r="F58" s="4" t="s">
        <v>0</v>
      </c>
      <c r="G58" s="4" t="s">
        <v>0</v>
      </c>
      <c r="M58" s="4">
        <v>2019</v>
      </c>
      <c r="N58" s="4" t="s">
        <v>14</v>
      </c>
      <c r="O58" s="4">
        <f>_xlfn.XLOOKUP(M58&amp;"-"&amp;N58,'Djøf Finance Workers'!D:D,'Djøf Finance Workers'!C:C,0,1)</f>
        <v>8461</v>
      </c>
      <c r="P58" s="4">
        <f>_xlfn.XLOOKUP(M58&amp;"-"&amp;N58,'Djøf Finance Hoppers'!D:D,'Djøf Finance Hoppers'!C:C,0,1)</f>
        <v>2839</v>
      </c>
      <c r="Q58" s="13">
        <f t="shared" si="1"/>
        <v>0.33553953433400308</v>
      </c>
    </row>
    <row r="59" spans="2:17" x14ac:dyDescent="0.35">
      <c r="B59" s="4">
        <v>81</v>
      </c>
      <c r="C59" s="4" t="str">
        <f t="shared" si="6"/>
        <v>65+ år</v>
      </c>
      <c r="D59" s="13">
        <f t="shared" si="4"/>
        <v>0.11691873000664299</v>
      </c>
      <c r="E59" s="4" t="str">
        <f ca="1">IF(OR(JobHopping[[#This Row],[Age]]=25,JobHopping[[#This Row],[Age]]&gt;69),"N",IF(AND(E57="N",E58="N", RAND()&lt;=D59), "Y", "N"))</f>
        <v>N</v>
      </c>
      <c r="F59" s="4" t="s">
        <v>0</v>
      </c>
      <c r="G59" s="4" t="s">
        <v>0</v>
      </c>
      <c r="M59" s="4">
        <v>2019</v>
      </c>
      <c r="N59" s="4" t="s">
        <v>15</v>
      </c>
      <c r="O59" s="4">
        <f>_xlfn.XLOOKUP(M59&amp;"-"&amp;N59,'Djøf Finance Workers'!D:D,'Djøf Finance Workers'!C:C,0,1)</f>
        <v>9057</v>
      </c>
      <c r="P59" s="4">
        <f>_xlfn.XLOOKUP(M59&amp;"-"&amp;N59,'Djøf Finance Hoppers'!D:D,'Djøf Finance Hoppers'!C:C,0,1)</f>
        <v>2298</v>
      </c>
      <c r="Q59" s="13">
        <f t="shared" si="1"/>
        <v>0.25372639947002318</v>
      </c>
    </row>
    <row r="60" spans="2:17" x14ac:dyDescent="0.35">
      <c r="B60" s="4">
        <v>82</v>
      </c>
      <c r="C60" s="4" t="str">
        <f t="shared" si="6"/>
        <v>65+ år</v>
      </c>
      <c r="D60" s="13">
        <f t="shared" si="4"/>
        <v>0.11691873000664299</v>
      </c>
      <c r="E60" s="4" t="str">
        <f ca="1">IF(OR(JobHopping[[#This Row],[Age]]=25,JobHopping[[#This Row],[Age]]&gt;69),"N",IF(AND(E58="N",E59="N", RAND()&lt;=D60), "Y", "N"))</f>
        <v>N</v>
      </c>
      <c r="F60" s="4" t="s">
        <v>0</v>
      </c>
      <c r="G60" s="4" t="s">
        <v>0</v>
      </c>
      <c r="M60" s="4">
        <v>2019</v>
      </c>
      <c r="N60" s="4" t="s">
        <v>16</v>
      </c>
      <c r="O60" s="4">
        <f>_xlfn.XLOOKUP(M60&amp;"-"&amp;N60,'Djøf Finance Workers'!D:D,'Djøf Finance Workers'!C:C,0,1)</f>
        <v>10158</v>
      </c>
      <c r="P60" s="4">
        <f>_xlfn.XLOOKUP(M60&amp;"-"&amp;N60,'Djøf Finance Hoppers'!D:D,'Djøf Finance Hoppers'!C:C,0,1)</f>
        <v>2100</v>
      </c>
      <c r="Q60" s="13">
        <f t="shared" si="1"/>
        <v>0.2067336089781453</v>
      </c>
    </row>
    <row r="61" spans="2:17" x14ac:dyDescent="0.35">
      <c r="B61" s="4">
        <v>83</v>
      </c>
      <c r="C61" s="4" t="str">
        <f t="shared" si="6"/>
        <v>65+ år</v>
      </c>
      <c r="D61" s="13">
        <f t="shared" si="4"/>
        <v>0.11691873000664299</v>
      </c>
      <c r="E61" s="4" t="str">
        <f ca="1">IF(OR(JobHopping[[#This Row],[Age]]=25,JobHopping[[#This Row],[Age]]&gt;69),"N",IF(AND(E59="N",E60="N", RAND()&lt;=D61), "Y", "N"))</f>
        <v>N</v>
      </c>
      <c r="F61" s="4" t="s">
        <v>0</v>
      </c>
      <c r="G61" s="4" t="s">
        <v>0</v>
      </c>
      <c r="M61" s="4">
        <v>2019</v>
      </c>
      <c r="N61" s="4" t="s">
        <v>17</v>
      </c>
      <c r="O61" s="4">
        <f>_xlfn.XLOOKUP(M61&amp;"-"&amp;N61,'Djøf Finance Workers'!D:D,'Djøf Finance Workers'!C:C,0,1)</f>
        <v>9482</v>
      </c>
      <c r="P61" s="4">
        <f>_xlfn.XLOOKUP(M61&amp;"-"&amp;N61,'Djøf Finance Hoppers'!D:D,'Djøf Finance Hoppers'!C:C,0,1)</f>
        <v>1802</v>
      </c>
      <c r="Q61" s="13">
        <f t="shared" si="1"/>
        <v>0.19004429445264712</v>
      </c>
    </row>
    <row r="62" spans="2:17" x14ac:dyDescent="0.35">
      <c r="B62" s="4">
        <v>84</v>
      </c>
      <c r="C62" s="4" t="str">
        <f t="shared" si="6"/>
        <v>65+ år</v>
      </c>
      <c r="D62" s="13">
        <f t="shared" si="4"/>
        <v>0.11691873000664299</v>
      </c>
      <c r="E62" s="4" t="str">
        <f ca="1">IF(OR(JobHopping[[#This Row],[Age]]=25,JobHopping[[#This Row],[Age]]&gt;69),"N",IF(AND(E60="N",E61="N", RAND()&lt;=D62), "Y", "N"))</f>
        <v>N</v>
      </c>
      <c r="F62" s="4" t="s">
        <v>0</v>
      </c>
      <c r="G62" s="4" t="s">
        <v>0</v>
      </c>
      <c r="M62" s="4">
        <v>2019</v>
      </c>
      <c r="N62" s="4" t="s">
        <v>18</v>
      </c>
      <c r="O62" s="4">
        <f>_xlfn.XLOOKUP(M62&amp;"-"&amp;N62,'Djøf Finance Workers'!D:D,'Djøf Finance Workers'!C:C,0,1)</f>
        <v>11866</v>
      </c>
      <c r="P62" s="4">
        <f>_xlfn.XLOOKUP(M62&amp;"-"&amp;N62,'Djøf Finance Hoppers'!D:D,'Djøf Finance Hoppers'!C:C,0,1)</f>
        <v>2054</v>
      </c>
      <c r="Q62" s="13">
        <f t="shared" si="1"/>
        <v>0.1730996123377718</v>
      </c>
    </row>
    <row r="63" spans="2:17" x14ac:dyDescent="0.35">
      <c r="B63" s="4">
        <v>85</v>
      </c>
      <c r="C63" s="4" t="str">
        <f t="shared" si="6"/>
        <v>65+ år</v>
      </c>
      <c r="D63" s="13">
        <f t="shared" si="4"/>
        <v>0.11691873000664299</v>
      </c>
      <c r="E63" s="4" t="str">
        <f ca="1">IF(OR(JobHopping[[#This Row],[Age]]=25,JobHopping[[#This Row],[Age]]&gt;69),"N",IF(AND(E61="N",E62="N", RAND()&lt;=D63), "Y", "N"))</f>
        <v>N</v>
      </c>
      <c r="F63" s="4" t="s">
        <v>0</v>
      </c>
      <c r="G63" s="4" t="s">
        <v>0</v>
      </c>
      <c r="M63" s="4">
        <v>2019</v>
      </c>
      <c r="N63" s="4" t="s">
        <v>19</v>
      </c>
      <c r="O63" s="4">
        <f>_xlfn.XLOOKUP(M63&amp;"-"&amp;N63,'Djøf Finance Workers'!D:D,'Djøf Finance Workers'!C:C,0,1)</f>
        <v>9811</v>
      </c>
      <c r="P63" s="4">
        <f>_xlfn.XLOOKUP(M63&amp;"-"&amp;N63,'Djøf Finance Hoppers'!D:D,'Djøf Finance Hoppers'!C:C,0,1)</f>
        <v>1383</v>
      </c>
      <c r="Q63" s="13">
        <f t="shared" si="1"/>
        <v>0.14096422383039445</v>
      </c>
    </row>
    <row r="64" spans="2:17" x14ac:dyDescent="0.35">
      <c r="B64" s="4">
        <v>86</v>
      </c>
      <c r="C64" s="4" t="str">
        <f t="shared" si="6"/>
        <v>65+ år</v>
      </c>
      <c r="D64" s="13">
        <f t="shared" si="4"/>
        <v>0.11691873000664299</v>
      </c>
      <c r="E64" s="4" t="str">
        <f ca="1">IF(OR(JobHopping[[#This Row],[Age]]=25,JobHopping[[#This Row],[Age]]&gt;69),"N",IF(AND(E62="N",E63="N", RAND()&lt;=D64), "Y", "N"))</f>
        <v>N</v>
      </c>
      <c r="F64" s="4" t="s">
        <v>0</v>
      </c>
      <c r="G64" s="4" t="s">
        <v>0</v>
      </c>
      <c r="M64" s="4">
        <v>2019</v>
      </c>
      <c r="N64" s="4" t="s">
        <v>20</v>
      </c>
      <c r="O64" s="4">
        <f>_xlfn.XLOOKUP(M64&amp;"-"&amp;N64,'Djøf Finance Workers'!D:D,'Djøf Finance Workers'!C:C,0,1)</f>
        <v>5907</v>
      </c>
      <c r="P64" s="4">
        <f>_xlfn.XLOOKUP(M64&amp;"-"&amp;N64,'Djøf Finance Hoppers'!D:D,'Djøf Finance Hoppers'!C:C,0,1)</f>
        <v>791</v>
      </c>
      <c r="Q64" s="13">
        <f t="shared" si="1"/>
        <v>0.13390892161841883</v>
      </c>
    </row>
    <row r="65" spans="2:17" x14ac:dyDescent="0.35">
      <c r="B65" s="4">
        <v>87</v>
      </c>
      <c r="C65" s="4" t="str">
        <f t="shared" si="6"/>
        <v>65+ år</v>
      </c>
      <c r="D65" s="13">
        <f t="shared" si="4"/>
        <v>0.11691873000664299</v>
      </c>
      <c r="E65" s="4" t="str">
        <f ca="1">IF(OR(JobHopping[[#This Row],[Age]]=25,JobHopping[[#This Row],[Age]]&gt;69),"N",IF(AND(E63="N",E64="N", RAND()&lt;=D65), "Y", "N"))</f>
        <v>N</v>
      </c>
      <c r="F65" s="4" t="s">
        <v>0</v>
      </c>
      <c r="G65" s="4" t="s">
        <v>0</v>
      </c>
      <c r="M65" s="4">
        <v>2019</v>
      </c>
      <c r="N65" s="4" t="s">
        <v>21</v>
      </c>
      <c r="O65" s="4">
        <f>_xlfn.XLOOKUP(M65&amp;"-"&amp;N65,'Djøf Finance Workers'!D:D,'Djøf Finance Workers'!C:C,0,1)</f>
        <v>2030</v>
      </c>
      <c r="P65" s="4">
        <f>_xlfn.XLOOKUP(M65&amp;"-"&amp;N65,'Djøf Finance Hoppers'!D:D,'Djøf Finance Hoppers'!C:C,0,1)</f>
        <v>188</v>
      </c>
      <c r="Q65" s="13">
        <f t="shared" si="1"/>
        <v>9.2610837438423646E-2</v>
      </c>
    </row>
    <row r="66" spans="2:17" x14ac:dyDescent="0.35">
      <c r="B66" s="4">
        <v>88</v>
      </c>
      <c r="C66" s="4" t="str">
        <f t="shared" si="6"/>
        <v>65+ år</v>
      </c>
      <c r="D66" s="13">
        <f t="shared" si="4"/>
        <v>0.11691873000664299</v>
      </c>
      <c r="E66" s="4" t="str">
        <f ca="1">IF(OR(JobHopping[[#This Row],[Age]]=25,JobHopping[[#This Row],[Age]]&gt;69),"N",IF(AND(E64="N",E65="N", RAND()&lt;=D66), "Y", "N"))</f>
        <v>N</v>
      </c>
      <c r="F66" s="4" t="s">
        <v>0</v>
      </c>
      <c r="G66" s="4" t="s">
        <v>0</v>
      </c>
      <c r="M66" s="4">
        <v>2020</v>
      </c>
      <c r="N66" s="4" t="s">
        <v>13</v>
      </c>
      <c r="O66" s="4">
        <f>_xlfn.XLOOKUP(M66&amp;"-"&amp;N66,'Djøf Finance Workers'!D:D,'Djøf Finance Workers'!C:C,0,1)</f>
        <v>7337</v>
      </c>
      <c r="P66" s="4">
        <f>_xlfn.XLOOKUP(M66&amp;"-"&amp;N66,'Djøf Finance Hoppers'!D:D,'Djøf Finance Hoppers'!C:C,0,1)</f>
        <v>3028</v>
      </c>
      <c r="Q66" s="13">
        <f t="shared" si="1"/>
        <v>0.41270273953932124</v>
      </c>
    </row>
    <row r="67" spans="2:17" x14ac:dyDescent="0.35">
      <c r="B67" s="4">
        <v>89</v>
      </c>
      <c r="C67" s="4" t="str">
        <f t="shared" si="6"/>
        <v>65+ år</v>
      </c>
      <c r="D67" s="13">
        <f t="shared" ref="D67:D78" si="7">_xlfn.XLOOKUP(C67,S:S,T:T)</f>
        <v>0.11691873000664299</v>
      </c>
      <c r="E67" s="4" t="str">
        <f ca="1">IF(OR(JobHopping[[#This Row],[Age]]=25,JobHopping[[#This Row],[Age]]&gt;69),"N",IF(AND(E65="N",E66="N", RAND()&lt;=D67), "Y", "N"))</f>
        <v>N</v>
      </c>
      <c r="F67" s="4" t="s">
        <v>0</v>
      </c>
      <c r="G67" s="4" t="s">
        <v>0</v>
      </c>
      <c r="M67" s="4">
        <v>2020</v>
      </c>
      <c r="N67" s="4" t="s">
        <v>14</v>
      </c>
      <c r="O67" s="4">
        <f>_xlfn.XLOOKUP(M67&amp;"-"&amp;N67,'Djøf Finance Workers'!D:D,'Djøf Finance Workers'!C:C,0,1)</f>
        <v>8658</v>
      </c>
      <c r="P67" s="4">
        <f>_xlfn.XLOOKUP(M67&amp;"-"&amp;N67,'Djøf Finance Hoppers'!D:D,'Djøf Finance Hoppers'!C:C,0,1)</f>
        <v>2339</v>
      </c>
      <c r="Q67" s="13">
        <f t="shared" ref="Q67:Q100" si="8">IF(O67&gt;0, P67/O67, 0)</f>
        <v>0.27015477015477013</v>
      </c>
    </row>
    <row r="68" spans="2:17" x14ac:dyDescent="0.35">
      <c r="B68" s="4">
        <v>90</v>
      </c>
      <c r="C68" s="4" t="str">
        <f t="shared" si="6"/>
        <v>65+ år</v>
      </c>
      <c r="D68" s="13">
        <f t="shared" si="7"/>
        <v>0.11691873000664299</v>
      </c>
      <c r="E68" s="4" t="str">
        <f ca="1">IF(OR(JobHopping[[#This Row],[Age]]=25,JobHopping[[#This Row],[Age]]&gt;69),"N",IF(AND(E66="N",E67="N", RAND()&lt;=D68), "Y", "N"))</f>
        <v>N</v>
      </c>
      <c r="F68" s="4" t="s">
        <v>0</v>
      </c>
      <c r="G68" s="4" t="s">
        <v>0</v>
      </c>
      <c r="M68" s="4">
        <v>2020</v>
      </c>
      <c r="N68" s="4" t="s">
        <v>15</v>
      </c>
      <c r="O68" s="4">
        <f>_xlfn.XLOOKUP(M68&amp;"-"&amp;N68,'Djøf Finance Workers'!D:D,'Djøf Finance Workers'!C:C,0,1)</f>
        <v>8798</v>
      </c>
      <c r="P68" s="4">
        <f>_xlfn.XLOOKUP(M68&amp;"-"&amp;N68,'Djøf Finance Hoppers'!D:D,'Djøf Finance Hoppers'!C:C,0,1)</f>
        <v>1929</v>
      </c>
      <c r="Q68" s="13">
        <f t="shared" si="8"/>
        <v>0.21925437599454423</v>
      </c>
    </row>
    <row r="69" spans="2:17" x14ac:dyDescent="0.35">
      <c r="B69" s="4">
        <v>91</v>
      </c>
      <c r="C69" s="4" t="str">
        <f t="shared" si="6"/>
        <v>65+ år</v>
      </c>
      <c r="D69" s="13">
        <f t="shared" si="7"/>
        <v>0.11691873000664299</v>
      </c>
      <c r="E69" s="4" t="str">
        <f ca="1">IF(OR(JobHopping[[#This Row],[Age]]=25,JobHopping[[#This Row],[Age]]&gt;69),"N",IF(AND(E67="N",E68="N", RAND()&lt;=D69), "Y", "N"))</f>
        <v>N</v>
      </c>
      <c r="F69" s="4" t="s">
        <v>0</v>
      </c>
      <c r="G69" s="4" t="s">
        <v>0</v>
      </c>
      <c r="M69" s="4">
        <v>2020</v>
      </c>
      <c r="N69" s="4" t="s">
        <v>16</v>
      </c>
      <c r="O69" s="4">
        <f>_xlfn.XLOOKUP(M69&amp;"-"&amp;N69,'Djøf Finance Workers'!D:D,'Djøf Finance Workers'!C:C,0,1)</f>
        <v>10129</v>
      </c>
      <c r="P69" s="4">
        <f>_xlfn.XLOOKUP(M69&amp;"-"&amp;N69,'Djøf Finance Hoppers'!D:D,'Djøf Finance Hoppers'!C:C,0,1)</f>
        <v>1758</v>
      </c>
      <c r="Q69" s="13">
        <f t="shared" si="8"/>
        <v>0.17356106229637674</v>
      </c>
    </row>
    <row r="70" spans="2:17" x14ac:dyDescent="0.35">
      <c r="B70" s="4">
        <v>92</v>
      </c>
      <c r="C70" s="4" t="str">
        <f t="shared" ref="C70:C78" si="9">IF(B70&lt;30, "25-29 år", IF(B70&lt;35, "30-34 år", IF(B70&lt;40, "35-39 år", IF(B70&lt;45, "40-44 år", IF(B70&lt;50, "45-49 år", IF(B70&lt;55, "50-54 år", IF(B70&lt;60, "55-59 år", IF(B70&lt;65, "60-64 år", "65+ år"))))))))</f>
        <v>65+ år</v>
      </c>
      <c r="D70" s="13">
        <f t="shared" si="7"/>
        <v>0.11691873000664299</v>
      </c>
      <c r="E70" s="4" t="str">
        <f ca="1">IF(OR(JobHopping[[#This Row],[Age]]=25,JobHopping[[#This Row],[Age]]&gt;69),"N",IF(AND(E68="N",E69="N", RAND()&lt;=D70), "Y", "N"))</f>
        <v>N</v>
      </c>
      <c r="F70" s="4" t="s">
        <v>0</v>
      </c>
      <c r="G70" s="4" t="s">
        <v>0</v>
      </c>
      <c r="M70" s="4">
        <v>2020</v>
      </c>
      <c r="N70" s="4" t="s">
        <v>17</v>
      </c>
      <c r="O70" s="4">
        <f>_xlfn.XLOOKUP(M70&amp;"-"&amp;N70,'Djøf Finance Workers'!D:D,'Djøf Finance Workers'!C:C,0,1)</f>
        <v>9740</v>
      </c>
      <c r="P70" s="4">
        <f>_xlfn.XLOOKUP(M70&amp;"-"&amp;N70,'Djøf Finance Hoppers'!D:D,'Djøf Finance Hoppers'!C:C,0,1)</f>
        <v>1654</v>
      </c>
      <c r="Q70" s="13">
        <f t="shared" si="8"/>
        <v>0.1698151950718686</v>
      </c>
    </row>
    <row r="71" spans="2:17" x14ac:dyDescent="0.35">
      <c r="B71" s="4">
        <v>93</v>
      </c>
      <c r="C71" s="4" t="str">
        <f t="shared" si="9"/>
        <v>65+ år</v>
      </c>
      <c r="D71" s="13">
        <f t="shared" si="7"/>
        <v>0.11691873000664299</v>
      </c>
      <c r="E71" s="4" t="str">
        <f ca="1">IF(OR(JobHopping[[#This Row],[Age]]=25,JobHopping[[#This Row],[Age]]&gt;69),"N",IF(AND(E69="N",E70="N", RAND()&lt;=D71), "Y", "N"))</f>
        <v>N</v>
      </c>
      <c r="F71" s="4" t="s">
        <v>0</v>
      </c>
      <c r="G71" s="4" t="s">
        <v>0</v>
      </c>
      <c r="M71" s="4">
        <v>2020</v>
      </c>
      <c r="N71" s="4" t="s">
        <v>18</v>
      </c>
      <c r="O71" s="4">
        <f>_xlfn.XLOOKUP(M71&amp;"-"&amp;N71,'Djøf Finance Workers'!D:D,'Djøf Finance Workers'!C:C,0,1)</f>
        <v>11187</v>
      </c>
      <c r="P71" s="4">
        <f>_xlfn.XLOOKUP(M71&amp;"-"&amp;N71,'Djøf Finance Hoppers'!D:D,'Djøf Finance Hoppers'!C:C,0,1)</f>
        <v>1616</v>
      </c>
      <c r="Q71" s="13">
        <f t="shared" si="8"/>
        <v>0.14445338339143649</v>
      </c>
    </row>
    <row r="72" spans="2:17" x14ac:dyDescent="0.35">
      <c r="B72" s="4">
        <v>94</v>
      </c>
      <c r="C72" s="4" t="str">
        <f t="shared" si="9"/>
        <v>65+ år</v>
      </c>
      <c r="D72" s="13">
        <f t="shared" si="7"/>
        <v>0.11691873000664299</v>
      </c>
      <c r="E72" s="4" t="str">
        <f ca="1">IF(OR(JobHopping[[#This Row],[Age]]=25,JobHopping[[#This Row],[Age]]&gt;69),"N",IF(AND(E70="N",E71="N", RAND()&lt;=D72), "Y", "N"))</f>
        <v>N</v>
      </c>
      <c r="F72" s="4" t="s">
        <v>0</v>
      </c>
      <c r="G72" s="4" t="s">
        <v>0</v>
      </c>
      <c r="M72" s="4">
        <v>2020</v>
      </c>
      <c r="N72" s="4" t="s">
        <v>19</v>
      </c>
      <c r="O72" s="4">
        <f>_xlfn.XLOOKUP(M72&amp;"-"&amp;N72,'Djøf Finance Workers'!D:D,'Djøf Finance Workers'!C:C,0,1)</f>
        <v>10215</v>
      </c>
      <c r="P72" s="4">
        <f>_xlfn.XLOOKUP(M72&amp;"-"&amp;N72,'Djøf Finance Hoppers'!D:D,'Djøf Finance Hoppers'!C:C,0,1)</f>
        <v>1279</v>
      </c>
      <c r="Q72" s="13">
        <f t="shared" si="8"/>
        <v>0.12520802741067058</v>
      </c>
    </row>
    <row r="73" spans="2:17" x14ac:dyDescent="0.35">
      <c r="B73" s="4">
        <v>95</v>
      </c>
      <c r="C73" s="4" t="str">
        <f t="shared" si="9"/>
        <v>65+ år</v>
      </c>
      <c r="D73" s="13">
        <f t="shared" si="7"/>
        <v>0.11691873000664299</v>
      </c>
      <c r="E73" s="4" t="str">
        <f ca="1">IF(OR(JobHopping[[#This Row],[Age]]=25,JobHopping[[#This Row],[Age]]&gt;69),"N",IF(AND(E71="N",E72="N", RAND()&lt;=D73), "Y", "N"))</f>
        <v>N</v>
      </c>
      <c r="F73" s="4" t="s">
        <v>0</v>
      </c>
      <c r="G73" s="4" t="s">
        <v>0</v>
      </c>
      <c r="M73" s="4">
        <v>2020</v>
      </c>
      <c r="N73" s="4" t="s">
        <v>20</v>
      </c>
      <c r="O73" s="4">
        <f>_xlfn.XLOOKUP(M73&amp;"-"&amp;N73,'Djøf Finance Workers'!D:D,'Djøf Finance Workers'!C:C,0,1)</f>
        <v>6305</v>
      </c>
      <c r="P73" s="4">
        <f>_xlfn.XLOOKUP(M73&amp;"-"&amp;N73,'Djøf Finance Hoppers'!D:D,'Djøf Finance Hoppers'!C:C,0,1)</f>
        <v>623</v>
      </c>
      <c r="Q73" s="13">
        <f t="shared" si="8"/>
        <v>9.8810467882632827E-2</v>
      </c>
    </row>
    <row r="74" spans="2:17" x14ac:dyDescent="0.35">
      <c r="B74" s="4">
        <v>96</v>
      </c>
      <c r="C74" s="4" t="str">
        <f t="shared" si="9"/>
        <v>65+ år</v>
      </c>
      <c r="D74" s="13">
        <f t="shared" si="7"/>
        <v>0.11691873000664299</v>
      </c>
      <c r="E74" s="4" t="str">
        <f ca="1">IF(OR(JobHopping[[#This Row],[Age]]=25,JobHopping[[#This Row],[Age]]&gt;69),"N",IF(AND(E72="N",E73="N", RAND()&lt;=D74), "Y", "N"))</f>
        <v>N</v>
      </c>
      <c r="F74" s="4" t="s">
        <v>0</v>
      </c>
      <c r="G74" s="4" t="s">
        <v>0</v>
      </c>
      <c r="M74" s="4">
        <v>2020</v>
      </c>
      <c r="N74" s="4" t="s">
        <v>21</v>
      </c>
      <c r="O74" s="4">
        <f>_xlfn.XLOOKUP(M74&amp;"-"&amp;N74,'Djøf Finance Workers'!D:D,'Djøf Finance Workers'!C:C,0,1)</f>
        <v>2231</v>
      </c>
      <c r="P74" s="4">
        <f>_xlfn.XLOOKUP(M74&amp;"-"&amp;N74,'Djøf Finance Hoppers'!D:D,'Djøf Finance Hoppers'!C:C,0,1)</f>
        <v>201</v>
      </c>
      <c r="Q74" s="13">
        <f t="shared" si="8"/>
        <v>9.0094128193635145E-2</v>
      </c>
    </row>
    <row r="75" spans="2:17" x14ac:dyDescent="0.35">
      <c r="B75" s="4">
        <v>97</v>
      </c>
      <c r="C75" s="4" t="str">
        <f t="shared" si="9"/>
        <v>65+ år</v>
      </c>
      <c r="D75" s="13">
        <f t="shared" si="7"/>
        <v>0.11691873000664299</v>
      </c>
      <c r="E75" s="4" t="str">
        <f ca="1">IF(OR(JobHopping[[#This Row],[Age]]=25,JobHopping[[#This Row],[Age]]&gt;69),"N",IF(AND(E73="N",E74="N", RAND()&lt;=D75), "Y", "N"))</f>
        <v>N</v>
      </c>
      <c r="F75" s="4" t="s">
        <v>0</v>
      </c>
      <c r="G75" s="4" t="s">
        <v>0</v>
      </c>
      <c r="M75" s="4">
        <v>2021</v>
      </c>
      <c r="N75" s="4" t="s">
        <v>13</v>
      </c>
      <c r="O75" s="4">
        <f>_xlfn.XLOOKUP(M75&amp;"-"&amp;N75,'Djøf Finance Workers'!D:D,'Djøf Finance Workers'!C:C,0,1)</f>
        <v>7687</v>
      </c>
      <c r="P75" s="4">
        <f>_xlfn.XLOOKUP(M75&amp;"-"&amp;N75,'Djøf Finance Hoppers'!D:D,'Djøf Finance Hoppers'!C:C,0,1)</f>
        <v>3854</v>
      </c>
      <c r="Q75" s="13">
        <f t="shared" si="8"/>
        <v>0.50136594250032518</v>
      </c>
    </row>
    <row r="76" spans="2:17" x14ac:dyDescent="0.35">
      <c r="B76" s="4">
        <v>98</v>
      </c>
      <c r="C76" s="4" t="str">
        <f t="shared" si="9"/>
        <v>65+ år</v>
      </c>
      <c r="D76" s="13">
        <f t="shared" si="7"/>
        <v>0.11691873000664299</v>
      </c>
      <c r="E76" s="4" t="str">
        <f ca="1">IF(OR(JobHopping[[#This Row],[Age]]=25,JobHopping[[#This Row],[Age]]&gt;69),"N",IF(AND(E74="N",E75="N", RAND()&lt;=D76), "Y", "N"))</f>
        <v>N</v>
      </c>
      <c r="F76" s="4" t="s">
        <v>0</v>
      </c>
      <c r="G76" s="4" t="s">
        <v>0</v>
      </c>
      <c r="M76" s="4">
        <v>2021</v>
      </c>
      <c r="N76" s="4" t="s">
        <v>14</v>
      </c>
      <c r="O76" s="4">
        <f>_xlfn.XLOOKUP(M76&amp;"-"&amp;N76,'Djøf Finance Workers'!D:D,'Djøf Finance Workers'!C:C,0,1)</f>
        <v>8844</v>
      </c>
      <c r="P76" s="4">
        <f>_xlfn.XLOOKUP(M76&amp;"-"&amp;N76,'Djøf Finance Hoppers'!D:D,'Djøf Finance Hoppers'!C:C,0,1)</f>
        <v>3059</v>
      </c>
      <c r="Q76" s="13">
        <f t="shared" si="8"/>
        <v>0.34588421528720037</v>
      </c>
    </row>
    <row r="77" spans="2:17" x14ac:dyDescent="0.35">
      <c r="B77" s="4">
        <v>99</v>
      </c>
      <c r="C77" s="4" t="str">
        <f t="shared" si="9"/>
        <v>65+ år</v>
      </c>
      <c r="D77" s="13">
        <f t="shared" si="7"/>
        <v>0.11691873000664299</v>
      </c>
      <c r="E77" s="4" t="str">
        <f ca="1">IF(OR(JobHopping[[#This Row],[Age]]=25,JobHopping[[#This Row],[Age]]&gt;69),"N",IF(AND(E75="N",E76="N", RAND()&lt;=D77), "Y", "N"))</f>
        <v>N</v>
      </c>
      <c r="F77" s="4" t="s">
        <v>0</v>
      </c>
      <c r="G77" s="4" t="s">
        <v>0</v>
      </c>
      <c r="M77" s="4">
        <v>2021</v>
      </c>
      <c r="N77" s="4" t="s">
        <v>15</v>
      </c>
      <c r="O77" s="4">
        <f>_xlfn.XLOOKUP(M77&amp;"-"&amp;N77,'Djøf Finance Workers'!D:D,'Djøf Finance Workers'!C:C,0,1)</f>
        <v>8987</v>
      </c>
      <c r="P77" s="4">
        <f>_xlfn.XLOOKUP(M77&amp;"-"&amp;N77,'Djøf Finance Hoppers'!D:D,'Djøf Finance Hoppers'!C:C,0,1)</f>
        <v>2330</v>
      </c>
      <c r="Q77" s="13">
        <f t="shared" si="8"/>
        <v>0.25926338043841102</v>
      </c>
    </row>
    <row r="78" spans="2:17" x14ac:dyDescent="0.35">
      <c r="B78" s="4">
        <v>100</v>
      </c>
      <c r="C78" s="4" t="str">
        <f t="shared" si="9"/>
        <v>65+ år</v>
      </c>
      <c r="D78" s="13">
        <f t="shared" si="7"/>
        <v>0.11691873000664299</v>
      </c>
      <c r="E78" s="4" t="str">
        <f ca="1">IF(OR(JobHopping[[#This Row],[Age]]=25,JobHopping[[#This Row],[Age]]&gt;69),"N",IF(AND(E76="N",E77="N", RAND()&lt;=D78), "Y", "N"))</f>
        <v>N</v>
      </c>
      <c r="F78" s="4" t="s">
        <v>0</v>
      </c>
      <c r="G78" s="4" t="s">
        <v>0</v>
      </c>
      <c r="M78" s="4">
        <v>2021</v>
      </c>
      <c r="N78" s="4" t="s">
        <v>16</v>
      </c>
      <c r="O78" s="4">
        <f>_xlfn.XLOOKUP(M78&amp;"-"&amp;N78,'Djøf Finance Workers'!D:D,'Djøf Finance Workers'!C:C,0,1)</f>
        <v>10002</v>
      </c>
      <c r="P78" s="4">
        <f>_xlfn.XLOOKUP(M78&amp;"-"&amp;N78,'Djøf Finance Hoppers'!D:D,'Djøf Finance Hoppers'!C:C,0,1)</f>
        <v>2220</v>
      </c>
      <c r="Q78" s="13">
        <f t="shared" si="8"/>
        <v>0.22195560887822435</v>
      </c>
    </row>
    <row r="79" spans="2:17" x14ac:dyDescent="0.35">
      <c r="M79" s="4">
        <v>2021</v>
      </c>
      <c r="N79" s="4" t="s">
        <v>17</v>
      </c>
      <c r="O79" s="4">
        <f>_xlfn.XLOOKUP(M79&amp;"-"&amp;N79,'Djøf Finance Workers'!D:D,'Djøf Finance Workers'!C:C,0,1)</f>
        <v>10036</v>
      </c>
      <c r="P79" s="4">
        <f>_xlfn.XLOOKUP(M79&amp;"-"&amp;N79,'Djøf Finance Hoppers'!D:D,'Djøf Finance Hoppers'!C:C,0,1)</f>
        <v>1980</v>
      </c>
      <c r="Q79" s="13">
        <f t="shared" si="8"/>
        <v>0.19728975687524911</v>
      </c>
    </row>
    <row r="80" spans="2:17" x14ac:dyDescent="0.35">
      <c r="M80" s="4">
        <v>2021</v>
      </c>
      <c r="N80" s="4" t="s">
        <v>18</v>
      </c>
      <c r="O80" s="4">
        <f>_xlfn.XLOOKUP(M80&amp;"-"&amp;N80,'Djøf Finance Workers'!D:D,'Djøf Finance Workers'!C:C,0,1)</f>
        <v>10467</v>
      </c>
      <c r="P80" s="4">
        <f>_xlfn.XLOOKUP(M80&amp;"-"&amp;N80,'Djøf Finance Hoppers'!D:D,'Djøf Finance Hoppers'!C:C,0,1)</f>
        <v>1810</v>
      </c>
      <c r="Q80" s="13">
        <f t="shared" si="8"/>
        <v>0.17292442915830705</v>
      </c>
    </row>
    <row r="81" spans="13:17" x14ac:dyDescent="0.35">
      <c r="M81" s="4">
        <v>2021</v>
      </c>
      <c r="N81" s="4" t="s">
        <v>19</v>
      </c>
      <c r="O81" s="4">
        <f>_xlfn.XLOOKUP(M81&amp;"-"&amp;N81,'Djøf Finance Workers'!D:D,'Djøf Finance Workers'!C:C,0,1)</f>
        <v>10749</v>
      </c>
      <c r="P81" s="4">
        <f>_xlfn.XLOOKUP(M81&amp;"-"&amp;N81,'Djøf Finance Hoppers'!D:D,'Djøf Finance Hoppers'!C:C,0,1)</f>
        <v>1631</v>
      </c>
      <c r="Q81" s="13">
        <f t="shared" si="8"/>
        <v>0.15173504512047634</v>
      </c>
    </row>
    <row r="82" spans="13:17" x14ac:dyDescent="0.35">
      <c r="M82" s="4">
        <v>2021</v>
      </c>
      <c r="N82" s="4" t="s">
        <v>20</v>
      </c>
      <c r="O82" s="4">
        <f>_xlfn.XLOOKUP(M82&amp;"-"&amp;N82,'Djøf Finance Workers'!D:D,'Djøf Finance Workers'!C:C,0,1)</f>
        <v>6688</v>
      </c>
      <c r="P82" s="4">
        <f>_xlfn.XLOOKUP(M82&amp;"-"&amp;N82,'Djøf Finance Hoppers'!D:D,'Djøf Finance Hoppers'!C:C,0,1)</f>
        <v>962</v>
      </c>
      <c r="Q82" s="13">
        <f t="shared" si="8"/>
        <v>0.1438397129186603</v>
      </c>
    </row>
    <row r="83" spans="13:17" x14ac:dyDescent="0.35">
      <c r="M83" s="4">
        <v>2021</v>
      </c>
      <c r="N83" s="4" t="s">
        <v>21</v>
      </c>
      <c r="O83" s="4">
        <f>_xlfn.XLOOKUP(M83&amp;"-"&amp;N83,'Djøf Finance Workers'!D:D,'Djøf Finance Workers'!C:C,0,1)</f>
        <v>2522</v>
      </c>
      <c r="P83" s="4">
        <f>_xlfn.XLOOKUP(M83&amp;"-"&amp;N83,'Djøf Finance Hoppers'!D:D,'Djøf Finance Hoppers'!C:C,0,1)</f>
        <v>216</v>
      </c>
      <c r="Q83" s="13">
        <f t="shared" si="8"/>
        <v>8.5646312450436163E-2</v>
      </c>
    </row>
    <row r="84" spans="13:17" x14ac:dyDescent="0.35">
      <c r="M84" s="4">
        <v>2022</v>
      </c>
      <c r="N84" s="4" t="s">
        <v>13</v>
      </c>
      <c r="O84" s="4">
        <f>_xlfn.XLOOKUP(M84&amp;"-"&amp;N84,'Djøf Finance Workers'!D:D,'Djøf Finance Workers'!C:C,0,1)</f>
        <v>8107</v>
      </c>
      <c r="P84" s="4">
        <f>_xlfn.XLOOKUP(M84&amp;"-"&amp;N84,'Djøf Finance Hoppers'!D:D,'Djøf Finance Hoppers'!C:C,0,1)</f>
        <v>3870</v>
      </c>
      <c r="Q84" s="13">
        <f t="shared" si="8"/>
        <v>0.4773652399161219</v>
      </c>
    </row>
    <row r="85" spans="13:17" x14ac:dyDescent="0.35">
      <c r="M85" s="4">
        <v>2022</v>
      </c>
      <c r="N85" s="4" t="s">
        <v>14</v>
      </c>
      <c r="O85" s="4">
        <f>_xlfn.XLOOKUP(M85&amp;"-"&amp;N85,'Djøf Finance Workers'!D:D,'Djøf Finance Workers'!C:C,0,1)</f>
        <v>9307</v>
      </c>
      <c r="P85" s="4">
        <f>_xlfn.XLOOKUP(M85&amp;"-"&amp;N85,'Djøf Finance Hoppers'!D:D,'Djøf Finance Hoppers'!C:C,0,1)</f>
        <v>3004</v>
      </c>
      <c r="Q85" s="13">
        <f t="shared" si="8"/>
        <v>0.3227678091758891</v>
      </c>
    </row>
    <row r="86" spans="13:17" x14ac:dyDescent="0.35">
      <c r="M86" s="4">
        <v>2022</v>
      </c>
      <c r="N86" s="4" t="s">
        <v>15</v>
      </c>
      <c r="O86" s="4">
        <f>_xlfn.XLOOKUP(M86&amp;"-"&amp;N86,'Djøf Finance Workers'!D:D,'Djøf Finance Workers'!C:C,0,1)</f>
        <v>9287</v>
      </c>
      <c r="P86" s="4">
        <f>_xlfn.XLOOKUP(M86&amp;"-"&amp;N86,'Djøf Finance Hoppers'!D:D,'Djøf Finance Hoppers'!C:C,0,1)</f>
        <v>2511</v>
      </c>
      <c r="Q86" s="13">
        <f t="shared" si="8"/>
        <v>0.27037794766878431</v>
      </c>
    </row>
    <row r="87" spans="13:17" x14ac:dyDescent="0.35">
      <c r="M87" s="4">
        <v>2022</v>
      </c>
      <c r="N87" s="4" t="s">
        <v>16</v>
      </c>
      <c r="O87" s="4">
        <f>_xlfn.XLOOKUP(M87&amp;"-"&amp;N87,'Djøf Finance Workers'!D:D,'Djøf Finance Workers'!C:C,0,1)</f>
        <v>9808</v>
      </c>
      <c r="P87" s="4">
        <f>_xlfn.XLOOKUP(M87&amp;"-"&amp;N87,'Djøf Finance Hoppers'!D:D,'Djøf Finance Hoppers'!C:C,0,1)</f>
        <v>2191</v>
      </c>
      <c r="Q87" s="13">
        <f t="shared" si="8"/>
        <v>0.22338907014681891</v>
      </c>
    </row>
    <row r="88" spans="13:17" x14ac:dyDescent="0.35">
      <c r="M88" s="4">
        <v>2022</v>
      </c>
      <c r="N88" s="4" t="s">
        <v>17</v>
      </c>
      <c r="O88" s="4">
        <f>_xlfn.XLOOKUP(M88&amp;"-"&amp;N88,'Djøf Finance Workers'!D:D,'Djøf Finance Workers'!C:C,0,1)</f>
        <v>10063</v>
      </c>
      <c r="P88" s="4">
        <f>_xlfn.XLOOKUP(M88&amp;"-"&amp;N88,'Djøf Finance Hoppers'!D:D,'Djøf Finance Hoppers'!C:C,0,1)</f>
        <v>2044</v>
      </c>
      <c r="Q88" s="13">
        <f t="shared" si="8"/>
        <v>0.20312034184636787</v>
      </c>
    </row>
    <row r="89" spans="13:17" x14ac:dyDescent="0.35">
      <c r="M89" s="4">
        <v>2022</v>
      </c>
      <c r="N89" s="4" t="s">
        <v>18</v>
      </c>
      <c r="O89" s="4">
        <f>_xlfn.XLOOKUP(M89&amp;"-"&amp;N89,'Djøf Finance Workers'!D:D,'Djøf Finance Workers'!C:C,0,1)</f>
        <v>9799</v>
      </c>
      <c r="P89" s="4">
        <f>_xlfn.XLOOKUP(M89&amp;"-"&amp;N89,'Djøf Finance Hoppers'!D:D,'Djøf Finance Hoppers'!C:C,0,1)</f>
        <v>1683</v>
      </c>
      <c r="Q89" s="13">
        <f t="shared" si="8"/>
        <v>0.17175221961424636</v>
      </c>
    </row>
    <row r="90" spans="13:17" x14ac:dyDescent="0.35">
      <c r="M90" s="4">
        <v>2022</v>
      </c>
      <c r="N90" s="4" t="s">
        <v>19</v>
      </c>
      <c r="O90" s="4">
        <f>_xlfn.XLOOKUP(M90&amp;"-"&amp;N90,'Djøf Finance Workers'!D:D,'Djøf Finance Workers'!C:C,0,1)</f>
        <v>11340</v>
      </c>
      <c r="P90" s="4">
        <f>_xlfn.XLOOKUP(M90&amp;"-"&amp;N90,'Djøf Finance Hoppers'!D:D,'Djøf Finance Hoppers'!C:C,0,1)</f>
        <v>1578</v>
      </c>
      <c r="Q90" s="13">
        <f t="shared" si="8"/>
        <v>0.13915343915343914</v>
      </c>
    </row>
    <row r="91" spans="13:17" x14ac:dyDescent="0.35">
      <c r="M91" s="4">
        <v>2022</v>
      </c>
      <c r="N91" s="4" t="s">
        <v>20</v>
      </c>
      <c r="O91" s="4">
        <f>_xlfn.XLOOKUP(M91&amp;"-"&amp;N91,'Djøf Finance Workers'!D:D,'Djøf Finance Workers'!C:C,0,1)</f>
        <v>6943</v>
      </c>
      <c r="P91" s="4">
        <f>_xlfn.XLOOKUP(M91&amp;"-"&amp;N91,'Djøf Finance Hoppers'!D:D,'Djøf Finance Hoppers'!C:C,0,1)</f>
        <v>880</v>
      </c>
      <c r="Q91" s="13">
        <f t="shared" si="8"/>
        <v>0.12674636324355465</v>
      </c>
    </row>
    <row r="92" spans="13:17" x14ac:dyDescent="0.35">
      <c r="M92" s="4">
        <v>2022</v>
      </c>
      <c r="N92" s="4" t="s">
        <v>21</v>
      </c>
      <c r="O92" s="4">
        <f>_xlfn.XLOOKUP(M92&amp;"-"&amp;N92,'Djøf Finance Workers'!D:D,'Djøf Finance Workers'!C:C,0,1)</f>
        <v>2779</v>
      </c>
      <c r="P92" s="4">
        <f>_xlfn.XLOOKUP(M92&amp;"-"&amp;N92,'Djøf Finance Hoppers'!D:D,'Djøf Finance Hoppers'!C:C,0,1)</f>
        <v>265</v>
      </c>
      <c r="Q92" s="13">
        <f t="shared" si="8"/>
        <v>9.5358042461317016E-2</v>
      </c>
    </row>
    <row r="93" spans="13:17" x14ac:dyDescent="0.35">
      <c r="M93" s="4">
        <v>2023</v>
      </c>
      <c r="N93" s="4" t="s">
        <v>13</v>
      </c>
      <c r="O93" s="4">
        <f>_xlfn.XLOOKUP(M93&amp;"-"&amp;N93,'Djøf Finance Workers'!D:D,'Djøf Finance Workers'!C:C,0,1)</f>
        <v>8433</v>
      </c>
      <c r="P93" s="4">
        <f>_xlfn.XLOOKUP(M93&amp;"-"&amp;N93,'Djøf Finance Hoppers'!D:D,'Djøf Finance Hoppers'!C:C,0,1)</f>
        <v>3662</v>
      </c>
      <c r="Q93" s="13">
        <f t="shared" si="8"/>
        <v>0.43424641290169574</v>
      </c>
    </row>
    <row r="94" spans="13:17" x14ac:dyDescent="0.35">
      <c r="M94" s="4">
        <v>2023</v>
      </c>
      <c r="N94" s="4" t="s">
        <v>14</v>
      </c>
      <c r="O94" s="4">
        <f>_xlfn.XLOOKUP(M94&amp;"-"&amp;N94,'Djøf Finance Workers'!D:D,'Djøf Finance Workers'!C:C,0,1)</f>
        <v>9786</v>
      </c>
      <c r="P94" s="4">
        <f>_xlfn.XLOOKUP(M94&amp;"-"&amp;N94,'Djøf Finance Hoppers'!D:D,'Djøf Finance Hoppers'!C:C,0,1)</f>
        <v>2878</v>
      </c>
      <c r="Q94" s="13">
        <f t="shared" si="8"/>
        <v>0.29409360310647864</v>
      </c>
    </row>
    <row r="95" spans="13:17" x14ac:dyDescent="0.35">
      <c r="M95" s="4">
        <v>2023</v>
      </c>
      <c r="N95" s="4" t="s">
        <v>15</v>
      </c>
      <c r="O95" s="4">
        <f>_xlfn.XLOOKUP(M95&amp;"-"&amp;N95,'Djøf Finance Workers'!D:D,'Djøf Finance Workers'!C:C,0,1)</f>
        <v>9648</v>
      </c>
      <c r="P95" s="4">
        <f>_xlfn.XLOOKUP(M95&amp;"-"&amp;N95,'Djøf Finance Hoppers'!D:D,'Djøf Finance Hoppers'!C:C,0,1)</f>
        <v>2160</v>
      </c>
      <c r="Q95" s="13">
        <f t="shared" si="8"/>
        <v>0.22388059701492538</v>
      </c>
    </row>
    <row r="96" spans="13:17" x14ac:dyDescent="0.35">
      <c r="M96" s="4">
        <v>2023</v>
      </c>
      <c r="N96" s="4" t="s">
        <v>16</v>
      </c>
      <c r="O96" s="4">
        <f>_xlfn.XLOOKUP(M96&amp;"-"&amp;N96,'Djøf Finance Workers'!D:D,'Djøf Finance Workers'!C:C,0,1)</f>
        <v>9770</v>
      </c>
      <c r="P96" s="4">
        <f>_xlfn.XLOOKUP(M96&amp;"-"&amp;N96,'Djøf Finance Hoppers'!D:D,'Djøf Finance Hoppers'!C:C,0,1)</f>
        <v>1983</v>
      </c>
      <c r="Q96" s="13">
        <f t="shared" si="8"/>
        <v>0.20296827021494371</v>
      </c>
    </row>
    <row r="97" spans="13:17" x14ac:dyDescent="0.35">
      <c r="M97" s="4">
        <v>2023</v>
      </c>
      <c r="N97" s="4" t="s">
        <v>17</v>
      </c>
      <c r="O97" s="4">
        <f>_xlfn.XLOOKUP(M97&amp;"-"&amp;N97,'Djøf Finance Workers'!D:D,'Djøf Finance Workers'!C:C,0,1)</f>
        <v>10262</v>
      </c>
      <c r="P97" s="4">
        <f>_xlfn.XLOOKUP(M97&amp;"-"&amp;N97,'Djøf Finance Hoppers'!D:D,'Djøf Finance Hoppers'!C:C,0,1)</f>
        <v>1798</v>
      </c>
      <c r="Q97" s="13">
        <f t="shared" si="8"/>
        <v>0.17520951081660496</v>
      </c>
    </row>
    <row r="98" spans="13:17" x14ac:dyDescent="0.35">
      <c r="M98" s="4">
        <v>2023</v>
      </c>
      <c r="N98" s="4" t="s">
        <v>18</v>
      </c>
      <c r="O98" s="4">
        <f>_xlfn.XLOOKUP(M98&amp;"-"&amp;N98,'Djøf Finance Workers'!D:D,'Djøf Finance Workers'!C:C,0,1)</f>
        <v>9513</v>
      </c>
      <c r="P98" s="4">
        <f>_xlfn.XLOOKUP(M98&amp;"-"&amp;N98,'Djøf Finance Hoppers'!D:D,'Djøf Finance Hoppers'!C:C,0,1)</f>
        <v>1564</v>
      </c>
      <c r="Q98" s="13">
        <f t="shared" si="8"/>
        <v>0.1644066014926942</v>
      </c>
    </row>
    <row r="99" spans="13:17" x14ac:dyDescent="0.35">
      <c r="M99" s="4">
        <v>2023</v>
      </c>
      <c r="N99" s="4" t="s">
        <v>19</v>
      </c>
      <c r="O99" s="4">
        <f>_xlfn.XLOOKUP(M99&amp;"-"&amp;N99,'Djøf Finance Workers'!D:D,'Djøf Finance Workers'!C:C,0,1)</f>
        <v>11614</v>
      </c>
      <c r="P99" s="4">
        <f>_xlfn.XLOOKUP(M99&amp;"-"&amp;N99,'Djøf Finance Hoppers'!D:D,'Djøf Finance Hoppers'!C:C,0,1)</f>
        <v>1583</v>
      </c>
      <c r="Q99" s="13">
        <f t="shared" si="8"/>
        <v>0.13630101601515413</v>
      </c>
    </row>
    <row r="100" spans="13:17" x14ac:dyDescent="0.35">
      <c r="M100" s="4">
        <v>2023</v>
      </c>
      <c r="N100" s="4" t="s">
        <v>20</v>
      </c>
      <c r="O100" s="4">
        <f>_xlfn.XLOOKUP(M100&amp;"-"&amp;N100,'Djøf Finance Workers'!D:D,'Djøf Finance Workers'!C:C,0,1)</f>
        <v>7443</v>
      </c>
      <c r="P100" s="4">
        <f>_xlfn.XLOOKUP(M100&amp;"-"&amp;N100,'Djøf Finance Hoppers'!D:D,'Djøf Finance Hoppers'!C:C,0,1)</f>
        <v>896</v>
      </c>
      <c r="Q100" s="13">
        <f t="shared" si="8"/>
        <v>0.12038156657261857</v>
      </c>
    </row>
    <row r="101" spans="13:17" x14ac:dyDescent="0.35">
      <c r="M101" s="4">
        <v>2023</v>
      </c>
      <c r="N101" s="4" t="s">
        <v>21</v>
      </c>
      <c r="O101" s="4">
        <f>_xlfn.XLOOKUP(M101&amp;"-"&amp;N101,'Djøf Finance Workers'!D:D,'Djøf Finance Workers'!C:C,0,1)</f>
        <v>3139</v>
      </c>
      <c r="P101" s="4">
        <f>_xlfn.XLOOKUP(M101&amp;"-"&amp;N101,'Djøf Finance Hoppers'!D:D,'Djøf Finance Hoppers'!C:C,0,1)</f>
        <v>295</v>
      </c>
      <c r="Q101" s="13">
        <f>IF(O101&gt;0, P101/O101, 0)</f>
        <v>9.3978974195603693E-2</v>
      </c>
    </row>
  </sheetData>
  <phoneticPr fontId="8" type="noConversion"/>
  <pageMargins left="0.7" right="0.7" top="0.75" bottom="0.75" header="0.3" footer="0.3"/>
  <tableParts count="3">
    <tablePart r:id="rId1"/>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4F9C8-6D12-4BCB-A3D1-086DAA0F4CF8}">
  <sheetPr>
    <tabColor theme="8" tint="0.79998168889431442"/>
  </sheetPr>
  <dimension ref="A1:D146"/>
  <sheetViews>
    <sheetView workbookViewId="0"/>
  </sheetViews>
  <sheetFormatPr defaultColWidth="8.81640625" defaultRowHeight="14.5" x14ac:dyDescent="0.35"/>
  <cols>
    <col min="2" max="2" width="13" customWidth="1"/>
    <col min="3" max="3" width="31" customWidth="1"/>
  </cols>
  <sheetData>
    <row r="1" spans="1:4" ht="24" thickBot="1" x14ac:dyDescent="0.6">
      <c r="A1" s="5" t="s">
        <v>40</v>
      </c>
      <c r="B1" s="6"/>
      <c r="C1" s="6"/>
    </row>
    <row r="2" spans="1:4" ht="15" thickTop="1" x14ac:dyDescent="0.35">
      <c r="C2" s="7" t="s">
        <v>7</v>
      </c>
    </row>
    <row r="3" spans="1:4" x14ac:dyDescent="0.35">
      <c r="C3" s="7" t="s">
        <v>41</v>
      </c>
    </row>
    <row r="4" spans="1:4" x14ac:dyDescent="0.35">
      <c r="C4" s="7" t="s">
        <v>8</v>
      </c>
    </row>
    <row r="5" spans="1:4" x14ac:dyDescent="0.35">
      <c r="C5" s="7" t="s">
        <v>9</v>
      </c>
    </row>
    <row r="6" spans="1:4" x14ac:dyDescent="0.35">
      <c r="C6" s="7" t="s">
        <v>10</v>
      </c>
    </row>
    <row r="7" spans="1:4" x14ac:dyDescent="0.35">
      <c r="C7" s="7" t="s">
        <v>42</v>
      </c>
    </row>
    <row r="8" spans="1:4" x14ac:dyDescent="0.35">
      <c r="A8" s="7" t="s">
        <v>22</v>
      </c>
      <c r="B8" s="7" t="s">
        <v>13</v>
      </c>
      <c r="C8" s="8">
        <v>3410</v>
      </c>
      <c r="D8" t="str">
        <f t="shared" ref="D8:D71" si="0">A8&amp;"-"&amp;B8</f>
        <v>2009-25-29 år</v>
      </c>
    </row>
    <row r="9" spans="1:4" x14ac:dyDescent="0.35">
      <c r="A9" s="7" t="s">
        <v>22</v>
      </c>
      <c r="B9" s="7" t="s">
        <v>14</v>
      </c>
      <c r="C9" s="8">
        <v>3525</v>
      </c>
      <c r="D9" t="str">
        <f t="shared" si="0"/>
        <v>2009-30-34 år</v>
      </c>
    </row>
    <row r="10" spans="1:4" x14ac:dyDescent="0.35">
      <c r="A10" s="7" t="s">
        <v>22</v>
      </c>
      <c r="B10" s="7" t="s">
        <v>15</v>
      </c>
      <c r="C10" s="8">
        <v>3090</v>
      </c>
      <c r="D10" t="str">
        <f t="shared" si="0"/>
        <v>2009-35-39 år</v>
      </c>
    </row>
    <row r="11" spans="1:4" x14ac:dyDescent="0.35">
      <c r="A11" s="7" t="s">
        <v>22</v>
      </c>
      <c r="B11" s="7" t="s">
        <v>16</v>
      </c>
      <c r="C11" s="8">
        <v>4180</v>
      </c>
      <c r="D11" t="str">
        <f t="shared" si="0"/>
        <v>2009-40-44 år</v>
      </c>
    </row>
    <row r="12" spans="1:4" x14ac:dyDescent="0.35">
      <c r="A12" s="7" t="s">
        <v>22</v>
      </c>
      <c r="B12" s="7" t="s">
        <v>17</v>
      </c>
      <c r="C12" s="8">
        <v>3533</v>
      </c>
      <c r="D12" t="str">
        <f t="shared" si="0"/>
        <v>2009-45-49 år</v>
      </c>
    </row>
    <row r="13" spans="1:4" x14ac:dyDescent="0.35">
      <c r="A13" s="7" t="s">
        <v>22</v>
      </c>
      <c r="B13" s="7" t="s">
        <v>18</v>
      </c>
      <c r="C13" s="8">
        <v>2940</v>
      </c>
      <c r="D13" t="str">
        <f t="shared" si="0"/>
        <v>2009-50-54 år</v>
      </c>
    </row>
    <row r="14" spans="1:4" x14ac:dyDescent="0.35">
      <c r="A14" s="7" t="s">
        <v>22</v>
      </c>
      <c r="B14" s="7" t="s">
        <v>19</v>
      </c>
      <c r="C14" s="8">
        <v>2419</v>
      </c>
      <c r="D14" t="str">
        <f t="shared" si="0"/>
        <v>2009-55-59 år</v>
      </c>
    </row>
    <row r="15" spans="1:4" x14ac:dyDescent="0.35">
      <c r="A15" s="7" t="s">
        <v>22</v>
      </c>
      <c r="B15" s="7" t="s">
        <v>20</v>
      </c>
      <c r="C15" s="8">
        <v>1263</v>
      </c>
      <c r="D15" t="str">
        <f t="shared" si="0"/>
        <v>2009-60-64 år</v>
      </c>
    </row>
    <row r="16" spans="1:4" x14ac:dyDescent="0.35">
      <c r="A16" s="7" t="s">
        <v>22</v>
      </c>
      <c r="B16" s="7" t="s">
        <v>43</v>
      </c>
      <c r="C16" s="8">
        <v>196</v>
      </c>
      <c r="D16" t="str">
        <f t="shared" si="0"/>
        <v>2009-65-69 år</v>
      </c>
    </row>
    <row r="17" spans="1:4" x14ac:dyDescent="0.35">
      <c r="A17" s="7" t="s">
        <v>23</v>
      </c>
      <c r="B17" s="7" t="s">
        <v>13</v>
      </c>
      <c r="C17" s="8">
        <v>2457</v>
      </c>
      <c r="D17" t="str">
        <f t="shared" si="0"/>
        <v>2010-25-29 år</v>
      </c>
    </row>
    <row r="18" spans="1:4" x14ac:dyDescent="0.35">
      <c r="A18" s="7" t="s">
        <v>23</v>
      </c>
      <c r="B18" s="7" t="s">
        <v>14</v>
      </c>
      <c r="C18" s="8">
        <v>2382</v>
      </c>
      <c r="D18" t="str">
        <f t="shared" si="0"/>
        <v>2010-30-34 år</v>
      </c>
    </row>
    <row r="19" spans="1:4" x14ac:dyDescent="0.35">
      <c r="A19" s="7" t="s">
        <v>23</v>
      </c>
      <c r="B19" s="7" t="s">
        <v>15</v>
      </c>
      <c r="C19" s="8">
        <v>1880</v>
      </c>
      <c r="D19" t="str">
        <f t="shared" si="0"/>
        <v>2010-35-39 år</v>
      </c>
    </row>
    <row r="20" spans="1:4" x14ac:dyDescent="0.35">
      <c r="A20" s="7" t="s">
        <v>23</v>
      </c>
      <c r="B20" s="7" t="s">
        <v>16</v>
      </c>
      <c r="C20" s="8">
        <v>2045</v>
      </c>
      <c r="D20" t="str">
        <f t="shared" si="0"/>
        <v>2010-40-44 år</v>
      </c>
    </row>
    <row r="21" spans="1:4" x14ac:dyDescent="0.35">
      <c r="A21" s="7" t="s">
        <v>23</v>
      </c>
      <c r="B21" s="7" t="s">
        <v>17</v>
      </c>
      <c r="C21" s="8">
        <v>1826</v>
      </c>
      <c r="D21" t="str">
        <f t="shared" si="0"/>
        <v>2010-45-49 år</v>
      </c>
    </row>
    <row r="22" spans="1:4" x14ac:dyDescent="0.35">
      <c r="A22" s="7" t="s">
        <v>23</v>
      </c>
      <c r="B22" s="7" t="s">
        <v>18</v>
      </c>
      <c r="C22" s="8">
        <v>1417</v>
      </c>
      <c r="D22" t="str">
        <f t="shared" si="0"/>
        <v>2010-50-54 år</v>
      </c>
    </row>
    <row r="23" spans="1:4" x14ac:dyDescent="0.35">
      <c r="A23" s="7" t="s">
        <v>23</v>
      </c>
      <c r="B23" s="7" t="s">
        <v>19</v>
      </c>
      <c r="C23" s="8">
        <v>1229</v>
      </c>
      <c r="D23" t="str">
        <f t="shared" si="0"/>
        <v>2010-55-59 år</v>
      </c>
    </row>
    <row r="24" spans="1:4" x14ac:dyDescent="0.35">
      <c r="A24" s="7" t="s">
        <v>23</v>
      </c>
      <c r="B24" s="7" t="s">
        <v>20</v>
      </c>
      <c r="C24" s="8">
        <v>712</v>
      </c>
      <c r="D24" t="str">
        <f t="shared" si="0"/>
        <v>2010-60-64 år</v>
      </c>
    </row>
    <row r="25" spans="1:4" x14ac:dyDescent="0.35">
      <c r="A25" s="7" t="s">
        <v>23</v>
      </c>
      <c r="B25" s="7" t="s">
        <v>43</v>
      </c>
      <c r="C25" s="8">
        <v>220</v>
      </c>
      <c r="D25" t="str">
        <f t="shared" si="0"/>
        <v>2010-65-69 år</v>
      </c>
    </row>
    <row r="26" spans="1:4" x14ac:dyDescent="0.35">
      <c r="A26" s="7" t="s">
        <v>24</v>
      </c>
      <c r="B26" s="7" t="s">
        <v>13</v>
      </c>
      <c r="C26" s="8">
        <v>2791</v>
      </c>
      <c r="D26" t="str">
        <f t="shared" si="0"/>
        <v>2011-25-29 år</v>
      </c>
    </row>
    <row r="27" spans="1:4" x14ac:dyDescent="0.35">
      <c r="A27" s="7" t="s">
        <v>24</v>
      </c>
      <c r="B27" s="7" t="s">
        <v>14</v>
      </c>
      <c r="C27" s="8">
        <v>2600</v>
      </c>
      <c r="D27" t="str">
        <f t="shared" si="0"/>
        <v>2011-30-34 år</v>
      </c>
    </row>
    <row r="28" spans="1:4" x14ac:dyDescent="0.35">
      <c r="A28" s="7" t="s">
        <v>24</v>
      </c>
      <c r="B28" s="7" t="s">
        <v>15</v>
      </c>
      <c r="C28" s="8">
        <v>2164</v>
      </c>
      <c r="D28" t="str">
        <f t="shared" si="0"/>
        <v>2011-35-39 år</v>
      </c>
    </row>
    <row r="29" spans="1:4" x14ac:dyDescent="0.35">
      <c r="A29" s="7" t="s">
        <v>24</v>
      </c>
      <c r="B29" s="7" t="s">
        <v>16</v>
      </c>
      <c r="C29" s="8">
        <v>2134</v>
      </c>
      <c r="D29" t="str">
        <f t="shared" si="0"/>
        <v>2011-40-44 år</v>
      </c>
    </row>
    <row r="30" spans="1:4" x14ac:dyDescent="0.35">
      <c r="A30" s="7" t="s">
        <v>24</v>
      </c>
      <c r="B30" s="7" t="s">
        <v>17</v>
      </c>
      <c r="C30" s="8">
        <v>2030</v>
      </c>
      <c r="D30" t="str">
        <f t="shared" si="0"/>
        <v>2011-45-49 år</v>
      </c>
    </row>
    <row r="31" spans="1:4" x14ac:dyDescent="0.35">
      <c r="A31" s="7" t="s">
        <v>24</v>
      </c>
      <c r="B31" s="7" t="s">
        <v>18</v>
      </c>
      <c r="C31" s="8">
        <v>1660</v>
      </c>
      <c r="D31" t="str">
        <f t="shared" si="0"/>
        <v>2011-50-54 år</v>
      </c>
    </row>
    <row r="32" spans="1:4" x14ac:dyDescent="0.35">
      <c r="A32" s="7" t="s">
        <v>24</v>
      </c>
      <c r="B32" s="7" t="s">
        <v>19</v>
      </c>
      <c r="C32" s="8">
        <v>1415</v>
      </c>
      <c r="D32" t="str">
        <f t="shared" si="0"/>
        <v>2011-55-59 år</v>
      </c>
    </row>
    <row r="33" spans="1:4" x14ac:dyDescent="0.35">
      <c r="A33" s="7" t="s">
        <v>24</v>
      </c>
      <c r="B33" s="7" t="s">
        <v>20</v>
      </c>
      <c r="C33" s="8">
        <v>726</v>
      </c>
      <c r="D33" t="str">
        <f t="shared" si="0"/>
        <v>2011-60-64 år</v>
      </c>
    </row>
    <row r="34" spans="1:4" x14ac:dyDescent="0.35">
      <c r="A34" s="7" t="s">
        <v>24</v>
      </c>
      <c r="B34" s="7" t="s">
        <v>43</v>
      </c>
      <c r="C34" s="8">
        <v>197</v>
      </c>
      <c r="D34" t="str">
        <f t="shared" si="0"/>
        <v>2011-65-69 år</v>
      </c>
    </row>
    <row r="35" spans="1:4" x14ac:dyDescent="0.35">
      <c r="A35" s="7" t="s">
        <v>25</v>
      </c>
      <c r="B35" s="7" t="s">
        <v>13</v>
      </c>
      <c r="C35" s="8">
        <v>2457</v>
      </c>
      <c r="D35" t="str">
        <f t="shared" si="0"/>
        <v>2012-25-29 år</v>
      </c>
    </row>
    <row r="36" spans="1:4" x14ac:dyDescent="0.35">
      <c r="A36" s="7" t="s">
        <v>25</v>
      </c>
      <c r="B36" s="7" t="s">
        <v>14</v>
      </c>
      <c r="C36" s="8">
        <v>2116</v>
      </c>
      <c r="D36" t="str">
        <f t="shared" si="0"/>
        <v>2012-30-34 år</v>
      </c>
    </row>
    <row r="37" spans="1:4" x14ac:dyDescent="0.35">
      <c r="A37" s="7" t="s">
        <v>25</v>
      </c>
      <c r="B37" s="7" t="s">
        <v>15</v>
      </c>
      <c r="C37" s="8">
        <v>1935</v>
      </c>
      <c r="D37" t="str">
        <f t="shared" si="0"/>
        <v>2012-35-39 år</v>
      </c>
    </row>
    <row r="38" spans="1:4" x14ac:dyDescent="0.35">
      <c r="A38" s="7" t="s">
        <v>25</v>
      </c>
      <c r="B38" s="7" t="s">
        <v>16</v>
      </c>
      <c r="C38" s="8">
        <v>1734</v>
      </c>
      <c r="D38" t="str">
        <f t="shared" si="0"/>
        <v>2012-40-44 år</v>
      </c>
    </row>
    <row r="39" spans="1:4" x14ac:dyDescent="0.35">
      <c r="A39" s="7" t="s">
        <v>25</v>
      </c>
      <c r="B39" s="7" t="s">
        <v>17</v>
      </c>
      <c r="C39" s="8">
        <v>1913</v>
      </c>
      <c r="D39" t="str">
        <f t="shared" si="0"/>
        <v>2012-45-49 år</v>
      </c>
    </row>
    <row r="40" spans="1:4" x14ac:dyDescent="0.35">
      <c r="A40" s="7" t="s">
        <v>25</v>
      </c>
      <c r="B40" s="7" t="s">
        <v>18</v>
      </c>
      <c r="C40" s="8">
        <v>1465</v>
      </c>
      <c r="D40" t="str">
        <f t="shared" si="0"/>
        <v>2012-50-54 år</v>
      </c>
    </row>
    <row r="41" spans="1:4" x14ac:dyDescent="0.35">
      <c r="A41" s="7" t="s">
        <v>25</v>
      </c>
      <c r="B41" s="7" t="s">
        <v>19</v>
      </c>
      <c r="C41" s="8">
        <v>1254</v>
      </c>
      <c r="D41" t="str">
        <f t="shared" si="0"/>
        <v>2012-55-59 år</v>
      </c>
    </row>
    <row r="42" spans="1:4" x14ac:dyDescent="0.35">
      <c r="A42" s="7" t="s">
        <v>25</v>
      </c>
      <c r="B42" s="7" t="s">
        <v>20</v>
      </c>
      <c r="C42" s="8">
        <v>718</v>
      </c>
      <c r="D42" t="str">
        <f t="shared" si="0"/>
        <v>2012-60-64 år</v>
      </c>
    </row>
    <row r="43" spans="1:4" x14ac:dyDescent="0.35">
      <c r="A43" s="7" t="s">
        <v>25</v>
      </c>
      <c r="B43" s="7" t="s">
        <v>43</v>
      </c>
      <c r="C43" s="8">
        <v>208</v>
      </c>
      <c r="D43" t="str">
        <f t="shared" si="0"/>
        <v>2012-65-69 år</v>
      </c>
    </row>
    <row r="44" spans="1:4" x14ac:dyDescent="0.35">
      <c r="A44" s="7" t="s">
        <v>26</v>
      </c>
      <c r="B44" s="7" t="s">
        <v>13</v>
      </c>
      <c r="C44" s="8">
        <v>2524</v>
      </c>
      <c r="D44" t="str">
        <f t="shared" si="0"/>
        <v>2013-25-29 år</v>
      </c>
    </row>
    <row r="45" spans="1:4" x14ac:dyDescent="0.35">
      <c r="A45" s="7" t="s">
        <v>26</v>
      </c>
      <c r="B45" s="7" t="s">
        <v>14</v>
      </c>
      <c r="C45" s="8">
        <v>2176</v>
      </c>
      <c r="D45" t="str">
        <f t="shared" si="0"/>
        <v>2013-30-34 år</v>
      </c>
    </row>
    <row r="46" spans="1:4" x14ac:dyDescent="0.35">
      <c r="A46" s="7" t="s">
        <v>26</v>
      </c>
      <c r="B46" s="7" t="s">
        <v>15</v>
      </c>
      <c r="C46" s="8">
        <v>1896</v>
      </c>
      <c r="D46" t="str">
        <f t="shared" si="0"/>
        <v>2013-35-39 år</v>
      </c>
    </row>
    <row r="47" spans="1:4" x14ac:dyDescent="0.35">
      <c r="A47" s="7" t="s">
        <v>26</v>
      </c>
      <c r="B47" s="7" t="s">
        <v>16</v>
      </c>
      <c r="C47" s="8">
        <v>1579</v>
      </c>
      <c r="D47" t="str">
        <f t="shared" si="0"/>
        <v>2013-40-44 år</v>
      </c>
    </row>
    <row r="48" spans="1:4" x14ac:dyDescent="0.35">
      <c r="A48" s="7" t="s">
        <v>26</v>
      </c>
      <c r="B48" s="7" t="s">
        <v>17</v>
      </c>
      <c r="C48" s="8">
        <v>1915</v>
      </c>
      <c r="D48" t="str">
        <f t="shared" si="0"/>
        <v>2013-45-49 år</v>
      </c>
    </row>
    <row r="49" spans="1:4" x14ac:dyDescent="0.35">
      <c r="A49" s="7" t="s">
        <v>26</v>
      </c>
      <c r="B49" s="7" t="s">
        <v>18</v>
      </c>
      <c r="C49" s="8">
        <v>1462</v>
      </c>
      <c r="D49" t="str">
        <f t="shared" si="0"/>
        <v>2013-50-54 år</v>
      </c>
    </row>
    <row r="50" spans="1:4" x14ac:dyDescent="0.35">
      <c r="A50" s="7" t="s">
        <v>26</v>
      </c>
      <c r="B50" s="7" t="s">
        <v>19</v>
      </c>
      <c r="C50" s="8">
        <v>1227</v>
      </c>
      <c r="D50" t="str">
        <f t="shared" si="0"/>
        <v>2013-55-59 år</v>
      </c>
    </row>
    <row r="51" spans="1:4" x14ac:dyDescent="0.35">
      <c r="A51" s="7" t="s">
        <v>26</v>
      </c>
      <c r="B51" s="7" t="s">
        <v>20</v>
      </c>
      <c r="C51" s="8">
        <v>667</v>
      </c>
      <c r="D51" t="str">
        <f t="shared" si="0"/>
        <v>2013-60-64 år</v>
      </c>
    </row>
    <row r="52" spans="1:4" x14ac:dyDescent="0.35">
      <c r="A52" s="7" t="s">
        <v>26</v>
      </c>
      <c r="B52" s="7" t="s">
        <v>43</v>
      </c>
      <c r="C52" s="8">
        <v>224</v>
      </c>
      <c r="D52" t="str">
        <f t="shared" si="0"/>
        <v>2013-65-69 år</v>
      </c>
    </row>
    <row r="53" spans="1:4" x14ac:dyDescent="0.35">
      <c r="A53" s="7" t="s">
        <v>27</v>
      </c>
      <c r="B53" s="7" t="s">
        <v>13</v>
      </c>
      <c r="C53" s="8">
        <v>2521</v>
      </c>
      <c r="D53" t="str">
        <f t="shared" si="0"/>
        <v>2014-25-29 år</v>
      </c>
    </row>
    <row r="54" spans="1:4" x14ac:dyDescent="0.35">
      <c r="A54" s="7" t="s">
        <v>27</v>
      </c>
      <c r="B54" s="7" t="s">
        <v>14</v>
      </c>
      <c r="C54" s="8">
        <v>2178</v>
      </c>
      <c r="D54" t="str">
        <f t="shared" si="0"/>
        <v>2014-30-34 år</v>
      </c>
    </row>
    <row r="55" spans="1:4" x14ac:dyDescent="0.35">
      <c r="A55" s="7" t="s">
        <v>27</v>
      </c>
      <c r="B55" s="7" t="s">
        <v>15</v>
      </c>
      <c r="C55" s="8">
        <v>2066</v>
      </c>
      <c r="D55" t="str">
        <f t="shared" si="0"/>
        <v>2014-35-39 år</v>
      </c>
    </row>
    <row r="56" spans="1:4" x14ac:dyDescent="0.35">
      <c r="A56" s="7" t="s">
        <v>27</v>
      </c>
      <c r="B56" s="7" t="s">
        <v>16</v>
      </c>
      <c r="C56" s="8">
        <v>1647</v>
      </c>
      <c r="D56" t="str">
        <f t="shared" si="0"/>
        <v>2014-40-44 år</v>
      </c>
    </row>
    <row r="57" spans="1:4" x14ac:dyDescent="0.35">
      <c r="A57" s="7" t="s">
        <v>27</v>
      </c>
      <c r="B57" s="7" t="s">
        <v>17</v>
      </c>
      <c r="C57" s="8">
        <v>1953</v>
      </c>
      <c r="D57" t="str">
        <f t="shared" si="0"/>
        <v>2014-45-49 år</v>
      </c>
    </row>
    <row r="58" spans="1:4" x14ac:dyDescent="0.35">
      <c r="A58" s="7" t="s">
        <v>27</v>
      </c>
      <c r="B58" s="7" t="s">
        <v>18</v>
      </c>
      <c r="C58" s="8">
        <v>1636</v>
      </c>
      <c r="D58" t="str">
        <f t="shared" si="0"/>
        <v>2014-50-54 år</v>
      </c>
    </row>
    <row r="59" spans="1:4" x14ac:dyDescent="0.35">
      <c r="A59" s="7" t="s">
        <v>27</v>
      </c>
      <c r="B59" s="7" t="s">
        <v>19</v>
      </c>
      <c r="C59" s="8">
        <v>1231</v>
      </c>
      <c r="D59" t="str">
        <f t="shared" si="0"/>
        <v>2014-55-59 år</v>
      </c>
    </row>
    <row r="60" spans="1:4" x14ac:dyDescent="0.35">
      <c r="A60" s="7" t="s">
        <v>27</v>
      </c>
      <c r="B60" s="7" t="s">
        <v>20</v>
      </c>
      <c r="C60" s="8">
        <v>706</v>
      </c>
      <c r="D60" t="str">
        <f t="shared" si="0"/>
        <v>2014-60-64 år</v>
      </c>
    </row>
    <row r="61" spans="1:4" x14ac:dyDescent="0.35">
      <c r="A61" s="7" t="s">
        <v>27</v>
      </c>
      <c r="B61" s="7" t="s">
        <v>43</v>
      </c>
      <c r="C61" s="8">
        <v>204</v>
      </c>
      <c r="D61" t="str">
        <f t="shared" si="0"/>
        <v>2014-65-69 år</v>
      </c>
    </row>
    <row r="62" spans="1:4" x14ac:dyDescent="0.35">
      <c r="A62" s="7" t="s">
        <v>28</v>
      </c>
      <c r="B62" s="7" t="s">
        <v>13</v>
      </c>
      <c r="C62" s="8">
        <v>2715</v>
      </c>
      <c r="D62" t="str">
        <f t="shared" si="0"/>
        <v>2015-25-29 år</v>
      </c>
    </row>
    <row r="63" spans="1:4" x14ac:dyDescent="0.35">
      <c r="A63" s="7" t="s">
        <v>28</v>
      </c>
      <c r="B63" s="7" t="s">
        <v>14</v>
      </c>
      <c r="C63" s="8">
        <v>2473</v>
      </c>
      <c r="D63" t="str">
        <f t="shared" si="0"/>
        <v>2015-30-34 år</v>
      </c>
    </row>
    <row r="64" spans="1:4" x14ac:dyDescent="0.35">
      <c r="A64" s="7" t="s">
        <v>28</v>
      </c>
      <c r="B64" s="7" t="s">
        <v>15</v>
      </c>
      <c r="C64" s="8">
        <v>2378</v>
      </c>
      <c r="D64" t="str">
        <f t="shared" si="0"/>
        <v>2015-35-39 år</v>
      </c>
    </row>
    <row r="65" spans="1:4" x14ac:dyDescent="0.35">
      <c r="A65" s="7" t="s">
        <v>28</v>
      </c>
      <c r="B65" s="7" t="s">
        <v>16</v>
      </c>
      <c r="C65" s="8">
        <v>1902</v>
      </c>
      <c r="D65" t="str">
        <f t="shared" si="0"/>
        <v>2015-40-44 år</v>
      </c>
    </row>
    <row r="66" spans="1:4" x14ac:dyDescent="0.35">
      <c r="A66" s="7" t="s">
        <v>28</v>
      </c>
      <c r="B66" s="7" t="s">
        <v>17</v>
      </c>
      <c r="C66" s="8">
        <v>2085</v>
      </c>
      <c r="D66" t="str">
        <f t="shared" si="0"/>
        <v>2015-45-49 år</v>
      </c>
    </row>
    <row r="67" spans="1:4" x14ac:dyDescent="0.35">
      <c r="A67" s="7" t="s">
        <v>28</v>
      </c>
      <c r="B67" s="7" t="s">
        <v>18</v>
      </c>
      <c r="C67" s="8">
        <v>1717</v>
      </c>
      <c r="D67" t="str">
        <f t="shared" si="0"/>
        <v>2015-50-54 år</v>
      </c>
    </row>
    <row r="68" spans="1:4" x14ac:dyDescent="0.35">
      <c r="A68" s="7" t="s">
        <v>28</v>
      </c>
      <c r="B68" s="7" t="s">
        <v>19</v>
      </c>
      <c r="C68" s="8">
        <v>1226</v>
      </c>
      <c r="D68" t="str">
        <f t="shared" si="0"/>
        <v>2015-55-59 år</v>
      </c>
    </row>
    <row r="69" spans="1:4" x14ac:dyDescent="0.35">
      <c r="A69" s="7" t="s">
        <v>28</v>
      </c>
      <c r="B69" s="7" t="s">
        <v>20</v>
      </c>
      <c r="C69" s="8">
        <v>583</v>
      </c>
      <c r="D69" t="str">
        <f t="shared" si="0"/>
        <v>2015-60-64 år</v>
      </c>
    </row>
    <row r="70" spans="1:4" x14ac:dyDescent="0.35">
      <c r="A70" s="7" t="s">
        <v>28</v>
      </c>
      <c r="B70" s="7" t="s">
        <v>43</v>
      </c>
      <c r="C70" s="8">
        <v>211</v>
      </c>
      <c r="D70" t="str">
        <f t="shared" si="0"/>
        <v>2015-65-69 år</v>
      </c>
    </row>
    <row r="71" spans="1:4" x14ac:dyDescent="0.35">
      <c r="A71" s="7" t="s">
        <v>29</v>
      </c>
      <c r="B71" s="7" t="s">
        <v>13</v>
      </c>
      <c r="C71" s="8">
        <v>3005</v>
      </c>
      <c r="D71" t="str">
        <f t="shared" si="0"/>
        <v>2016-25-29 år</v>
      </c>
    </row>
    <row r="72" spans="1:4" x14ac:dyDescent="0.35">
      <c r="A72" s="7" t="s">
        <v>29</v>
      </c>
      <c r="B72" s="7" t="s">
        <v>14</v>
      </c>
      <c r="C72" s="8">
        <v>2584</v>
      </c>
      <c r="D72" t="str">
        <f t="shared" ref="D72:D135" si="1">A72&amp;"-"&amp;B72</f>
        <v>2016-30-34 år</v>
      </c>
    </row>
    <row r="73" spans="1:4" x14ac:dyDescent="0.35">
      <c r="A73" s="7" t="s">
        <v>29</v>
      </c>
      <c r="B73" s="7" t="s">
        <v>15</v>
      </c>
      <c r="C73" s="8">
        <v>2311</v>
      </c>
      <c r="D73" t="str">
        <f t="shared" si="1"/>
        <v>2016-35-39 år</v>
      </c>
    </row>
    <row r="74" spans="1:4" x14ac:dyDescent="0.35">
      <c r="A74" s="7" t="s">
        <v>29</v>
      </c>
      <c r="B74" s="7" t="s">
        <v>16</v>
      </c>
      <c r="C74" s="8">
        <v>2111</v>
      </c>
      <c r="D74" t="str">
        <f t="shared" si="1"/>
        <v>2016-40-44 år</v>
      </c>
    </row>
    <row r="75" spans="1:4" x14ac:dyDescent="0.35">
      <c r="A75" s="7" t="s">
        <v>29</v>
      </c>
      <c r="B75" s="7" t="s">
        <v>17</v>
      </c>
      <c r="C75" s="8">
        <v>2000</v>
      </c>
      <c r="D75" t="str">
        <f t="shared" si="1"/>
        <v>2016-45-49 år</v>
      </c>
    </row>
    <row r="76" spans="1:4" x14ac:dyDescent="0.35">
      <c r="A76" s="7" t="s">
        <v>29</v>
      </c>
      <c r="B76" s="7" t="s">
        <v>18</v>
      </c>
      <c r="C76" s="8">
        <v>1808</v>
      </c>
      <c r="D76" t="str">
        <f t="shared" si="1"/>
        <v>2016-50-54 år</v>
      </c>
    </row>
    <row r="77" spans="1:4" x14ac:dyDescent="0.35">
      <c r="A77" s="7" t="s">
        <v>29</v>
      </c>
      <c r="B77" s="7" t="s">
        <v>19</v>
      </c>
      <c r="C77" s="8">
        <v>1301</v>
      </c>
      <c r="D77" t="str">
        <f t="shared" si="1"/>
        <v>2016-55-59 år</v>
      </c>
    </row>
    <row r="78" spans="1:4" x14ac:dyDescent="0.35">
      <c r="A78" s="7" t="s">
        <v>29</v>
      </c>
      <c r="B78" s="7" t="s">
        <v>20</v>
      </c>
      <c r="C78" s="8">
        <v>708</v>
      </c>
      <c r="D78" t="str">
        <f t="shared" si="1"/>
        <v>2016-60-64 år</v>
      </c>
    </row>
    <row r="79" spans="1:4" x14ac:dyDescent="0.35">
      <c r="A79" s="7" t="s">
        <v>29</v>
      </c>
      <c r="B79" s="7" t="s">
        <v>43</v>
      </c>
      <c r="C79" s="8">
        <v>183</v>
      </c>
      <c r="D79" t="str">
        <f t="shared" si="1"/>
        <v>2016-65-69 år</v>
      </c>
    </row>
    <row r="80" spans="1:4" x14ac:dyDescent="0.35">
      <c r="A80" s="7" t="s">
        <v>30</v>
      </c>
      <c r="B80" s="7" t="s">
        <v>13</v>
      </c>
      <c r="C80" s="8">
        <v>3106</v>
      </c>
      <c r="D80" t="str">
        <f t="shared" si="1"/>
        <v>2017-25-29 år</v>
      </c>
    </row>
    <row r="81" spans="1:4" x14ac:dyDescent="0.35">
      <c r="A81" s="7" t="s">
        <v>30</v>
      </c>
      <c r="B81" s="7" t="s">
        <v>14</v>
      </c>
      <c r="C81" s="8">
        <v>2692</v>
      </c>
      <c r="D81" t="str">
        <f t="shared" si="1"/>
        <v>2017-30-34 år</v>
      </c>
    </row>
    <row r="82" spans="1:4" x14ac:dyDescent="0.35">
      <c r="A82" s="7" t="s">
        <v>30</v>
      </c>
      <c r="B82" s="7" t="s">
        <v>15</v>
      </c>
      <c r="C82" s="8">
        <v>2452</v>
      </c>
      <c r="D82" t="str">
        <f t="shared" si="1"/>
        <v>2017-35-39 år</v>
      </c>
    </row>
    <row r="83" spans="1:4" x14ac:dyDescent="0.35">
      <c r="A83" s="7" t="s">
        <v>30</v>
      </c>
      <c r="B83" s="7" t="s">
        <v>16</v>
      </c>
      <c r="C83" s="8">
        <v>2105</v>
      </c>
      <c r="D83" t="str">
        <f t="shared" si="1"/>
        <v>2017-40-44 år</v>
      </c>
    </row>
    <row r="84" spans="1:4" x14ac:dyDescent="0.35">
      <c r="A84" s="7" t="s">
        <v>30</v>
      </c>
      <c r="B84" s="7" t="s">
        <v>17</v>
      </c>
      <c r="C84" s="8">
        <v>1892</v>
      </c>
      <c r="D84" t="str">
        <f t="shared" si="1"/>
        <v>2017-45-49 år</v>
      </c>
    </row>
    <row r="85" spans="1:4" x14ac:dyDescent="0.35">
      <c r="A85" s="7" t="s">
        <v>30</v>
      </c>
      <c r="B85" s="7" t="s">
        <v>18</v>
      </c>
      <c r="C85" s="8">
        <v>2042</v>
      </c>
      <c r="D85" t="str">
        <f t="shared" si="1"/>
        <v>2017-50-54 år</v>
      </c>
    </row>
    <row r="86" spans="1:4" x14ac:dyDescent="0.35">
      <c r="A86" s="7" t="s">
        <v>30</v>
      </c>
      <c r="B86" s="7" t="s">
        <v>19</v>
      </c>
      <c r="C86" s="8">
        <v>1410</v>
      </c>
      <c r="D86" t="str">
        <f t="shared" si="1"/>
        <v>2017-55-59 år</v>
      </c>
    </row>
    <row r="87" spans="1:4" x14ac:dyDescent="0.35">
      <c r="A87" s="7" t="s">
        <v>30</v>
      </c>
      <c r="B87" s="7" t="s">
        <v>20</v>
      </c>
      <c r="C87" s="8">
        <v>757</v>
      </c>
      <c r="D87" t="str">
        <f t="shared" si="1"/>
        <v>2017-60-64 år</v>
      </c>
    </row>
    <row r="88" spans="1:4" x14ac:dyDescent="0.35">
      <c r="A88" s="7" t="s">
        <v>30</v>
      </c>
      <c r="B88" s="7" t="s">
        <v>43</v>
      </c>
      <c r="C88" s="8">
        <v>194</v>
      </c>
      <c r="D88" t="str">
        <f t="shared" si="1"/>
        <v>2017-65-69 år</v>
      </c>
    </row>
    <row r="89" spans="1:4" x14ac:dyDescent="0.35">
      <c r="A89" s="7" t="s">
        <v>31</v>
      </c>
      <c r="B89" s="7" t="s">
        <v>13</v>
      </c>
      <c r="C89" s="8">
        <v>3149</v>
      </c>
      <c r="D89" t="str">
        <f t="shared" si="1"/>
        <v>2018-25-29 år</v>
      </c>
    </row>
    <row r="90" spans="1:4" x14ac:dyDescent="0.35">
      <c r="A90" s="7" t="s">
        <v>31</v>
      </c>
      <c r="B90" s="7" t="s">
        <v>14</v>
      </c>
      <c r="C90" s="8">
        <v>2658</v>
      </c>
      <c r="D90" t="str">
        <f t="shared" si="1"/>
        <v>2018-30-34 år</v>
      </c>
    </row>
    <row r="91" spans="1:4" x14ac:dyDescent="0.35">
      <c r="A91" s="7" t="s">
        <v>31</v>
      </c>
      <c r="B91" s="7" t="s">
        <v>15</v>
      </c>
      <c r="C91" s="8">
        <v>2333</v>
      </c>
      <c r="D91" t="str">
        <f t="shared" si="1"/>
        <v>2018-35-39 år</v>
      </c>
    </row>
    <row r="92" spans="1:4" x14ac:dyDescent="0.35">
      <c r="A92" s="7" t="s">
        <v>31</v>
      </c>
      <c r="B92" s="7" t="s">
        <v>16</v>
      </c>
      <c r="C92" s="8">
        <v>2068</v>
      </c>
      <c r="D92" t="str">
        <f t="shared" si="1"/>
        <v>2018-40-44 år</v>
      </c>
    </row>
    <row r="93" spans="1:4" x14ac:dyDescent="0.35">
      <c r="A93" s="7" t="s">
        <v>31</v>
      </c>
      <c r="B93" s="7" t="s">
        <v>17</v>
      </c>
      <c r="C93" s="8">
        <v>1770</v>
      </c>
      <c r="D93" t="str">
        <f t="shared" si="1"/>
        <v>2018-45-49 år</v>
      </c>
    </row>
    <row r="94" spans="1:4" x14ac:dyDescent="0.35">
      <c r="A94" s="7" t="s">
        <v>31</v>
      </c>
      <c r="B94" s="7" t="s">
        <v>18</v>
      </c>
      <c r="C94" s="8">
        <v>2055</v>
      </c>
      <c r="D94" t="str">
        <f t="shared" si="1"/>
        <v>2018-50-54 år</v>
      </c>
    </row>
    <row r="95" spans="1:4" x14ac:dyDescent="0.35">
      <c r="A95" s="7" t="s">
        <v>31</v>
      </c>
      <c r="B95" s="7" t="s">
        <v>19</v>
      </c>
      <c r="C95" s="8">
        <v>1415</v>
      </c>
      <c r="D95" t="str">
        <f t="shared" si="1"/>
        <v>2018-55-59 år</v>
      </c>
    </row>
    <row r="96" spans="1:4" x14ac:dyDescent="0.35">
      <c r="A96" s="7" t="s">
        <v>31</v>
      </c>
      <c r="B96" s="7" t="s">
        <v>20</v>
      </c>
      <c r="C96" s="8">
        <v>681</v>
      </c>
      <c r="D96" t="str">
        <f t="shared" si="1"/>
        <v>2018-60-64 år</v>
      </c>
    </row>
    <row r="97" spans="1:4" x14ac:dyDescent="0.35">
      <c r="A97" s="7" t="s">
        <v>31</v>
      </c>
      <c r="B97" s="7" t="s">
        <v>43</v>
      </c>
      <c r="C97" s="8">
        <v>174</v>
      </c>
      <c r="D97" t="str">
        <f t="shared" si="1"/>
        <v>2018-65-69 år</v>
      </c>
    </row>
    <row r="98" spans="1:4" x14ac:dyDescent="0.35">
      <c r="A98" s="7" t="s">
        <v>32</v>
      </c>
      <c r="B98" s="7" t="s">
        <v>13</v>
      </c>
      <c r="C98" s="8">
        <v>3477</v>
      </c>
      <c r="D98" t="str">
        <f t="shared" si="1"/>
        <v>2019-25-29 år</v>
      </c>
    </row>
    <row r="99" spans="1:4" x14ac:dyDescent="0.35">
      <c r="A99" s="7" t="s">
        <v>32</v>
      </c>
      <c r="B99" s="7" t="s">
        <v>14</v>
      </c>
      <c r="C99" s="8">
        <v>2839</v>
      </c>
      <c r="D99" t="str">
        <f t="shared" si="1"/>
        <v>2019-30-34 år</v>
      </c>
    </row>
    <row r="100" spans="1:4" x14ac:dyDescent="0.35">
      <c r="A100" s="7" t="s">
        <v>32</v>
      </c>
      <c r="B100" s="7" t="s">
        <v>15</v>
      </c>
      <c r="C100" s="8">
        <v>2298</v>
      </c>
      <c r="D100" t="str">
        <f t="shared" si="1"/>
        <v>2019-35-39 år</v>
      </c>
    </row>
    <row r="101" spans="1:4" x14ac:dyDescent="0.35">
      <c r="A101" s="7" t="s">
        <v>32</v>
      </c>
      <c r="B101" s="7" t="s">
        <v>16</v>
      </c>
      <c r="C101" s="8">
        <v>2100</v>
      </c>
      <c r="D101" t="str">
        <f t="shared" si="1"/>
        <v>2019-40-44 år</v>
      </c>
    </row>
    <row r="102" spans="1:4" x14ac:dyDescent="0.35">
      <c r="A102" s="7" t="s">
        <v>32</v>
      </c>
      <c r="B102" s="7" t="s">
        <v>17</v>
      </c>
      <c r="C102" s="8">
        <v>1802</v>
      </c>
      <c r="D102" t="str">
        <f t="shared" si="1"/>
        <v>2019-45-49 år</v>
      </c>
    </row>
    <row r="103" spans="1:4" x14ac:dyDescent="0.35">
      <c r="A103" s="7" t="s">
        <v>32</v>
      </c>
      <c r="B103" s="7" t="s">
        <v>18</v>
      </c>
      <c r="C103" s="8">
        <v>2054</v>
      </c>
      <c r="D103" t="str">
        <f t="shared" si="1"/>
        <v>2019-50-54 år</v>
      </c>
    </row>
    <row r="104" spans="1:4" x14ac:dyDescent="0.35">
      <c r="A104" s="7" t="s">
        <v>32</v>
      </c>
      <c r="B104" s="7" t="s">
        <v>19</v>
      </c>
      <c r="C104" s="8">
        <v>1383</v>
      </c>
      <c r="D104" t="str">
        <f t="shared" si="1"/>
        <v>2019-55-59 år</v>
      </c>
    </row>
    <row r="105" spans="1:4" x14ac:dyDescent="0.35">
      <c r="A105" s="7" t="s">
        <v>32</v>
      </c>
      <c r="B105" s="7" t="s">
        <v>20</v>
      </c>
      <c r="C105" s="8">
        <v>791</v>
      </c>
      <c r="D105" t="str">
        <f t="shared" si="1"/>
        <v>2019-60-64 år</v>
      </c>
    </row>
    <row r="106" spans="1:4" x14ac:dyDescent="0.35">
      <c r="A106" s="7" t="s">
        <v>32</v>
      </c>
      <c r="B106" s="7" t="s">
        <v>43</v>
      </c>
      <c r="C106" s="8">
        <v>188</v>
      </c>
      <c r="D106" t="str">
        <f t="shared" si="1"/>
        <v>2019-65-69 år</v>
      </c>
    </row>
    <row r="107" spans="1:4" x14ac:dyDescent="0.35">
      <c r="A107" s="7" t="s">
        <v>33</v>
      </c>
      <c r="B107" s="7" t="s">
        <v>13</v>
      </c>
      <c r="C107" s="8">
        <v>3028</v>
      </c>
      <c r="D107" t="str">
        <f t="shared" si="1"/>
        <v>2020-25-29 år</v>
      </c>
    </row>
    <row r="108" spans="1:4" x14ac:dyDescent="0.35">
      <c r="A108" s="7" t="s">
        <v>33</v>
      </c>
      <c r="B108" s="7" t="s">
        <v>14</v>
      </c>
      <c r="C108" s="8">
        <v>2339</v>
      </c>
      <c r="D108" t="str">
        <f t="shared" si="1"/>
        <v>2020-30-34 år</v>
      </c>
    </row>
    <row r="109" spans="1:4" x14ac:dyDescent="0.35">
      <c r="A109" s="7" t="s">
        <v>33</v>
      </c>
      <c r="B109" s="7" t="s">
        <v>15</v>
      </c>
      <c r="C109" s="8">
        <v>1929</v>
      </c>
      <c r="D109" t="str">
        <f t="shared" si="1"/>
        <v>2020-35-39 år</v>
      </c>
    </row>
    <row r="110" spans="1:4" x14ac:dyDescent="0.35">
      <c r="A110" s="7" t="s">
        <v>33</v>
      </c>
      <c r="B110" s="7" t="s">
        <v>16</v>
      </c>
      <c r="C110" s="8">
        <v>1758</v>
      </c>
      <c r="D110" t="str">
        <f t="shared" si="1"/>
        <v>2020-40-44 år</v>
      </c>
    </row>
    <row r="111" spans="1:4" x14ac:dyDescent="0.35">
      <c r="A111" s="7" t="s">
        <v>33</v>
      </c>
      <c r="B111" s="7" t="s">
        <v>17</v>
      </c>
      <c r="C111" s="8">
        <v>1654</v>
      </c>
      <c r="D111" t="str">
        <f t="shared" si="1"/>
        <v>2020-45-49 år</v>
      </c>
    </row>
    <row r="112" spans="1:4" x14ac:dyDescent="0.35">
      <c r="A112" s="7" t="s">
        <v>33</v>
      </c>
      <c r="B112" s="7" t="s">
        <v>18</v>
      </c>
      <c r="C112" s="8">
        <v>1616</v>
      </c>
      <c r="D112" t="str">
        <f t="shared" si="1"/>
        <v>2020-50-54 år</v>
      </c>
    </row>
    <row r="113" spans="1:4" x14ac:dyDescent="0.35">
      <c r="A113" s="7" t="s">
        <v>33</v>
      </c>
      <c r="B113" s="7" t="s">
        <v>19</v>
      </c>
      <c r="C113" s="8">
        <v>1279</v>
      </c>
      <c r="D113" t="str">
        <f t="shared" si="1"/>
        <v>2020-55-59 år</v>
      </c>
    </row>
    <row r="114" spans="1:4" x14ac:dyDescent="0.35">
      <c r="A114" s="7" t="s">
        <v>33</v>
      </c>
      <c r="B114" s="7" t="s">
        <v>20</v>
      </c>
      <c r="C114" s="8">
        <v>623</v>
      </c>
      <c r="D114" t="str">
        <f t="shared" si="1"/>
        <v>2020-60-64 år</v>
      </c>
    </row>
    <row r="115" spans="1:4" x14ac:dyDescent="0.35">
      <c r="A115" s="7" t="s">
        <v>33</v>
      </c>
      <c r="B115" s="7" t="s">
        <v>43</v>
      </c>
      <c r="C115" s="8">
        <v>201</v>
      </c>
      <c r="D115" t="str">
        <f t="shared" si="1"/>
        <v>2020-65-69 år</v>
      </c>
    </row>
    <row r="116" spans="1:4" x14ac:dyDescent="0.35">
      <c r="A116" s="7" t="s">
        <v>34</v>
      </c>
      <c r="B116" s="7" t="s">
        <v>13</v>
      </c>
      <c r="C116" s="8">
        <v>3854</v>
      </c>
      <c r="D116" t="str">
        <f t="shared" si="1"/>
        <v>2021-25-29 år</v>
      </c>
    </row>
    <row r="117" spans="1:4" x14ac:dyDescent="0.35">
      <c r="A117" s="7" t="s">
        <v>34</v>
      </c>
      <c r="B117" s="7" t="s">
        <v>14</v>
      </c>
      <c r="C117" s="8">
        <v>3059</v>
      </c>
      <c r="D117" t="str">
        <f t="shared" si="1"/>
        <v>2021-30-34 år</v>
      </c>
    </row>
    <row r="118" spans="1:4" x14ac:dyDescent="0.35">
      <c r="A118" s="7" t="s">
        <v>34</v>
      </c>
      <c r="B118" s="7" t="s">
        <v>15</v>
      </c>
      <c r="C118" s="8">
        <v>2330</v>
      </c>
      <c r="D118" t="str">
        <f t="shared" si="1"/>
        <v>2021-35-39 år</v>
      </c>
    </row>
    <row r="119" spans="1:4" x14ac:dyDescent="0.35">
      <c r="A119" s="7" t="s">
        <v>34</v>
      </c>
      <c r="B119" s="7" t="s">
        <v>16</v>
      </c>
      <c r="C119" s="8">
        <v>2220</v>
      </c>
      <c r="D119" t="str">
        <f t="shared" si="1"/>
        <v>2021-40-44 år</v>
      </c>
    </row>
    <row r="120" spans="1:4" x14ac:dyDescent="0.35">
      <c r="A120" s="7" t="s">
        <v>34</v>
      </c>
      <c r="B120" s="7" t="s">
        <v>17</v>
      </c>
      <c r="C120" s="8">
        <v>1980</v>
      </c>
      <c r="D120" t="str">
        <f t="shared" si="1"/>
        <v>2021-45-49 år</v>
      </c>
    </row>
    <row r="121" spans="1:4" x14ac:dyDescent="0.35">
      <c r="A121" s="7" t="s">
        <v>34</v>
      </c>
      <c r="B121" s="7" t="s">
        <v>18</v>
      </c>
      <c r="C121" s="8">
        <v>1810</v>
      </c>
      <c r="D121" t="str">
        <f t="shared" si="1"/>
        <v>2021-50-54 år</v>
      </c>
    </row>
    <row r="122" spans="1:4" x14ac:dyDescent="0.35">
      <c r="A122" s="7" t="s">
        <v>34</v>
      </c>
      <c r="B122" s="7" t="s">
        <v>19</v>
      </c>
      <c r="C122" s="8">
        <v>1631</v>
      </c>
      <c r="D122" t="str">
        <f t="shared" si="1"/>
        <v>2021-55-59 år</v>
      </c>
    </row>
    <row r="123" spans="1:4" x14ac:dyDescent="0.35">
      <c r="A123" s="7" t="s">
        <v>34</v>
      </c>
      <c r="B123" s="7" t="s">
        <v>20</v>
      </c>
      <c r="C123" s="8">
        <v>962</v>
      </c>
      <c r="D123" t="str">
        <f t="shared" si="1"/>
        <v>2021-60-64 år</v>
      </c>
    </row>
    <row r="124" spans="1:4" x14ac:dyDescent="0.35">
      <c r="A124" s="7" t="s">
        <v>34</v>
      </c>
      <c r="B124" s="7" t="s">
        <v>43</v>
      </c>
      <c r="C124" s="8">
        <v>216</v>
      </c>
      <c r="D124" t="str">
        <f t="shared" si="1"/>
        <v>2021-65-69 år</v>
      </c>
    </row>
    <row r="125" spans="1:4" x14ac:dyDescent="0.35">
      <c r="A125" s="7" t="s">
        <v>35</v>
      </c>
      <c r="B125" s="7" t="s">
        <v>13</v>
      </c>
      <c r="C125" s="8">
        <v>3870</v>
      </c>
      <c r="D125" t="str">
        <f t="shared" si="1"/>
        <v>2022-25-29 år</v>
      </c>
    </row>
    <row r="126" spans="1:4" x14ac:dyDescent="0.35">
      <c r="A126" s="7" t="s">
        <v>35</v>
      </c>
      <c r="B126" s="7" t="s">
        <v>14</v>
      </c>
      <c r="C126" s="8">
        <v>3004</v>
      </c>
      <c r="D126" t="str">
        <f t="shared" si="1"/>
        <v>2022-30-34 år</v>
      </c>
    </row>
    <row r="127" spans="1:4" x14ac:dyDescent="0.35">
      <c r="A127" s="7" t="s">
        <v>35</v>
      </c>
      <c r="B127" s="7" t="s">
        <v>15</v>
      </c>
      <c r="C127" s="8">
        <v>2511</v>
      </c>
      <c r="D127" t="str">
        <f t="shared" si="1"/>
        <v>2022-35-39 år</v>
      </c>
    </row>
    <row r="128" spans="1:4" x14ac:dyDescent="0.35">
      <c r="A128" s="7" t="s">
        <v>35</v>
      </c>
      <c r="B128" s="7" t="s">
        <v>16</v>
      </c>
      <c r="C128" s="8">
        <v>2191</v>
      </c>
      <c r="D128" t="str">
        <f t="shared" si="1"/>
        <v>2022-40-44 år</v>
      </c>
    </row>
    <row r="129" spans="1:4" x14ac:dyDescent="0.35">
      <c r="A129" s="7" t="s">
        <v>35</v>
      </c>
      <c r="B129" s="7" t="s">
        <v>17</v>
      </c>
      <c r="C129" s="8">
        <v>2044</v>
      </c>
      <c r="D129" t="str">
        <f t="shared" si="1"/>
        <v>2022-45-49 år</v>
      </c>
    </row>
    <row r="130" spans="1:4" x14ac:dyDescent="0.35">
      <c r="A130" s="7" t="s">
        <v>35</v>
      </c>
      <c r="B130" s="7" t="s">
        <v>18</v>
      </c>
      <c r="C130" s="8">
        <v>1683</v>
      </c>
      <c r="D130" t="str">
        <f t="shared" si="1"/>
        <v>2022-50-54 år</v>
      </c>
    </row>
    <row r="131" spans="1:4" x14ac:dyDescent="0.35">
      <c r="A131" s="7" t="s">
        <v>35</v>
      </c>
      <c r="B131" s="7" t="s">
        <v>19</v>
      </c>
      <c r="C131" s="8">
        <v>1578</v>
      </c>
      <c r="D131" t="str">
        <f t="shared" si="1"/>
        <v>2022-55-59 år</v>
      </c>
    </row>
    <row r="132" spans="1:4" x14ac:dyDescent="0.35">
      <c r="A132" s="7" t="s">
        <v>35</v>
      </c>
      <c r="B132" s="7" t="s">
        <v>20</v>
      </c>
      <c r="C132" s="8">
        <v>880</v>
      </c>
      <c r="D132" t="str">
        <f t="shared" si="1"/>
        <v>2022-60-64 år</v>
      </c>
    </row>
    <row r="133" spans="1:4" x14ac:dyDescent="0.35">
      <c r="A133" s="7" t="s">
        <v>35</v>
      </c>
      <c r="B133" s="7" t="s">
        <v>43</v>
      </c>
      <c r="C133" s="8">
        <v>265</v>
      </c>
      <c r="D133" t="str">
        <f t="shared" si="1"/>
        <v>2022-65-69 år</v>
      </c>
    </row>
    <row r="134" spans="1:4" x14ac:dyDescent="0.35">
      <c r="A134" s="7" t="s">
        <v>36</v>
      </c>
      <c r="B134" s="7" t="s">
        <v>13</v>
      </c>
      <c r="C134" s="8">
        <v>3662</v>
      </c>
      <c r="D134" t="str">
        <f t="shared" si="1"/>
        <v>2023-25-29 år</v>
      </c>
    </row>
    <row r="135" spans="1:4" x14ac:dyDescent="0.35">
      <c r="A135" s="7" t="s">
        <v>36</v>
      </c>
      <c r="B135" s="7" t="s">
        <v>14</v>
      </c>
      <c r="C135" s="8">
        <v>2878</v>
      </c>
      <c r="D135" t="str">
        <f t="shared" si="1"/>
        <v>2023-30-34 år</v>
      </c>
    </row>
    <row r="136" spans="1:4" x14ac:dyDescent="0.35">
      <c r="A136" s="7" t="s">
        <v>36</v>
      </c>
      <c r="B136" s="7" t="s">
        <v>15</v>
      </c>
      <c r="C136" s="8">
        <v>2160</v>
      </c>
      <c r="D136" t="str">
        <f t="shared" ref="D136:D141" si="2">A136&amp;"-"&amp;B136</f>
        <v>2023-35-39 år</v>
      </c>
    </row>
    <row r="137" spans="1:4" x14ac:dyDescent="0.35">
      <c r="A137" s="7" t="s">
        <v>36</v>
      </c>
      <c r="B137" s="7" t="s">
        <v>16</v>
      </c>
      <c r="C137" s="8">
        <v>1983</v>
      </c>
      <c r="D137" t="str">
        <f t="shared" si="2"/>
        <v>2023-40-44 år</v>
      </c>
    </row>
    <row r="138" spans="1:4" x14ac:dyDescent="0.35">
      <c r="A138" s="7" t="s">
        <v>36</v>
      </c>
      <c r="B138" s="7" t="s">
        <v>17</v>
      </c>
      <c r="C138" s="8">
        <v>1798</v>
      </c>
      <c r="D138" t="str">
        <f t="shared" si="2"/>
        <v>2023-45-49 år</v>
      </c>
    </row>
    <row r="139" spans="1:4" x14ac:dyDescent="0.35">
      <c r="A139" s="7" t="s">
        <v>36</v>
      </c>
      <c r="B139" s="7" t="s">
        <v>18</v>
      </c>
      <c r="C139" s="8">
        <v>1564</v>
      </c>
      <c r="D139" t="str">
        <f t="shared" si="2"/>
        <v>2023-50-54 år</v>
      </c>
    </row>
    <row r="140" spans="1:4" x14ac:dyDescent="0.35">
      <c r="A140" s="7" t="s">
        <v>36</v>
      </c>
      <c r="B140" s="7" t="s">
        <v>19</v>
      </c>
      <c r="C140" s="8">
        <v>1583</v>
      </c>
      <c r="D140" t="str">
        <f t="shared" si="2"/>
        <v>2023-55-59 år</v>
      </c>
    </row>
    <row r="141" spans="1:4" x14ac:dyDescent="0.35">
      <c r="A141" s="7" t="s">
        <v>36</v>
      </c>
      <c r="B141" s="7" t="s">
        <v>20</v>
      </c>
      <c r="C141" s="8">
        <v>896</v>
      </c>
      <c r="D141" t="str">
        <f t="shared" si="2"/>
        <v>2023-60-64 år</v>
      </c>
    </row>
    <row r="142" spans="1:4" ht="15" thickBot="1" x14ac:dyDescent="0.4">
      <c r="A142" s="7" t="s">
        <v>36</v>
      </c>
      <c r="B142" s="7" t="s">
        <v>43</v>
      </c>
      <c r="C142" s="8">
        <v>295</v>
      </c>
      <c r="D142" t="str">
        <f t="shared" ref="D142" si="3">A142&amp;"-"&amp;B142</f>
        <v>2023-65-69 år</v>
      </c>
    </row>
    <row r="143" spans="1:4" ht="15" thickTop="1" x14ac:dyDescent="0.35">
      <c r="A143" s="9"/>
      <c r="B143" s="9"/>
      <c r="C143" s="9"/>
    </row>
    <row r="145" spans="1:1" x14ac:dyDescent="0.35">
      <c r="A145" t="s">
        <v>38</v>
      </c>
    </row>
    <row r="146" spans="1:1" x14ac:dyDescent="0.35">
      <c r="A146" t="s">
        <v>39</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4F7E5-D381-4B3C-9673-A177186DF652}">
  <sheetPr>
    <tabColor theme="8" tint="0.79998168889431442"/>
  </sheetPr>
  <dimension ref="A1:D163"/>
  <sheetViews>
    <sheetView workbookViewId="0"/>
  </sheetViews>
  <sheetFormatPr defaultColWidth="8.81640625" defaultRowHeight="14.5" x14ac:dyDescent="0.35"/>
  <cols>
    <col min="2" max="2" width="13" customWidth="1"/>
    <col min="3" max="3" width="56" customWidth="1"/>
  </cols>
  <sheetData>
    <row r="1" spans="1:4" ht="24" thickBot="1" x14ac:dyDescent="0.6">
      <c r="A1" s="5" t="s">
        <v>6</v>
      </c>
      <c r="B1" s="6"/>
      <c r="C1" s="6"/>
    </row>
    <row r="2" spans="1:4" ht="15" thickTop="1" x14ac:dyDescent="0.35">
      <c r="C2" s="7" t="s">
        <v>7</v>
      </c>
    </row>
    <row r="3" spans="1:4" x14ac:dyDescent="0.35">
      <c r="C3" s="7" t="s">
        <v>8</v>
      </c>
    </row>
    <row r="4" spans="1:4" x14ac:dyDescent="0.35">
      <c r="C4" s="7" t="s">
        <v>9</v>
      </c>
    </row>
    <row r="5" spans="1:4" x14ac:dyDescent="0.35">
      <c r="C5" s="7" t="s">
        <v>10</v>
      </c>
    </row>
    <row r="6" spans="1:4" x14ac:dyDescent="0.35">
      <c r="C6" s="7" t="s">
        <v>11</v>
      </c>
    </row>
    <row r="7" spans="1:4" x14ac:dyDescent="0.35">
      <c r="A7" s="7" t="s">
        <v>12</v>
      </c>
      <c r="B7" s="7" t="s">
        <v>13</v>
      </c>
      <c r="C7" s="8">
        <v>6876</v>
      </c>
      <c r="D7" t="str">
        <f t="shared" ref="D7:D70" si="0">A7&amp;"-"&amp;B7</f>
        <v>2008-25-29 år</v>
      </c>
    </row>
    <row r="8" spans="1:4" x14ac:dyDescent="0.35">
      <c r="A8" s="7" t="s">
        <v>12</v>
      </c>
      <c r="B8" s="7" t="s">
        <v>14</v>
      </c>
      <c r="C8" s="8">
        <v>8541</v>
      </c>
      <c r="D8" t="str">
        <f t="shared" si="0"/>
        <v>2008-30-34 år</v>
      </c>
    </row>
    <row r="9" spans="1:4" x14ac:dyDescent="0.35">
      <c r="A9" s="7" t="s">
        <v>12</v>
      </c>
      <c r="B9" s="7" t="s">
        <v>15</v>
      </c>
      <c r="C9" s="8">
        <v>8222</v>
      </c>
      <c r="D9" t="str">
        <f t="shared" si="0"/>
        <v>2008-35-39 år</v>
      </c>
    </row>
    <row r="10" spans="1:4" x14ac:dyDescent="0.35">
      <c r="A10" s="7" t="s">
        <v>12</v>
      </c>
      <c r="B10" s="7" t="s">
        <v>16</v>
      </c>
      <c r="C10" s="8">
        <v>11172</v>
      </c>
      <c r="D10" t="str">
        <f t="shared" si="0"/>
        <v>2008-40-44 år</v>
      </c>
    </row>
    <row r="11" spans="1:4" x14ac:dyDescent="0.35">
      <c r="A11" s="7" t="s">
        <v>12</v>
      </c>
      <c r="B11" s="7" t="s">
        <v>17</v>
      </c>
      <c r="C11" s="8">
        <v>9399</v>
      </c>
      <c r="D11" t="str">
        <f t="shared" si="0"/>
        <v>2008-45-49 år</v>
      </c>
    </row>
    <row r="12" spans="1:4" x14ac:dyDescent="0.35">
      <c r="A12" s="7" t="s">
        <v>12</v>
      </c>
      <c r="B12" s="7" t="s">
        <v>18</v>
      </c>
      <c r="C12" s="8">
        <v>8459</v>
      </c>
      <c r="D12" t="str">
        <f t="shared" si="0"/>
        <v>2008-50-54 år</v>
      </c>
    </row>
    <row r="13" spans="1:4" x14ac:dyDescent="0.35">
      <c r="A13" s="7" t="s">
        <v>12</v>
      </c>
      <c r="B13" s="7" t="s">
        <v>19</v>
      </c>
      <c r="C13" s="8">
        <v>7916</v>
      </c>
      <c r="D13" t="str">
        <f t="shared" si="0"/>
        <v>2008-55-59 år</v>
      </c>
    </row>
    <row r="14" spans="1:4" x14ac:dyDescent="0.35">
      <c r="A14" s="7" t="s">
        <v>12</v>
      </c>
      <c r="B14" s="7" t="s">
        <v>20</v>
      </c>
      <c r="C14" s="8">
        <v>4371</v>
      </c>
      <c r="D14" t="str">
        <f t="shared" si="0"/>
        <v>2008-60-64 år</v>
      </c>
    </row>
    <row r="15" spans="1:4" x14ac:dyDescent="0.35">
      <c r="A15" s="7" t="s">
        <v>12</v>
      </c>
      <c r="B15" s="7" t="s">
        <v>21</v>
      </c>
      <c r="C15" s="8">
        <v>857</v>
      </c>
      <c r="D15" t="str">
        <f t="shared" si="0"/>
        <v>2008-65+ år</v>
      </c>
    </row>
    <row r="16" spans="1:4" x14ac:dyDescent="0.35">
      <c r="A16" s="7" t="s">
        <v>22</v>
      </c>
      <c r="B16" s="7" t="s">
        <v>13</v>
      </c>
      <c r="C16" s="8">
        <v>7284</v>
      </c>
      <c r="D16" t="str">
        <f t="shared" si="0"/>
        <v>2009-25-29 år</v>
      </c>
    </row>
    <row r="17" spans="1:4" x14ac:dyDescent="0.35">
      <c r="A17" s="7" t="s">
        <v>22</v>
      </c>
      <c r="B17" s="7" t="s">
        <v>14</v>
      </c>
      <c r="C17" s="8">
        <v>9750</v>
      </c>
      <c r="D17" t="str">
        <f t="shared" si="0"/>
        <v>2009-30-34 år</v>
      </c>
    </row>
    <row r="18" spans="1:4" x14ac:dyDescent="0.35">
      <c r="A18" s="7" t="s">
        <v>22</v>
      </c>
      <c r="B18" s="7" t="s">
        <v>15</v>
      </c>
      <c r="C18" s="8">
        <v>9328</v>
      </c>
      <c r="D18" t="str">
        <f t="shared" si="0"/>
        <v>2009-35-39 år</v>
      </c>
    </row>
    <row r="19" spans="1:4" x14ac:dyDescent="0.35">
      <c r="A19" s="7" t="s">
        <v>22</v>
      </c>
      <c r="B19" s="7" t="s">
        <v>16</v>
      </c>
      <c r="C19" s="8">
        <v>12571</v>
      </c>
      <c r="D19" t="str">
        <f t="shared" si="0"/>
        <v>2009-40-44 år</v>
      </c>
    </row>
    <row r="20" spans="1:4" x14ac:dyDescent="0.35">
      <c r="A20" s="7" t="s">
        <v>22</v>
      </c>
      <c r="B20" s="7" t="s">
        <v>17</v>
      </c>
      <c r="C20" s="8">
        <v>11248</v>
      </c>
      <c r="D20" t="str">
        <f t="shared" si="0"/>
        <v>2009-45-49 år</v>
      </c>
    </row>
    <row r="21" spans="1:4" x14ac:dyDescent="0.35">
      <c r="A21" s="7" t="s">
        <v>22</v>
      </c>
      <c r="B21" s="7" t="s">
        <v>18</v>
      </c>
      <c r="C21" s="8">
        <v>9862</v>
      </c>
      <c r="D21" t="str">
        <f t="shared" si="0"/>
        <v>2009-50-54 år</v>
      </c>
    </row>
    <row r="22" spans="1:4" x14ac:dyDescent="0.35">
      <c r="A22" s="7" t="s">
        <v>22</v>
      </c>
      <c r="B22" s="7" t="s">
        <v>19</v>
      </c>
      <c r="C22" s="8">
        <v>9081</v>
      </c>
      <c r="D22" t="str">
        <f t="shared" si="0"/>
        <v>2009-55-59 år</v>
      </c>
    </row>
    <row r="23" spans="1:4" x14ac:dyDescent="0.35">
      <c r="A23" s="7" t="s">
        <v>22</v>
      </c>
      <c r="B23" s="7" t="s">
        <v>20</v>
      </c>
      <c r="C23" s="8">
        <v>5056</v>
      </c>
      <c r="D23" t="str">
        <f t="shared" si="0"/>
        <v>2009-60-64 år</v>
      </c>
    </row>
    <row r="24" spans="1:4" x14ac:dyDescent="0.35">
      <c r="A24" s="7" t="s">
        <v>22</v>
      </c>
      <c r="B24" s="7" t="s">
        <v>21</v>
      </c>
      <c r="C24" s="8">
        <v>984</v>
      </c>
      <c r="D24" t="str">
        <f t="shared" si="0"/>
        <v>2009-65+ år</v>
      </c>
    </row>
    <row r="25" spans="1:4" x14ac:dyDescent="0.35">
      <c r="A25" s="7" t="s">
        <v>23</v>
      </c>
      <c r="B25" s="7" t="s">
        <v>13</v>
      </c>
      <c r="C25" s="8">
        <v>6802</v>
      </c>
      <c r="D25" t="str">
        <f t="shared" si="0"/>
        <v>2010-25-29 år</v>
      </c>
    </row>
    <row r="26" spans="1:4" x14ac:dyDescent="0.35">
      <c r="A26" s="7" t="s">
        <v>23</v>
      </c>
      <c r="B26" s="7" t="s">
        <v>14</v>
      </c>
      <c r="C26" s="8">
        <v>9673</v>
      </c>
      <c r="D26" t="str">
        <f t="shared" si="0"/>
        <v>2010-30-34 år</v>
      </c>
    </row>
    <row r="27" spans="1:4" x14ac:dyDescent="0.35">
      <c r="A27" s="7" t="s">
        <v>23</v>
      </c>
      <c r="B27" s="7" t="s">
        <v>15</v>
      </c>
      <c r="C27" s="8">
        <v>9565</v>
      </c>
      <c r="D27" t="str">
        <f t="shared" si="0"/>
        <v>2010-35-39 år</v>
      </c>
    </row>
    <row r="28" spans="1:4" x14ac:dyDescent="0.35">
      <c r="A28" s="7" t="s">
        <v>23</v>
      </c>
      <c r="B28" s="7" t="s">
        <v>16</v>
      </c>
      <c r="C28" s="8">
        <v>11893</v>
      </c>
      <c r="D28" t="str">
        <f t="shared" si="0"/>
        <v>2010-40-44 år</v>
      </c>
    </row>
    <row r="29" spans="1:4" x14ac:dyDescent="0.35">
      <c r="A29" s="7" t="s">
        <v>23</v>
      </c>
      <c r="B29" s="7" t="s">
        <v>17</v>
      </c>
      <c r="C29" s="8">
        <v>11808</v>
      </c>
      <c r="D29" t="str">
        <f t="shared" si="0"/>
        <v>2010-45-49 år</v>
      </c>
    </row>
    <row r="30" spans="1:4" x14ac:dyDescent="0.35">
      <c r="A30" s="7" t="s">
        <v>23</v>
      </c>
      <c r="B30" s="7" t="s">
        <v>18</v>
      </c>
      <c r="C30" s="8">
        <v>10091</v>
      </c>
      <c r="D30" t="str">
        <f t="shared" si="0"/>
        <v>2010-50-54 år</v>
      </c>
    </row>
    <row r="31" spans="1:4" x14ac:dyDescent="0.35">
      <c r="A31" s="7" t="s">
        <v>23</v>
      </c>
      <c r="B31" s="7" t="s">
        <v>19</v>
      </c>
      <c r="C31" s="8">
        <v>9186</v>
      </c>
      <c r="D31" t="str">
        <f t="shared" si="0"/>
        <v>2010-55-59 år</v>
      </c>
    </row>
    <row r="32" spans="1:4" x14ac:dyDescent="0.35">
      <c r="A32" s="7" t="s">
        <v>23</v>
      </c>
      <c r="B32" s="7" t="s">
        <v>20</v>
      </c>
      <c r="C32" s="8">
        <v>5175</v>
      </c>
      <c r="D32" t="str">
        <f t="shared" si="0"/>
        <v>2010-60-64 år</v>
      </c>
    </row>
    <row r="33" spans="1:4" x14ac:dyDescent="0.35">
      <c r="A33" s="7" t="s">
        <v>23</v>
      </c>
      <c r="B33" s="7" t="s">
        <v>21</v>
      </c>
      <c r="C33" s="8">
        <v>1161</v>
      </c>
      <c r="D33" t="str">
        <f t="shared" si="0"/>
        <v>2010-65+ år</v>
      </c>
    </row>
    <row r="34" spans="1:4" x14ac:dyDescent="0.35">
      <c r="A34" s="7" t="s">
        <v>24</v>
      </c>
      <c r="B34" s="7" t="s">
        <v>13</v>
      </c>
      <c r="C34" s="8">
        <v>6619</v>
      </c>
      <c r="D34" t="str">
        <f t="shared" si="0"/>
        <v>2011-25-29 år</v>
      </c>
    </row>
    <row r="35" spans="1:4" x14ac:dyDescent="0.35">
      <c r="A35" s="7" t="s">
        <v>24</v>
      </c>
      <c r="B35" s="7" t="s">
        <v>14</v>
      </c>
      <c r="C35" s="8">
        <v>9409</v>
      </c>
      <c r="D35" t="str">
        <f t="shared" si="0"/>
        <v>2011-30-34 år</v>
      </c>
    </row>
    <row r="36" spans="1:4" x14ac:dyDescent="0.35">
      <c r="A36" s="7" t="s">
        <v>24</v>
      </c>
      <c r="B36" s="7" t="s">
        <v>15</v>
      </c>
      <c r="C36" s="8">
        <v>9809</v>
      </c>
      <c r="D36" t="str">
        <f t="shared" si="0"/>
        <v>2011-35-39 år</v>
      </c>
    </row>
    <row r="37" spans="1:4" x14ac:dyDescent="0.35">
      <c r="A37" s="7" t="s">
        <v>24</v>
      </c>
      <c r="B37" s="7" t="s">
        <v>16</v>
      </c>
      <c r="C37" s="8">
        <v>10924</v>
      </c>
      <c r="D37" t="str">
        <f t="shared" si="0"/>
        <v>2011-40-44 år</v>
      </c>
    </row>
    <row r="38" spans="1:4" x14ac:dyDescent="0.35">
      <c r="A38" s="7" t="s">
        <v>24</v>
      </c>
      <c r="B38" s="7" t="s">
        <v>17</v>
      </c>
      <c r="C38" s="8">
        <v>12323</v>
      </c>
      <c r="D38" t="str">
        <f t="shared" si="0"/>
        <v>2011-45-49 år</v>
      </c>
    </row>
    <row r="39" spans="1:4" x14ac:dyDescent="0.35">
      <c r="A39" s="7" t="s">
        <v>24</v>
      </c>
      <c r="B39" s="7" t="s">
        <v>18</v>
      </c>
      <c r="C39" s="8">
        <v>10305</v>
      </c>
      <c r="D39" t="str">
        <f t="shared" si="0"/>
        <v>2011-50-54 år</v>
      </c>
    </row>
    <row r="40" spans="1:4" x14ac:dyDescent="0.35">
      <c r="A40" s="7" t="s">
        <v>24</v>
      </c>
      <c r="B40" s="7" t="s">
        <v>19</v>
      </c>
      <c r="C40" s="8">
        <v>9210</v>
      </c>
      <c r="D40" t="str">
        <f t="shared" si="0"/>
        <v>2011-55-59 år</v>
      </c>
    </row>
    <row r="41" spans="1:4" x14ac:dyDescent="0.35">
      <c r="A41" s="7" t="s">
        <v>24</v>
      </c>
      <c r="B41" s="7" t="s">
        <v>20</v>
      </c>
      <c r="C41" s="8">
        <v>5200</v>
      </c>
      <c r="D41" t="str">
        <f t="shared" si="0"/>
        <v>2011-60-64 år</v>
      </c>
    </row>
    <row r="42" spans="1:4" x14ac:dyDescent="0.35">
      <c r="A42" s="7" t="s">
        <v>24</v>
      </c>
      <c r="B42" s="7" t="s">
        <v>21</v>
      </c>
      <c r="C42" s="8">
        <v>1320</v>
      </c>
      <c r="D42" t="str">
        <f t="shared" si="0"/>
        <v>2011-65+ år</v>
      </c>
    </row>
    <row r="43" spans="1:4" x14ac:dyDescent="0.35">
      <c r="A43" s="7" t="s">
        <v>25</v>
      </c>
      <c r="B43" s="7" t="s">
        <v>13</v>
      </c>
      <c r="C43" s="8">
        <v>6332</v>
      </c>
      <c r="D43" t="str">
        <f t="shared" si="0"/>
        <v>2012-25-29 år</v>
      </c>
    </row>
    <row r="44" spans="1:4" x14ac:dyDescent="0.35">
      <c r="A44" s="7" t="s">
        <v>25</v>
      </c>
      <c r="B44" s="7" t="s">
        <v>14</v>
      </c>
      <c r="C44" s="8">
        <v>8887</v>
      </c>
      <c r="D44" t="str">
        <f t="shared" si="0"/>
        <v>2012-30-34 år</v>
      </c>
    </row>
    <row r="45" spans="1:4" x14ac:dyDescent="0.35">
      <c r="A45" s="7" t="s">
        <v>25</v>
      </c>
      <c r="B45" s="7" t="s">
        <v>15</v>
      </c>
      <c r="C45" s="8">
        <v>9638</v>
      </c>
      <c r="D45" t="str">
        <f t="shared" si="0"/>
        <v>2012-35-39 år</v>
      </c>
    </row>
    <row r="46" spans="1:4" x14ac:dyDescent="0.35">
      <c r="A46" s="7" t="s">
        <v>25</v>
      </c>
      <c r="B46" s="7" t="s">
        <v>16</v>
      </c>
      <c r="C46" s="8">
        <v>9823</v>
      </c>
      <c r="D46" t="str">
        <f t="shared" si="0"/>
        <v>2012-40-44 år</v>
      </c>
    </row>
    <row r="47" spans="1:4" x14ac:dyDescent="0.35">
      <c r="A47" s="7" t="s">
        <v>25</v>
      </c>
      <c r="B47" s="7" t="s">
        <v>17</v>
      </c>
      <c r="C47" s="8">
        <v>12680</v>
      </c>
      <c r="D47" t="str">
        <f t="shared" si="0"/>
        <v>2012-45-49 år</v>
      </c>
    </row>
    <row r="48" spans="1:4" x14ac:dyDescent="0.35">
      <c r="A48" s="7" t="s">
        <v>25</v>
      </c>
      <c r="B48" s="7" t="s">
        <v>18</v>
      </c>
      <c r="C48" s="8">
        <v>10381</v>
      </c>
      <c r="D48" t="str">
        <f t="shared" si="0"/>
        <v>2012-50-54 år</v>
      </c>
    </row>
    <row r="49" spans="1:4" x14ac:dyDescent="0.35">
      <c r="A49" s="7" t="s">
        <v>25</v>
      </c>
      <c r="B49" s="7" t="s">
        <v>19</v>
      </c>
      <c r="C49" s="8">
        <v>9032</v>
      </c>
      <c r="D49" t="str">
        <f t="shared" si="0"/>
        <v>2012-55-59 år</v>
      </c>
    </row>
    <row r="50" spans="1:4" x14ac:dyDescent="0.35">
      <c r="A50" s="7" t="s">
        <v>25</v>
      </c>
      <c r="B50" s="7" t="s">
        <v>20</v>
      </c>
      <c r="C50" s="8">
        <v>5237</v>
      </c>
      <c r="D50" t="str">
        <f t="shared" si="0"/>
        <v>2012-60-64 år</v>
      </c>
    </row>
    <row r="51" spans="1:4" x14ac:dyDescent="0.35">
      <c r="A51" s="7" t="s">
        <v>25</v>
      </c>
      <c r="B51" s="7" t="s">
        <v>21</v>
      </c>
      <c r="C51" s="8">
        <v>1446</v>
      </c>
      <c r="D51" t="str">
        <f t="shared" si="0"/>
        <v>2012-65+ år</v>
      </c>
    </row>
    <row r="52" spans="1:4" x14ac:dyDescent="0.35">
      <c r="A52" s="7" t="s">
        <v>26</v>
      </c>
      <c r="B52" s="7" t="s">
        <v>13</v>
      </c>
      <c r="C52" s="8">
        <v>6202</v>
      </c>
      <c r="D52" t="str">
        <f t="shared" si="0"/>
        <v>2013-25-29 år</v>
      </c>
    </row>
    <row r="53" spans="1:4" x14ac:dyDescent="0.35">
      <c r="A53" s="7" t="s">
        <v>26</v>
      </c>
      <c r="B53" s="7" t="s">
        <v>14</v>
      </c>
      <c r="C53" s="8">
        <v>8560</v>
      </c>
      <c r="D53" t="str">
        <f t="shared" si="0"/>
        <v>2013-30-34 år</v>
      </c>
    </row>
    <row r="54" spans="1:4" x14ac:dyDescent="0.35">
      <c r="A54" s="7" t="s">
        <v>26</v>
      </c>
      <c r="B54" s="7" t="s">
        <v>15</v>
      </c>
      <c r="C54" s="8">
        <v>9790</v>
      </c>
      <c r="D54" t="str">
        <f t="shared" si="0"/>
        <v>2013-35-39 år</v>
      </c>
    </row>
    <row r="55" spans="1:4" x14ac:dyDescent="0.35">
      <c r="A55" s="7" t="s">
        <v>26</v>
      </c>
      <c r="B55" s="7" t="s">
        <v>16</v>
      </c>
      <c r="C55" s="8">
        <v>9383</v>
      </c>
      <c r="D55" t="str">
        <f t="shared" si="0"/>
        <v>2013-40-44 år</v>
      </c>
    </row>
    <row r="56" spans="1:4" x14ac:dyDescent="0.35">
      <c r="A56" s="7" t="s">
        <v>26</v>
      </c>
      <c r="B56" s="7" t="s">
        <v>17</v>
      </c>
      <c r="C56" s="8">
        <v>12762</v>
      </c>
      <c r="D56" t="str">
        <f t="shared" si="0"/>
        <v>2013-45-49 år</v>
      </c>
    </row>
    <row r="57" spans="1:4" x14ac:dyDescent="0.35">
      <c r="A57" s="7" t="s">
        <v>26</v>
      </c>
      <c r="B57" s="7" t="s">
        <v>18</v>
      </c>
      <c r="C57" s="8">
        <v>10587</v>
      </c>
      <c r="D57" t="str">
        <f t="shared" si="0"/>
        <v>2013-50-54 år</v>
      </c>
    </row>
    <row r="58" spans="1:4" x14ac:dyDescent="0.35">
      <c r="A58" s="7" t="s">
        <v>26</v>
      </c>
      <c r="B58" s="7" t="s">
        <v>19</v>
      </c>
      <c r="C58" s="8">
        <v>8811</v>
      </c>
      <c r="D58" t="str">
        <f t="shared" si="0"/>
        <v>2013-55-59 år</v>
      </c>
    </row>
    <row r="59" spans="1:4" x14ac:dyDescent="0.35">
      <c r="A59" s="7" t="s">
        <v>26</v>
      </c>
      <c r="B59" s="7" t="s">
        <v>20</v>
      </c>
      <c r="C59" s="8">
        <v>5072</v>
      </c>
      <c r="D59" t="str">
        <f t="shared" si="0"/>
        <v>2013-60-64 år</v>
      </c>
    </row>
    <row r="60" spans="1:4" x14ac:dyDescent="0.35">
      <c r="A60" s="7" t="s">
        <v>26</v>
      </c>
      <c r="B60" s="7" t="s">
        <v>21</v>
      </c>
      <c r="C60" s="8">
        <v>1539</v>
      </c>
      <c r="D60" t="str">
        <f t="shared" si="0"/>
        <v>2013-65+ år</v>
      </c>
    </row>
    <row r="61" spans="1:4" x14ac:dyDescent="0.35">
      <c r="A61" s="7" t="s">
        <v>27</v>
      </c>
      <c r="B61" s="7" t="s">
        <v>13</v>
      </c>
      <c r="C61" s="8">
        <v>6041</v>
      </c>
      <c r="D61" t="str">
        <f t="shared" si="0"/>
        <v>2014-25-29 år</v>
      </c>
    </row>
    <row r="62" spans="1:4" x14ac:dyDescent="0.35">
      <c r="A62" s="7" t="s">
        <v>27</v>
      </c>
      <c r="B62" s="7" t="s">
        <v>14</v>
      </c>
      <c r="C62" s="8">
        <v>8203</v>
      </c>
      <c r="D62" t="str">
        <f t="shared" si="0"/>
        <v>2014-30-34 år</v>
      </c>
    </row>
    <row r="63" spans="1:4" x14ac:dyDescent="0.35">
      <c r="A63" s="7" t="s">
        <v>27</v>
      </c>
      <c r="B63" s="7" t="s">
        <v>15</v>
      </c>
      <c r="C63" s="8">
        <v>9972</v>
      </c>
      <c r="D63" t="str">
        <f t="shared" si="0"/>
        <v>2014-35-39 år</v>
      </c>
    </row>
    <row r="64" spans="1:4" x14ac:dyDescent="0.35">
      <c r="A64" s="7" t="s">
        <v>27</v>
      </c>
      <c r="B64" s="7" t="s">
        <v>16</v>
      </c>
      <c r="C64" s="8">
        <v>9409</v>
      </c>
      <c r="D64" t="str">
        <f t="shared" si="0"/>
        <v>2014-40-44 år</v>
      </c>
    </row>
    <row r="65" spans="1:4" x14ac:dyDescent="0.35">
      <c r="A65" s="7" t="s">
        <v>27</v>
      </c>
      <c r="B65" s="7" t="s">
        <v>17</v>
      </c>
      <c r="C65" s="8">
        <v>12377</v>
      </c>
      <c r="D65" t="str">
        <f t="shared" si="0"/>
        <v>2014-45-49 år</v>
      </c>
    </row>
    <row r="66" spans="1:4" x14ac:dyDescent="0.35">
      <c r="A66" s="7" t="s">
        <v>27</v>
      </c>
      <c r="B66" s="7" t="s">
        <v>18</v>
      </c>
      <c r="C66" s="8">
        <v>10828</v>
      </c>
      <c r="D66" t="str">
        <f t="shared" si="0"/>
        <v>2014-50-54 år</v>
      </c>
    </row>
    <row r="67" spans="1:4" x14ac:dyDescent="0.35">
      <c r="A67" s="7" t="s">
        <v>27</v>
      </c>
      <c r="B67" s="7" t="s">
        <v>19</v>
      </c>
      <c r="C67" s="8">
        <v>8888</v>
      </c>
      <c r="D67" t="str">
        <f t="shared" si="0"/>
        <v>2014-55-59 år</v>
      </c>
    </row>
    <row r="68" spans="1:4" x14ac:dyDescent="0.35">
      <c r="A68" s="7" t="s">
        <v>27</v>
      </c>
      <c r="B68" s="7" t="s">
        <v>20</v>
      </c>
      <c r="C68" s="8">
        <v>5141</v>
      </c>
      <c r="D68" t="str">
        <f t="shared" si="0"/>
        <v>2014-60-64 år</v>
      </c>
    </row>
    <row r="69" spans="1:4" x14ac:dyDescent="0.35">
      <c r="A69" s="7" t="s">
        <v>27</v>
      </c>
      <c r="B69" s="7" t="s">
        <v>21</v>
      </c>
      <c r="C69" s="8">
        <v>1600</v>
      </c>
      <c r="D69" t="str">
        <f t="shared" si="0"/>
        <v>2014-65+ år</v>
      </c>
    </row>
    <row r="70" spans="1:4" x14ac:dyDescent="0.35">
      <c r="A70" s="7" t="s">
        <v>28</v>
      </c>
      <c r="B70" s="7" t="s">
        <v>13</v>
      </c>
      <c r="C70" s="8">
        <v>5834</v>
      </c>
      <c r="D70" t="str">
        <f t="shared" si="0"/>
        <v>2015-25-29 år</v>
      </c>
    </row>
    <row r="71" spans="1:4" x14ac:dyDescent="0.35">
      <c r="A71" s="7" t="s">
        <v>28</v>
      </c>
      <c r="B71" s="7" t="s">
        <v>14</v>
      </c>
      <c r="C71" s="8">
        <v>7834</v>
      </c>
      <c r="D71" t="str">
        <f t="shared" ref="D71:D134" si="1">A71&amp;"-"&amp;B71</f>
        <v>2015-30-34 år</v>
      </c>
    </row>
    <row r="72" spans="1:4" x14ac:dyDescent="0.35">
      <c r="A72" s="7" t="s">
        <v>28</v>
      </c>
      <c r="B72" s="7" t="s">
        <v>15</v>
      </c>
      <c r="C72" s="8">
        <v>9897</v>
      </c>
      <c r="D72" t="str">
        <f t="shared" si="1"/>
        <v>2015-35-39 år</v>
      </c>
    </row>
    <row r="73" spans="1:4" x14ac:dyDescent="0.35">
      <c r="A73" s="7" t="s">
        <v>28</v>
      </c>
      <c r="B73" s="7" t="s">
        <v>16</v>
      </c>
      <c r="C73" s="8">
        <v>9571</v>
      </c>
      <c r="D73" t="str">
        <f t="shared" si="1"/>
        <v>2015-40-44 år</v>
      </c>
    </row>
    <row r="74" spans="1:4" x14ac:dyDescent="0.35">
      <c r="A74" s="7" t="s">
        <v>28</v>
      </c>
      <c r="B74" s="7" t="s">
        <v>17</v>
      </c>
      <c r="C74" s="8">
        <v>11603</v>
      </c>
      <c r="D74" t="str">
        <f t="shared" si="1"/>
        <v>2015-45-49 år</v>
      </c>
    </row>
    <row r="75" spans="1:4" x14ac:dyDescent="0.35">
      <c r="A75" s="7" t="s">
        <v>28</v>
      </c>
      <c r="B75" s="7" t="s">
        <v>18</v>
      </c>
      <c r="C75" s="8">
        <v>11160</v>
      </c>
      <c r="D75" t="str">
        <f t="shared" si="1"/>
        <v>2015-50-54 år</v>
      </c>
    </row>
    <row r="76" spans="1:4" x14ac:dyDescent="0.35">
      <c r="A76" s="7" t="s">
        <v>28</v>
      </c>
      <c r="B76" s="7" t="s">
        <v>19</v>
      </c>
      <c r="C76" s="8">
        <v>8969</v>
      </c>
      <c r="D76" t="str">
        <f t="shared" si="1"/>
        <v>2015-55-59 år</v>
      </c>
    </row>
    <row r="77" spans="1:4" x14ac:dyDescent="0.35">
      <c r="A77" s="7" t="s">
        <v>28</v>
      </c>
      <c r="B77" s="7" t="s">
        <v>20</v>
      </c>
      <c r="C77" s="8">
        <v>5167</v>
      </c>
      <c r="D77" t="str">
        <f t="shared" si="1"/>
        <v>2015-60-64 år</v>
      </c>
    </row>
    <row r="78" spans="1:4" x14ac:dyDescent="0.35">
      <c r="A78" s="7" t="s">
        <v>28</v>
      </c>
      <c r="B78" s="7" t="s">
        <v>21</v>
      </c>
      <c r="C78" s="8">
        <v>1642</v>
      </c>
      <c r="D78" t="str">
        <f t="shared" si="1"/>
        <v>2015-65+ år</v>
      </c>
    </row>
    <row r="79" spans="1:4" x14ac:dyDescent="0.35">
      <c r="A79" s="7" t="s">
        <v>29</v>
      </c>
      <c r="B79" s="7" t="s">
        <v>13</v>
      </c>
      <c r="C79" s="8">
        <v>5701</v>
      </c>
      <c r="D79" t="str">
        <f t="shared" si="1"/>
        <v>2016-25-29 år</v>
      </c>
    </row>
    <row r="80" spans="1:4" x14ac:dyDescent="0.35">
      <c r="A80" s="7" t="s">
        <v>29</v>
      </c>
      <c r="B80" s="7" t="s">
        <v>14</v>
      </c>
      <c r="C80" s="8">
        <v>7831</v>
      </c>
      <c r="D80" t="str">
        <f t="shared" si="1"/>
        <v>2016-30-34 år</v>
      </c>
    </row>
    <row r="81" spans="1:4" x14ac:dyDescent="0.35">
      <c r="A81" s="7" t="s">
        <v>29</v>
      </c>
      <c r="B81" s="7" t="s">
        <v>15</v>
      </c>
      <c r="C81" s="8">
        <v>9564</v>
      </c>
      <c r="D81" t="str">
        <f t="shared" si="1"/>
        <v>2016-35-39 år</v>
      </c>
    </row>
    <row r="82" spans="1:4" x14ac:dyDescent="0.35">
      <c r="A82" s="7" t="s">
        <v>29</v>
      </c>
      <c r="B82" s="7" t="s">
        <v>16</v>
      </c>
      <c r="C82" s="8">
        <v>9711</v>
      </c>
      <c r="D82" t="str">
        <f t="shared" si="1"/>
        <v>2016-40-44 år</v>
      </c>
    </row>
    <row r="83" spans="1:4" x14ac:dyDescent="0.35">
      <c r="A83" s="7" t="s">
        <v>29</v>
      </c>
      <c r="B83" s="7" t="s">
        <v>17</v>
      </c>
      <c r="C83" s="8">
        <v>10533</v>
      </c>
      <c r="D83" t="str">
        <f t="shared" si="1"/>
        <v>2016-45-49 år</v>
      </c>
    </row>
    <row r="84" spans="1:4" x14ac:dyDescent="0.35">
      <c r="A84" s="7" t="s">
        <v>29</v>
      </c>
      <c r="B84" s="7" t="s">
        <v>18</v>
      </c>
      <c r="C84" s="8">
        <v>11490</v>
      </c>
      <c r="D84" t="str">
        <f t="shared" si="1"/>
        <v>2016-50-54 år</v>
      </c>
    </row>
    <row r="85" spans="1:4" x14ac:dyDescent="0.35">
      <c r="A85" s="7" t="s">
        <v>29</v>
      </c>
      <c r="B85" s="7" t="s">
        <v>19</v>
      </c>
      <c r="C85" s="8">
        <v>9121</v>
      </c>
      <c r="D85" t="str">
        <f t="shared" si="1"/>
        <v>2016-55-59 år</v>
      </c>
    </row>
    <row r="86" spans="1:4" x14ac:dyDescent="0.35">
      <c r="A86" s="7" t="s">
        <v>29</v>
      </c>
      <c r="B86" s="7" t="s">
        <v>20</v>
      </c>
      <c r="C86" s="8">
        <v>5304</v>
      </c>
      <c r="D86" t="str">
        <f t="shared" si="1"/>
        <v>2016-60-64 år</v>
      </c>
    </row>
    <row r="87" spans="1:4" x14ac:dyDescent="0.35">
      <c r="A87" s="7" t="s">
        <v>29</v>
      </c>
      <c r="B87" s="7" t="s">
        <v>21</v>
      </c>
      <c r="C87" s="8">
        <v>1680</v>
      </c>
      <c r="D87" t="str">
        <f t="shared" si="1"/>
        <v>2016-65+ år</v>
      </c>
    </row>
    <row r="88" spans="1:4" x14ac:dyDescent="0.35">
      <c r="A88" s="7" t="s">
        <v>30</v>
      </c>
      <c r="B88" s="7" t="s">
        <v>13</v>
      </c>
      <c r="C88" s="8">
        <v>5951</v>
      </c>
      <c r="D88" t="str">
        <f t="shared" si="1"/>
        <v>2017-25-29 år</v>
      </c>
    </row>
    <row r="89" spans="1:4" x14ac:dyDescent="0.35">
      <c r="A89" s="7" t="s">
        <v>30</v>
      </c>
      <c r="B89" s="7" t="s">
        <v>14</v>
      </c>
      <c r="C89" s="8">
        <v>8016</v>
      </c>
      <c r="D89" t="str">
        <f t="shared" si="1"/>
        <v>2017-30-34 år</v>
      </c>
    </row>
    <row r="90" spans="1:4" x14ac:dyDescent="0.35">
      <c r="A90" s="7" t="s">
        <v>30</v>
      </c>
      <c r="B90" s="7" t="s">
        <v>15</v>
      </c>
      <c r="C90" s="8">
        <v>9344</v>
      </c>
      <c r="D90" t="str">
        <f t="shared" si="1"/>
        <v>2017-35-39 år</v>
      </c>
    </row>
    <row r="91" spans="1:4" x14ac:dyDescent="0.35">
      <c r="A91" s="7" t="s">
        <v>30</v>
      </c>
      <c r="B91" s="7" t="s">
        <v>16</v>
      </c>
      <c r="C91" s="8">
        <v>9699</v>
      </c>
      <c r="D91" t="str">
        <f t="shared" si="1"/>
        <v>2017-40-44 år</v>
      </c>
    </row>
    <row r="92" spans="1:4" x14ac:dyDescent="0.35">
      <c r="A92" s="7" t="s">
        <v>30</v>
      </c>
      <c r="B92" s="7" t="s">
        <v>17</v>
      </c>
      <c r="C92" s="8">
        <v>9778</v>
      </c>
      <c r="D92" t="str">
        <f t="shared" si="1"/>
        <v>2017-45-49 år</v>
      </c>
    </row>
    <row r="93" spans="1:4" x14ac:dyDescent="0.35">
      <c r="A93" s="7" t="s">
        <v>30</v>
      </c>
      <c r="B93" s="7" t="s">
        <v>18</v>
      </c>
      <c r="C93" s="8">
        <v>11940</v>
      </c>
      <c r="D93" t="str">
        <f t="shared" si="1"/>
        <v>2017-50-54 år</v>
      </c>
    </row>
    <row r="94" spans="1:4" x14ac:dyDescent="0.35">
      <c r="A94" s="7" t="s">
        <v>30</v>
      </c>
      <c r="B94" s="7" t="s">
        <v>19</v>
      </c>
      <c r="C94" s="8">
        <v>9231</v>
      </c>
      <c r="D94" t="str">
        <f t="shared" si="1"/>
        <v>2017-55-59 år</v>
      </c>
    </row>
    <row r="95" spans="1:4" x14ac:dyDescent="0.35">
      <c r="A95" s="7" t="s">
        <v>30</v>
      </c>
      <c r="B95" s="7" t="s">
        <v>20</v>
      </c>
      <c r="C95" s="8">
        <v>5403</v>
      </c>
      <c r="D95" t="str">
        <f t="shared" si="1"/>
        <v>2017-60-64 år</v>
      </c>
    </row>
    <row r="96" spans="1:4" x14ac:dyDescent="0.35">
      <c r="A96" s="7" t="s">
        <v>30</v>
      </c>
      <c r="B96" s="7" t="s">
        <v>21</v>
      </c>
      <c r="C96" s="8">
        <v>1775</v>
      </c>
      <c r="D96" t="str">
        <f t="shared" si="1"/>
        <v>2017-65+ år</v>
      </c>
    </row>
    <row r="97" spans="1:4" x14ac:dyDescent="0.35">
      <c r="A97" s="7" t="s">
        <v>31</v>
      </c>
      <c r="B97" s="7" t="s">
        <v>13</v>
      </c>
      <c r="C97" s="8">
        <v>6353</v>
      </c>
      <c r="D97" t="str">
        <f t="shared" si="1"/>
        <v>2018-25-29 år</v>
      </c>
    </row>
    <row r="98" spans="1:4" x14ac:dyDescent="0.35">
      <c r="A98" s="7" t="s">
        <v>31</v>
      </c>
      <c r="B98" s="7" t="s">
        <v>14</v>
      </c>
      <c r="C98" s="8">
        <v>8276</v>
      </c>
      <c r="D98" t="str">
        <f t="shared" si="1"/>
        <v>2018-30-34 år</v>
      </c>
    </row>
    <row r="99" spans="1:4" x14ac:dyDescent="0.35">
      <c r="A99" s="7" t="s">
        <v>31</v>
      </c>
      <c r="B99" s="7" t="s">
        <v>15</v>
      </c>
      <c r="C99" s="8">
        <v>9245</v>
      </c>
      <c r="D99" t="str">
        <f t="shared" si="1"/>
        <v>2018-35-39 år</v>
      </c>
    </row>
    <row r="100" spans="1:4" x14ac:dyDescent="0.35">
      <c r="A100" s="7" t="s">
        <v>31</v>
      </c>
      <c r="B100" s="7" t="s">
        <v>16</v>
      </c>
      <c r="C100" s="8">
        <v>9937</v>
      </c>
      <c r="D100" t="str">
        <f t="shared" si="1"/>
        <v>2018-40-44 år</v>
      </c>
    </row>
    <row r="101" spans="1:4" x14ac:dyDescent="0.35">
      <c r="A101" s="7" t="s">
        <v>31</v>
      </c>
      <c r="B101" s="7" t="s">
        <v>17</v>
      </c>
      <c r="C101" s="8">
        <v>9488</v>
      </c>
      <c r="D101" t="str">
        <f t="shared" si="1"/>
        <v>2018-45-49 år</v>
      </c>
    </row>
    <row r="102" spans="1:4" x14ac:dyDescent="0.35">
      <c r="A102" s="7" t="s">
        <v>31</v>
      </c>
      <c r="B102" s="7" t="s">
        <v>18</v>
      </c>
      <c r="C102" s="8">
        <v>12171</v>
      </c>
      <c r="D102" t="str">
        <f t="shared" si="1"/>
        <v>2018-50-54 år</v>
      </c>
    </row>
    <row r="103" spans="1:4" x14ac:dyDescent="0.35">
      <c r="A103" s="7" t="s">
        <v>31</v>
      </c>
      <c r="B103" s="7" t="s">
        <v>19</v>
      </c>
      <c r="C103" s="8">
        <v>9537</v>
      </c>
      <c r="D103" t="str">
        <f t="shared" si="1"/>
        <v>2018-55-59 år</v>
      </c>
    </row>
    <row r="104" spans="1:4" x14ac:dyDescent="0.35">
      <c r="A104" s="7" t="s">
        <v>31</v>
      </c>
      <c r="B104" s="7" t="s">
        <v>20</v>
      </c>
      <c r="C104" s="8">
        <v>5638</v>
      </c>
      <c r="D104" t="str">
        <f t="shared" si="1"/>
        <v>2018-60-64 år</v>
      </c>
    </row>
    <row r="105" spans="1:4" x14ac:dyDescent="0.35">
      <c r="A105" s="7" t="s">
        <v>31</v>
      </c>
      <c r="B105" s="7" t="s">
        <v>21</v>
      </c>
      <c r="C105" s="8">
        <v>1897</v>
      </c>
      <c r="D105" t="str">
        <f t="shared" si="1"/>
        <v>2018-65+ år</v>
      </c>
    </row>
    <row r="106" spans="1:4" x14ac:dyDescent="0.35">
      <c r="A106" s="7" t="s">
        <v>32</v>
      </c>
      <c r="B106" s="7" t="s">
        <v>13</v>
      </c>
      <c r="C106" s="8">
        <v>6883</v>
      </c>
      <c r="D106" t="str">
        <f t="shared" si="1"/>
        <v>2019-25-29 år</v>
      </c>
    </row>
    <row r="107" spans="1:4" x14ac:dyDescent="0.35">
      <c r="A107" s="7" t="s">
        <v>32</v>
      </c>
      <c r="B107" s="7" t="s">
        <v>14</v>
      </c>
      <c r="C107" s="8">
        <v>8461</v>
      </c>
      <c r="D107" t="str">
        <f t="shared" si="1"/>
        <v>2019-30-34 år</v>
      </c>
    </row>
    <row r="108" spans="1:4" x14ac:dyDescent="0.35">
      <c r="A108" s="7" t="s">
        <v>32</v>
      </c>
      <c r="B108" s="7" t="s">
        <v>15</v>
      </c>
      <c r="C108" s="8">
        <v>9057</v>
      </c>
      <c r="D108" t="str">
        <f t="shared" si="1"/>
        <v>2019-35-39 år</v>
      </c>
    </row>
    <row r="109" spans="1:4" x14ac:dyDescent="0.35">
      <c r="A109" s="7" t="s">
        <v>32</v>
      </c>
      <c r="B109" s="7" t="s">
        <v>16</v>
      </c>
      <c r="C109" s="8">
        <v>10158</v>
      </c>
      <c r="D109" t="str">
        <f t="shared" si="1"/>
        <v>2019-40-44 år</v>
      </c>
    </row>
    <row r="110" spans="1:4" x14ac:dyDescent="0.35">
      <c r="A110" s="7" t="s">
        <v>32</v>
      </c>
      <c r="B110" s="7" t="s">
        <v>17</v>
      </c>
      <c r="C110" s="8">
        <v>9482</v>
      </c>
      <c r="D110" t="str">
        <f t="shared" si="1"/>
        <v>2019-45-49 år</v>
      </c>
    </row>
    <row r="111" spans="1:4" x14ac:dyDescent="0.35">
      <c r="A111" s="7" t="s">
        <v>32</v>
      </c>
      <c r="B111" s="7" t="s">
        <v>18</v>
      </c>
      <c r="C111" s="8">
        <v>11866</v>
      </c>
      <c r="D111" t="str">
        <f t="shared" si="1"/>
        <v>2019-50-54 år</v>
      </c>
    </row>
    <row r="112" spans="1:4" x14ac:dyDescent="0.35">
      <c r="A112" s="7" t="s">
        <v>32</v>
      </c>
      <c r="B112" s="7" t="s">
        <v>19</v>
      </c>
      <c r="C112" s="8">
        <v>9811</v>
      </c>
      <c r="D112" t="str">
        <f t="shared" si="1"/>
        <v>2019-55-59 år</v>
      </c>
    </row>
    <row r="113" spans="1:4" x14ac:dyDescent="0.35">
      <c r="A113" s="7" t="s">
        <v>32</v>
      </c>
      <c r="B113" s="7" t="s">
        <v>20</v>
      </c>
      <c r="C113" s="8">
        <v>5907</v>
      </c>
      <c r="D113" t="str">
        <f t="shared" si="1"/>
        <v>2019-60-64 år</v>
      </c>
    </row>
    <row r="114" spans="1:4" x14ac:dyDescent="0.35">
      <c r="A114" s="7" t="s">
        <v>32</v>
      </c>
      <c r="B114" s="7" t="s">
        <v>21</v>
      </c>
      <c r="C114" s="8">
        <v>2030</v>
      </c>
      <c r="D114" t="str">
        <f t="shared" si="1"/>
        <v>2019-65+ år</v>
      </c>
    </row>
    <row r="115" spans="1:4" x14ac:dyDescent="0.35">
      <c r="A115" s="7" t="s">
        <v>33</v>
      </c>
      <c r="B115" s="7" t="s">
        <v>13</v>
      </c>
      <c r="C115" s="8">
        <v>7337</v>
      </c>
      <c r="D115" t="str">
        <f t="shared" si="1"/>
        <v>2020-25-29 år</v>
      </c>
    </row>
    <row r="116" spans="1:4" x14ac:dyDescent="0.35">
      <c r="A116" s="7" t="s">
        <v>33</v>
      </c>
      <c r="B116" s="7" t="s">
        <v>14</v>
      </c>
      <c r="C116" s="8">
        <v>8658</v>
      </c>
      <c r="D116" t="str">
        <f t="shared" si="1"/>
        <v>2020-30-34 år</v>
      </c>
    </row>
    <row r="117" spans="1:4" x14ac:dyDescent="0.35">
      <c r="A117" s="7" t="s">
        <v>33</v>
      </c>
      <c r="B117" s="7" t="s">
        <v>15</v>
      </c>
      <c r="C117" s="8">
        <v>8798</v>
      </c>
      <c r="D117" t="str">
        <f t="shared" si="1"/>
        <v>2020-35-39 år</v>
      </c>
    </row>
    <row r="118" spans="1:4" x14ac:dyDescent="0.35">
      <c r="A118" s="7" t="s">
        <v>33</v>
      </c>
      <c r="B118" s="7" t="s">
        <v>16</v>
      </c>
      <c r="C118" s="8">
        <v>10129</v>
      </c>
      <c r="D118" t="str">
        <f t="shared" si="1"/>
        <v>2020-40-44 år</v>
      </c>
    </row>
    <row r="119" spans="1:4" x14ac:dyDescent="0.35">
      <c r="A119" s="7" t="s">
        <v>33</v>
      </c>
      <c r="B119" s="7" t="s">
        <v>17</v>
      </c>
      <c r="C119" s="8">
        <v>9740</v>
      </c>
      <c r="D119" t="str">
        <f t="shared" si="1"/>
        <v>2020-45-49 år</v>
      </c>
    </row>
    <row r="120" spans="1:4" x14ac:dyDescent="0.35">
      <c r="A120" s="7" t="s">
        <v>33</v>
      </c>
      <c r="B120" s="7" t="s">
        <v>18</v>
      </c>
      <c r="C120" s="8">
        <v>11187</v>
      </c>
      <c r="D120" t="str">
        <f t="shared" si="1"/>
        <v>2020-50-54 år</v>
      </c>
    </row>
    <row r="121" spans="1:4" x14ac:dyDescent="0.35">
      <c r="A121" s="7" t="s">
        <v>33</v>
      </c>
      <c r="B121" s="7" t="s">
        <v>19</v>
      </c>
      <c r="C121" s="8">
        <v>10215</v>
      </c>
      <c r="D121" t="str">
        <f t="shared" si="1"/>
        <v>2020-55-59 år</v>
      </c>
    </row>
    <row r="122" spans="1:4" x14ac:dyDescent="0.35">
      <c r="A122" s="7" t="s">
        <v>33</v>
      </c>
      <c r="B122" s="7" t="s">
        <v>20</v>
      </c>
      <c r="C122" s="8">
        <v>6305</v>
      </c>
      <c r="D122" t="str">
        <f t="shared" si="1"/>
        <v>2020-60-64 år</v>
      </c>
    </row>
    <row r="123" spans="1:4" x14ac:dyDescent="0.35">
      <c r="A123" s="7" t="s">
        <v>33</v>
      </c>
      <c r="B123" s="7" t="s">
        <v>21</v>
      </c>
      <c r="C123" s="8">
        <v>2231</v>
      </c>
      <c r="D123" t="str">
        <f t="shared" si="1"/>
        <v>2020-65+ år</v>
      </c>
    </row>
    <row r="124" spans="1:4" x14ac:dyDescent="0.35">
      <c r="A124" s="7" t="s">
        <v>34</v>
      </c>
      <c r="B124" s="7" t="s">
        <v>13</v>
      </c>
      <c r="C124" s="8">
        <v>7687</v>
      </c>
      <c r="D124" t="str">
        <f t="shared" si="1"/>
        <v>2021-25-29 år</v>
      </c>
    </row>
    <row r="125" spans="1:4" x14ac:dyDescent="0.35">
      <c r="A125" s="7" t="s">
        <v>34</v>
      </c>
      <c r="B125" s="7" t="s">
        <v>14</v>
      </c>
      <c r="C125" s="8">
        <v>8844</v>
      </c>
      <c r="D125" t="str">
        <f t="shared" si="1"/>
        <v>2021-30-34 år</v>
      </c>
    </row>
    <row r="126" spans="1:4" x14ac:dyDescent="0.35">
      <c r="A126" s="7" t="s">
        <v>34</v>
      </c>
      <c r="B126" s="7" t="s">
        <v>15</v>
      </c>
      <c r="C126" s="8">
        <v>8987</v>
      </c>
      <c r="D126" t="str">
        <f t="shared" si="1"/>
        <v>2021-35-39 år</v>
      </c>
    </row>
    <row r="127" spans="1:4" x14ac:dyDescent="0.35">
      <c r="A127" s="7" t="s">
        <v>34</v>
      </c>
      <c r="B127" s="7" t="s">
        <v>16</v>
      </c>
      <c r="C127" s="8">
        <v>10002</v>
      </c>
      <c r="D127" t="str">
        <f t="shared" si="1"/>
        <v>2021-40-44 år</v>
      </c>
    </row>
    <row r="128" spans="1:4" x14ac:dyDescent="0.35">
      <c r="A128" s="7" t="s">
        <v>34</v>
      </c>
      <c r="B128" s="7" t="s">
        <v>17</v>
      </c>
      <c r="C128" s="8">
        <v>10036</v>
      </c>
      <c r="D128" t="str">
        <f t="shared" si="1"/>
        <v>2021-45-49 år</v>
      </c>
    </row>
    <row r="129" spans="1:4" x14ac:dyDescent="0.35">
      <c r="A129" s="7" t="s">
        <v>34</v>
      </c>
      <c r="B129" s="7" t="s">
        <v>18</v>
      </c>
      <c r="C129" s="8">
        <v>10467</v>
      </c>
      <c r="D129" t="str">
        <f t="shared" si="1"/>
        <v>2021-50-54 år</v>
      </c>
    </row>
    <row r="130" spans="1:4" x14ac:dyDescent="0.35">
      <c r="A130" s="7" t="s">
        <v>34</v>
      </c>
      <c r="B130" s="7" t="s">
        <v>19</v>
      </c>
      <c r="C130" s="8">
        <v>10749</v>
      </c>
      <c r="D130" t="str">
        <f t="shared" si="1"/>
        <v>2021-55-59 år</v>
      </c>
    </row>
    <row r="131" spans="1:4" x14ac:dyDescent="0.35">
      <c r="A131" s="7" t="s">
        <v>34</v>
      </c>
      <c r="B131" s="7" t="s">
        <v>20</v>
      </c>
      <c r="C131" s="8">
        <v>6688</v>
      </c>
      <c r="D131" t="str">
        <f t="shared" si="1"/>
        <v>2021-60-64 år</v>
      </c>
    </row>
    <row r="132" spans="1:4" x14ac:dyDescent="0.35">
      <c r="A132" s="7" t="s">
        <v>34</v>
      </c>
      <c r="B132" s="7" t="s">
        <v>21</v>
      </c>
      <c r="C132" s="8">
        <v>2522</v>
      </c>
      <c r="D132" t="str">
        <f t="shared" si="1"/>
        <v>2021-65+ år</v>
      </c>
    </row>
    <row r="133" spans="1:4" x14ac:dyDescent="0.35">
      <c r="A133" s="7" t="s">
        <v>35</v>
      </c>
      <c r="B133" s="7" t="s">
        <v>13</v>
      </c>
      <c r="C133" s="8">
        <v>8107</v>
      </c>
      <c r="D133" t="str">
        <f t="shared" si="1"/>
        <v>2022-25-29 år</v>
      </c>
    </row>
    <row r="134" spans="1:4" x14ac:dyDescent="0.35">
      <c r="A134" s="7" t="s">
        <v>35</v>
      </c>
      <c r="B134" s="7" t="s">
        <v>14</v>
      </c>
      <c r="C134" s="8">
        <v>9307</v>
      </c>
      <c r="D134" t="str">
        <f t="shared" si="1"/>
        <v>2022-30-34 år</v>
      </c>
    </row>
    <row r="135" spans="1:4" x14ac:dyDescent="0.35">
      <c r="A135" s="7" t="s">
        <v>35</v>
      </c>
      <c r="B135" s="7" t="s">
        <v>15</v>
      </c>
      <c r="C135" s="8">
        <v>9287</v>
      </c>
      <c r="D135" t="str">
        <f t="shared" ref="D135:D158" si="2">A135&amp;"-"&amp;B135</f>
        <v>2022-35-39 år</v>
      </c>
    </row>
    <row r="136" spans="1:4" x14ac:dyDescent="0.35">
      <c r="A136" s="7" t="s">
        <v>35</v>
      </c>
      <c r="B136" s="7" t="s">
        <v>16</v>
      </c>
      <c r="C136" s="8">
        <v>9808</v>
      </c>
      <c r="D136" t="str">
        <f t="shared" si="2"/>
        <v>2022-40-44 år</v>
      </c>
    </row>
    <row r="137" spans="1:4" x14ac:dyDescent="0.35">
      <c r="A137" s="7" t="s">
        <v>35</v>
      </c>
      <c r="B137" s="7" t="s">
        <v>17</v>
      </c>
      <c r="C137" s="8">
        <v>10063</v>
      </c>
      <c r="D137" t="str">
        <f t="shared" si="2"/>
        <v>2022-45-49 år</v>
      </c>
    </row>
    <row r="138" spans="1:4" x14ac:dyDescent="0.35">
      <c r="A138" s="7" t="s">
        <v>35</v>
      </c>
      <c r="B138" s="7" t="s">
        <v>18</v>
      </c>
      <c r="C138" s="8">
        <v>9799</v>
      </c>
      <c r="D138" t="str">
        <f t="shared" si="2"/>
        <v>2022-50-54 år</v>
      </c>
    </row>
    <row r="139" spans="1:4" x14ac:dyDescent="0.35">
      <c r="A139" s="7" t="s">
        <v>35</v>
      </c>
      <c r="B139" s="7" t="s">
        <v>19</v>
      </c>
      <c r="C139" s="8">
        <v>11340</v>
      </c>
      <c r="D139" t="str">
        <f t="shared" si="2"/>
        <v>2022-55-59 år</v>
      </c>
    </row>
    <row r="140" spans="1:4" x14ac:dyDescent="0.35">
      <c r="A140" s="7" t="s">
        <v>35</v>
      </c>
      <c r="B140" s="7" t="s">
        <v>20</v>
      </c>
      <c r="C140" s="8">
        <v>6943</v>
      </c>
      <c r="D140" t="str">
        <f t="shared" si="2"/>
        <v>2022-60-64 år</v>
      </c>
    </row>
    <row r="141" spans="1:4" x14ac:dyDescent="0.35">
      <c r="A141" s="7" t="s">
        <v>35</v>
      </c>
      <c r="B141" s="7" t="s">
        <v>21</v>
      </c>
      <c r="C141" s="8">
        <v>2779</v>
      </c>
      <c r="D141" t="str">
        <f t="shared" si="2"/>
        <v>2022-65+ år</v>
      </c>
    </row>
    <row r="142" spans="1:4" x14ac:dyDescent="0.35">
      <c r="A142" s="7" t="s">
        <v>36</v>
      </c>
      <c r="B142" s="7" t="s">
        <v>13</v>
      </c>
      <c r="C142" s="8">
        <v>8433</v>
      </c>
      <c r="D142" t="str">
        <f t="shared" si="2"/>
        <v>2023-25-29 år</v>
      </c>
    </row>
    <row r="143" spans="1:4" x14ac:dyDescent="0.35">
      <c r="A143" s="7" t="s">
        <v>36</v>
      </c>
      <c r="B143" s="7" t="s">
        <v>14</v>
      </c>
      <c r="C143" s="8">
        <v>9786</v>
      </c>
      <c r="D143" t="str">
        <f t="shared" si="2"/>
        <v>2023-30-34 år</v>
      </c>
    </row>
    <row r="144" spans="1:4" x14ac:dyDescent="0.35">
      <c r="A144" s="7" t="s">
        <v>36</v>
      </c>
      <c r="B144" s="7" t="s">
        <v>15</v>
      </c>
      <c r="C144" s="8">
        <v>9648</v>
      </c>
      <c r="D144" t="str">
        <f t="shared" si="2"/>
        <v>2023-35-39 år</v>
      </c>
    </row>
    <row r="145" spans="1:4" x14ac:dyDescent="0.35">
      <c r="A145" s="7" t="s">
        <v>36</v>
      </c>
      <c r="B145" s="7" t="s">
        <v>16</v>
      </c>
      <c r="C145" s="8">
        <v>9770</v>
      </c>
      <c r="D145" t="str">
        <f t="shared" si="2"/>
        <v>2023-40-44 år</v>
      </c>
    </row>
    <row r="146" spans="1:4" x14ac:dyDescent="0.35">
      <c r="A146" s="7" t="s">
        <v>36</v>
      </c>
      <c r="B146" s="7" t="s">
        <v>17</v>
      </c>
      <c r="C146" s="8">
        <v>10262</v>
      </c>
      <c r="D146" t="str">
        <f t="shared" si="2"/>
        <v>2023-45-49 år</v>
      </c>
    </row>
    <row r="147" spans="1:4" x14ac:dyDescent="0.35">
      <c r="A147" s="7" t="s">
        <v>36</v>
      </c>
      <c r="B147" s="7" t="s">
        <v>18</v>
      </c>
      <c r="C147" s="8">
        <v>9513</v>
      </c>
      <c r="D147" t="str">
        <f t="shared" si="2"/>
        <v>2023-50-54 år</v>
      </c>
    </row>
    <row r="148" spans="1:4" x14ac:dyDescent="0.35">
      <c r="A148" s="7" t="s">
        <v>36</v>
      </c>
      <c r="B148" s="7" t="s">
        <v>19</v>
      </c>
      <c r="C148" s="8">
        <v>11614</v>
      </c>
      <c r="D148" t="str">
        <f t="shared" si="2"/>
        <v>2023-55-59 år</v>
      </c>
    </row>
    <row r="149" spans="1:4" x14ac:dyDescent="0.35">
      <c r="A149" s="7" t="s">
        <v>36</v>
      </c>
      <c r="B149" s="7" t="s">
        <v>20</v>
      </c>
      <c r="C149" s="8">
        <v>7443</v>
      </c>
      <c r="D149" t="str">
        <f t="shared" si="2"/>
        <v>2023-60-64 år</v>
      </c>
    </row>
    <row r="150" spans="1:4" x14ac:dyDescent="0.35">
      <c r="A150" s="7" t="s">
        <v>36</v>
      </c>
      <c r="B150" s="7" t="s">
        <v>21</v>
      </c>
      <c r="C150" s="8">
        <v>3139</v>
      </c>
      <c r="D150" t="str">
        <f t="shared" si="2"/>
        <v>2023-65+ år</v>
      </c>
    </row>
    <row r="151" spans="1:4" x14ac:dyDescent="0.35">
      <c r="A151" s="7" t="s">
        <v>37</v>
      </c>
      <c r="B151" s="7" t="s">
        <v>13</v>
      </c>
      <c r="C151" s="8">
        <v>8560</v>
      </c>
      <c r="D151" t="str">
        <f t="shared" si="2"/>
        <v>2024-25-29 år</v>
      </c>
    </row>
    <row r="152" spans="1:4" x14ac:dyDescent="0.35">
      <c r="A152" s="7" t="s">
        <v>37</v>
      </c>
      <c r="B152" s="7" t="s">
        <v>14</v>
      </c>
      <c r="C152" s="8">
        <v>10150</v>
      </c>
      <c r="D152" t="str">
        <f t="shared" si="2"/>
        <v>2024-30-34 år</v>
      </c>
    </row>
    <row r="153" spans="1:4" x14ac:dyDescent="0.35">
      <c r="A153" s="7" t="s">
        <v>37</v>
      </c>
      <c r="B153" s="7" t="s">
        <v>15</v>
      </c>
      <c r="C153" s="8">
        <v>9885</v>
      </c>
      <c r="D153" t="str">
        <f t="shared" si="2"/>
        <v>2024-35-39 år</v>
      </c>
    </row>
    <row r="154" spans="1:4" x14ac:dyDescent="0.35">
      <c r="A154" s="7" t="s">
        <v>37</v>
      </c>
      <c r="B154" s="7" t="s">
        <v>16</v>
      </c>
      <c r="C154" s="8">
        <v>9594</v>
      </c>
      <c r="D154" t="str">
        <f t="shared" si="2"/>
        <v>2024-40-44 år</v>
      </c>
    </row>
    <row r="155" spans="1:4" x14ac:dyDescent="0.35">
      <c r="A155" s="7" t="s">
        <v>37</v>
      </c>
      <c r="B155" s="7" t="s">
        <v>17</v>
      </c>
      <c r="C155" s="8">
        <v>10483</v>
      </c>
      <c r="D155" t="str">
        <f t="shared" si="2"/>
        <v>2024-45-49 år</v>
      </c>
    </row>
    <row r="156" spans="1:4" x14ac:dyDescent="0.35">
      <c r="A156" s="7" t="s">
        <v>37</v>
      </c>
      <c r="B156" s="7" t="s">
        <v>18</v>
      </c>
      <c r="C156" s="8">
        <v>9604</v>
      </c>
      <c r="D156" t="str">
        <f t="shared" si="2"/>
        <v>2024-50-54 år</v>
      </c>
    </row>
    <row r="157" spans="1:4" x14ac:dyDescent="0.35">
      <c r="A157" s="7" t="s">
        <v>37</v>
      </c>
      <c r="B157" s="7" t="s">
        <v>19</v>
      </c>
      <c r="C157" s="8">
        <v>11402</v>
      </c>
      <c r="D157" t="str">
        <f t="shared" si="2"/>
        <v>2024-55-59 år</v>
      </c>
    </row>
    <row r="158" spans="1:4" x14ac:dyDescent="0.35">
      <c r="A158" s="7" t="s">
        <v>37</v>
      </c>
      <c r="B158" s="7" t="s">
        <v>20</v>
      </c>
      <c r="C158" s="8">
        <v>7871</v>
      </c>
      <c r="D158" t="str">
        <f t="shared" si="2"/>
        <v>2024-60-64 år</v>
      </c>
    </row>
    <row r="159" spans="1:4" ht="15" thickBot="1" x14ac:dyDescent="0.4">
      <c r="A159" s="7" t="s">
        <v>37</v>
      </c>
      <c r="B159" s="7" t="s">
        <v>21</v>
      </c>
      <c r="C159" s="8">
        <v>3573</v>
      </c>
      <c r="D159" t="str">
        <f>A159&amp;"-"&amp;B159</f>
        <v>2024-65+ år</v>
      </c>
    </row>
    <row r="160" spans="1:4" ht="15" thickTop="1" x14ac:dyDescent="0.35">
      <c r="A160" s="9"/>
      <c r="B160" s="9"/>
      <c r="C160" s="9"/>
    </row>
    <row r="162" spans="1:1" x14ac:dyDescent="0.35">
      <c r="A162" t="s">
        <v>38</v>
      </c>
    </row>
    <row r="163" spans="1:1" x14ac:dyDescent="0.35">
      <c r="A163" t="s">
        <v>39</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D6B7F-EC28-43DF-AEC2-665EA1610B0E}">
  <sheetPr>
    <tabColor theme="9" tint="0.39997558519241921"/>
  </sheetPr>
  <dimension ref="B2:G10"/>
  <sheetViews>
    <sheetView workbookViewId="0">
      <selection activeCell="C9" sqref="C9"/>
    </sheetView>
  </sheetViews>
  <sheetFormatPr defaultColWidth="8.7265625" defaultRowHeight="14.5" x14ac:dyDescent="0.35"/>
  <cols>
    <col min="1" max="1" width="3.1796875" style="2" customWidth="1"/>
    <col min="2" max="2" width="20" style="2" bestFit="1" customWidth="1"/>
    <col min="3" max="6" width="13.81640625" style="2" bestFit="1" customWidth="1"/>
    <col min="7" max="16384" width="8.7265625" style="2"/>
  </cols>
  <sheetData>
    <row r="2" spans="2:7" x14ac:dyDescent="0.35">
      <c r="B2" t="s">
        <v>73</v>
      </c>
      <c r="C2" t="s">
        <v>69</v>
      </c>
      <c r="D2" t="s">
        <v>70</v>
      </c>
      <c r="E2" t="s">
        <v>71</v>
      </c>
      <c r="F2" t="s">
        <v>72</v>
      </c>
      <c r="G2" s="84" t="s">
        <v>75</v>
      </c>
    </row>
    <row r="3" spans="2:7" x14ac:dyDescent="0.35">
      <c r="B3" t="s">
        <v>66</v>
      </c>
      <c r="C3">
        <v>1</v>
      </c>
      <c r="D3">
        <v>0.75</v>
      </c>
      <c r="E3">
        <v>0.5</v>
      </c>
      <c r="F3">
        <v>0.25</v>
      </c>
      <c r="G3" s="84"/>
    </row>
    <row r="4" spans="2:7" x14ac:dyDescent="0.35">
      <c r="B4" t="s">
        <v>67</v>
      </c>
      <c r="C4" s="34">
        <v>1864268.0513442026</v>
      </c>
      <c r="D4" s="34">
        <f>3500000*0.2</f>
        <v>700000</v>
      </c>
      <c r="E4" s="34">
        <v>72530</v>
      </c>
      <c r="F4" s="34">
        <f>2500000*0.3</f>
        <v>750000</v>
      </c>
      <c r="G4" s="84"/>
    </row>
    <row r="5" spans="2:7" x14ac:dyDescent="0.35">
      <c r="B5" t="s">
        <v>68</v>
      </c>
      <c r="C5">
        <v>50</v>
      </c>
      <c r="D5">
        <v>10</v>
      </c>
      <c r="E5">
        <v>20</v>
      </c>
      <c r="F5">
        <v>30</v>
      </c>
      <c r="G5" s="84"/>
    </row>
    <row r="7" spans="2:7" x14ac:dyDescent="0.35">
      <c r="B7" t="s">
        <v>73</v>
      </c>
      <c r="C7" t="s">
        <v>69</v>
      </c>
      <c r="D7" t="s">
        <v>70</v>
      </c>
      <c r="E7" t="s">
        <v>71</v>
      </c>
      <c r="F7" t="s">
        <v>72</v>
      </c>
      <c r="G7" s="84" t="s">
        <v>74</v>
      </c>
    </row>
    <row r="8" spans="2:7" x14ac:dyDescent="0.35">
      <c r="B8" t="s">
        <v>66</v>
      </c>
      <c r="C8">
        <v>1</v>
      </c>
      <c r="D8">
        <v>0.75</v>
      </c>
      <c r="E8">
        <v>0.5</v>
      </c>
      <c r="F8">
        <v>0.25</v>
      </c>
      <c r="G8" s="84"/>
    </row>
    <row r="9" spans="2:7" x14ac:dyDescent="0.35">
      <c r="B9" t="s">
        <v>67</v>
      </c>
      <c r="C9" s="34">
        <v>4212659.3152651601</v>
      </c>
      <c r="D9" s="34">
        <f>3500000*0.2</f>
        <v>700000</v>
      </c>
      <c r="E9" s="34">
        <v>75176</v>
      </c>
      <c r="F9" s="34">
        <f>2500000*0.3</f>
        <v>750000</v>
      </c>
      <c r="G9" s="84"/>
    </row>
    <row r="10" spans="2:7" x14ac:dyDescent="0.35">
      <c r="B10" t="s">
        <v>68</v>
      </c>
      <c r="C10">
        <v>35</v>
      </c>
      <c r="D10">
        <v>10</v>
      </c>
      <c r="E10">
        <v>5</v>
      </c>
      <c r="F10">
        <v>15</v>
      </c>
      <c r="G10" s="84"/>
    </row>
  </sheetData>
  <mergeCells count="2">
    <mergeCell ref="G7:G10"/>
    <mergeCell ref="G2:G5"/>
  </mergeCells>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15E8F-A3E0-4277-B3B2-A5AAB6205144}">
  <sheetPr>
    <tabColor theme="9" tint="0.39997558519241921"/>
  </sheetPr>
  <dimension ref="B2:F53"/>
  <sheetViews>
    <sheetView workbookViewId="0">
      <selection activeCell="G14" sqref="G14"/>
    </sheetView>
  </sheetViews>
  <sheetFormatPr defaultColWidth="8.7265625" defaultRowHeight="14.5" x14ac:dyDescent="0.35"/>
  <cols>
    <col min="1" max="1" width="3.453125" style="2" customWidth="1"/>
    <col min="2" max="2" width="8.7265625" style="2"/>
    <col min="3" max="3" width="13.1796875" style="2" customWidth="1"/>
    <col min="4" max="4" width="11.453125" style="2" customWidth="1"/>
    <col min="5" max="5" width="11.26953125" style="2" customWidth="1"/>
    <col min="6" max="6" width="16.26953125" style="2" customWidth="1"/>
    <col min="7" max="16384" width="8.7265625" style="2"/>
  </cols>
  <sheetData>
    <row r="2" spans="2:6" x14ac:dyDescent="0.35">
      <c r="B2" s="3" t="s">
        <v>0</v>
      </c>
      <c r="C2" s="3" t="s">
        <v>1</v>
      </c>
      <c r="D2" s="3" t="s">
        <v>168</v>
      </c>
      <c r="E2" s="3" t="s">
        <v>169</v>
      </c>
      <c r="F2" s="3" t="s">
        <v>170</v>
      </c>
    </row>
    <row r="3" spans="2:6" x14ac:dyDescent="0.35">
      <c r="B3" s="3">
        <v>1</v>
      </c>
      <c r="C3" s="3">
        <v>2025</v>
      </c>
      <c r="D3" s="3">
        <v>25</v>
      </c>
      <c r="E3" s="3">
        <v>40</v>
      </c>
      <c r="F3" s="3" t="s">
        <v>0</v>
      </c>
    </row>
    <row r="4" spans="2:6" x14ac:dyDescent="0.35">
      <c r="B4" s="3">
        <v>2</v>
      </c>
      <c r="C4" s="3">
        <v>2026</v>
      </c>
      <c r="D4" s="3">
        <f>D3+1</f>
        <v>26</v>
      </c>
      <c r="E4" s="3">
        <f>E3+1</f>
        <v>41</v>
      </c>
      <c r="F4" s="3" t="s">
        <v>0</v>
      </c>
    </row>
    <row r="5" spans="2:6" x14ac:dyDescent="0.35">
      <c r="B5" s="3">
        <v>3</v>
      </c>
      <c r="C5" s="3">
        <v>2027</v>
      </c>
      <c r="D5" s="3">
        <f t="shared" ref="D5:E16" si="0">D4+1</f>
        <v>27</v>
      </c>
      <c r="E5" s="3">
        <f t="shared" si="0"/>
        <v>42</v>
      </c>
      <c r="F5" s="3" t="s">
        <v>0</v>
      </c>
    </row>
    <row r="6" spans="2:6" x14ac:dyDescent="0.35">
      <c r="B6" s="3">
        <v>4</v>
      </c>
      <c r="C6" s="3">
        <v>2028</v>
      </c>
      <c r="D6" s="3">
        <f t="shared" si="0"/>
        <v>28</v>
      </c>
      <c r="E6" s="3">
        <f t="shared" si="0"/>
        <v>43</v>
      </c>
      <c r="F6" s="3" t="s">
        <v>0</v>
      </c>
    </row>
    <row r="7" spans="2:6" x14ac:dyDescent="0.35">
      <c r="B7" s="3">
        <v>5</v>
      </c>
      <c r="C7" s="3">
        <v>2029</v>
      </c>
      <c r="D7" s="3">
        <f t="shared" si="0"/>
        <v>29</v>
      </c>
      <c r="E7" s="3">
        <f t="shared" si="0"/>
        <v>44</v>
      </c>
      <c r="F7" s="3" t="s">
        <v>0</v>
      </c>
    </row>
    <row r="8" spans="2:6" x14ac:dyDescent="0.35">
      <c r="B8" s="3">
        <v>6</v>
      </c>
      <c r="C8" s="3">
        <v>2030</v>
      </c>
      <c r="D8" s="3">
        <f t="shared" si="0"/>
        <v>30</v>
      </c>
      <c r="E8" s="3">
        <f t="shared" si="0"/>
        <v>45</v>
      </c>
      <c r="F8" s="3" t="s">
        <v>0</v>
      </c>
    </row>
    <row r="9" spans="2:6" x14ac:dyDescent="0.35">
      <c r="B9" s="3">
        <v>7</v>
      </c>
      <c r="C9" s="3">
        <v>2031</v>
      </c>
      <c r="D9" s="3">
        <f t="shared" si="0"/>
        <v>31</v>
      </c>
      <c r="E9" s="3">
        <f t="shared" si="0"/>
        <v>46</v>
      </c>
      <c r="F9" s="3" t="s">
        <v>0</v>
      </c>
    </row>
    <row r="10" spans="2:6" x14ac:dyDescent="0.35">
      <c r="B10" s="3">
        <v>8</v>
      </c>
      <c r="C10" s="3">
        <v>2032</v>
      </c>
      <c r="D10" s="3">
        <f t="shared" si="0"/>
        <v>32</v>
      </c>
      <c r="E10" s="3">
        <f t="shared" si="0"/>
        <v>47</v>
      </c>
      <c r="F10" s="3" t="s">
        <v>0</v>
      </c>
    </row>
    <row r="11" spans="2:6" x14ac:dyDescent="0.35">
      <c r="B11" s="3">
        <v>9</v>
      </c>
      <c r="C11" s="3">
        <v>2033</v>
      </c>
      <c r="D11" s="3">
        <f t="shared" si="0"/>
        <v>33</v>
      </c>
      <c r="E11" s="3">
        <f t="shared" si="0"/>
        <v>48</v>
      </c>
      <c r="F11" s="3" t="s">
        <v>0</v>
      </c>
    </row>
    <row r="12" spans="2:6" x14ac:dyDescent="0.35">
      <c r="B12" s="3">
        <v>10</v>
      </c>
      <c r="C12" s="3">
        <v>2034</v>
      </c>
      <c r="D12" s="3">
        <f t="shared" si="0"/>
        <v>34</v>
      </c>
      <c r="E12" s="3">
        <f t="shared" si="0"/>
        <v>49</v>
      </c>
      <c r="F12" s="3" t="s">
        <v>0</v>
      </c>
    </row>
    <row r="13" spans="2:6" x14ac:dyDescent="0.35">
      <c r="B13" s="3">
        <v>11</v>
      </c>
      <c r="C13" s="3">
        <v>2035</v>
      </c>
      <c r="D13" s="3">
        <f t="shared" si="0"/>
        <v>35</v>
      </c>
      <c r="E13" s="3">
        <f t="shared" si="0"/>
        <v>50</v>
      </c>
      <c r="F13" s="3" t="s">
        <v>0</v>
      </c>
    </row>
    <row r="14" spans="2:6" x14ac:dyDescent="0.35">
      <c r="B14" s="3">
        <v>12</v>
      </c>
      <c r="C14" s="3">
        <v>2036</v>
      </c>
      <c r="D14" s="3">
        <f t="shared" si="0"/>
        <v>36</v>
      </c>
      <c r="E14" s="3">
        <f t="shared" si="0"/>
        <v>51</v>
      </c>
      <c r="F14" s="3" t="s">
        <v>0</v>
      </c>
    </row>
    <row r="15" spans="2:6" x14ac:dyDescent="0.35">
      <c r="B15" s="3">
        <v>13</v>
      </c>
      <c r="C15" s="3">
        <v>2037</v>
      </c>
      <c r="D15" s="3">
        <f t="shared" si="0"/>
        <v>37</v>
      </c>
      <c r="E15" s="3">
        <f t="shared" si="0"/>
        <v>52</v>
      </c>
      <c r="F15" s="3" t="s">
        <v>0</v>
      </c>
    </row>
    <row r="16" spans="2:6" x14ac:dyDescent="0.35">
      <c r="B16" s="3">
        <v>14</v>
      </c>
      <c r="C16" s="3">
        <v>2038</v>
      </c>
      <c r="D16" s="3">
        <f t="shared" si="0"/>
        <v>38</v>
      </c>
      <c r="E16" s="3">
        <f t="shared" si="0"/>
        <v>53</v>
      </c>
      <c r="F16" s="3" t="s">
        <v>0</v>
      </c>
    </row>
    <row r="17" spans="2:6" x14ac:dyDescent="0.35">
      <c r="B17" s="3">
        <v>15</v>
      </c>
      <c r="C17" s="3">
        <v>2039</v>
      </c>
      <c r="D17" s="3">
        <f>D16+1</f>
        <v>39</v>
      </c>
      <c r="E17" s="3">
        <f>E16+1</f>
        <v>54</v>
      </c>
      <c r="F17" s="3" t="s">
        <v>0</v>
      </c>
    </row>
    <row r="18" spans="2:6" x14ac:dyDescent="0.35">
      <c r="B18" s="3">
        <v>16</v>
      </c>
      <c r="C18" s="3">
        <v>2040</v>
      </c>
      <c r="D18" s="3">
        <f t="shared" ref="D18:E33" si="1">D17+1</f>
        <v>40</v>
      </c>
      <c r="E18" s="3">
        <f t="shared" si="1"/>
        <v>55</v>
      </c>
      <c r="F18" s="3" t="s">
        <v>0</v>
      </c>
    </row>
    <row r="19" spans="2:6" x14ac:dyDescent="0.35">
      <c r="B19" s="3">
        <v>17</v>
      </c>
      <c r="C19" s="3">
        <v>2041</v>
      </c>
      <c r="D19" s="3">
        <f t="shared" si="1"/>
        <v>41</v>
      </c>
      <c r="E19" s="3">
        <f t="shared" si="1"/>
        <v>56</v>
      </c>
      <c r="F19" s="3" t="s">
        <v>0</v>
      </c>
    </row>
    <row r="20" spans="2:6" x14ac:dyDescent="0.35">
      <c r="B20" s="3">
        <v>18</v>
      </c>
      <c r="C20" s="3">
        <v>2042</v>
      </c>
      <c r="D20" s="3">
        <f t="shared" si="1"/>
        <v>42</v>
      </c>
      <c r="E20" s="3">
        <f t="shared" si="1"/>
        <v>57</v>
      </c>
      <c r="F20" s="3" t="s">
        <v>0</v>
      </c>
    </row>
    <row r="21" spans="2:6" x14ac:dyDescent="0.35">
      <c r="B21" s="3">
        <v>19</v>
      </c>
      <c r="C21" s="3">
        <v>2043</v>
      </c>
      <c r="D21" s="3">
        <f t="shared" si="1"/>
        <v>43</v>
      </c>
      <c r="E21" s="3">
        <f t="shared" si="1"/>
        <v>58</v>
      </c>
      <c r="F21" s="3" t="s">
        <v>0</v>
      </c>
    </row>
    <row r="22" spans="2:6" x14ac:dyDescent="0.35">
      <c r="B22" s="3">
        <v>20</v>
      </c>
      <c r="C22" s="3">
        <v>2044</v>
      </c>
      <c r="D22" s="3">
        <f t="shared" si="1"/>
        <v>44</v>
      </c>
      <c r="E22" s="3">
        <f t="shared" si="1"/>
        <v>59</v>
      </c>
      <c r="F22" s="3" t="s">
        <v>0</v>
      </c>
    </row>
    <row r="23" spans="2:6" x14ac:dyDescent="0.35">
      <c r="B23" s="3">
        <v>21</v>
      </c>
      <c r="C23" s="3">
        <v>2045</v>
      </c>
      <c r="D23" s="3">
        <f t="shared" si="1"/>
        <v>45</v>
      </c>
      <c r="E23" s="3">
        <f t="shared" si="1"/>
        <v>60</v>
      </c>
      <c r="F23" s="3" t="s">
        <v>0</v>
      </c>
    </row>
    <row r="24" spans="2:6" x14ac:dyDescent="0.35">
      <c r="B24" s="3">
        <v>22</v>
      </c>
      <c r="C24" s="3">
        <v>2046</v>
      </c>
      <c r="D24" s="3">
        <f t="shared" si="1"/>
        <v>46</v>
      </c>
      <c r="E24" s="3">
        <f t="shared" si="1"/>
        <v>61</v>
      </c>
      <c r="F24" s="3" t="s">
        <v>0</v>
      </c>
    </row>
    <row r="25" spans="2:6" x14ac:dyDescent="0.35">
      <c r="B25" s="3">
        <v>23</v>
      </c>
      <c r="C25" s="3">
        <v>2047</v>
      </c>
      <c r="D25" s="3">
        <f t="shared" si="1"/>
        <v>47</v>
      </c>
      <c r="E25" s="3">
        <f t="shared" si="1"/>
        <v>62</v>
      </c>
      <c r="F25" s="3" t="s">
        <v>0</v>
      </c>
    </row>
    <row r="26" spans="2:6" x14ac:dyDescent="0.35">
      <c r="B26" s="3">
        <v>24</v>
      </c>
      <c r="C26" s="3">
        <v>2048</v>
      </c>
      <c r="D26" s="3">
        <f t="shared" si="1"/>
        <v>48</v>
      </c>
      <c r="E26" s="3">
        <f t="shared" si="1"/>
        <v>63</v>
      </c>
      <c r="F26" s="3" t="s">
        <v>0</v>
      </c>
    </row>
    <row r="27" spans="2:6" x14ac:dyDescent="0.35">
      <c r="B27" s="3">
        <v>25</v>
      </c>
      <c r="C27" s="3">
        <v>2049</v>
      </c>
      <c r="D27" s="3">
        <f t="shared" si="1"/>
        <v>49</v>
      </c>
      <c r="E27" s="3">
        <f t="shared" si="1"/>
        <v>64</v>
      </c>
      <c r="F27" s="3" t="s">
        <v>0</v>
      </c>
    </row>
    <row r="28" spans="2:6" x14ac:dyDescent="0.35">
      <c r="B28" s="3">
        <v>26</v>
      </c>
      <c r="C28" s="3">
        <v>2050</v>
      </c>
      <c r="D28" s="3">
        <f t="shared" si="1"/>
        <v>50</v>
      </c>
      <c r="E28" s="3">
        <f t="shared" si="1"/>
        <v>65</v>
      </c>
      <c r="F28" s="3" t="s">
        <v>0</v>
      </c>
    </row>
    <row r="29" spans="2:6" x14ac:dyDescent="0.35">
      <c r="B29" s="3">
        <v>27</v>
      </c>
      <c r="C29" s="3">
        <v>2051</v>
      </c>
      <c r="D29" s="3">
        <f t="shared" si="1"/>
        <v>51</v>
      </c>
      <c r="E29" s="3">
        <f t="shared" si="1"/>
        <v>66</v>
      </c>
      <c r="F29" s="3" t="s">
        <v>0</v>
      </c>
    </row>
    <row r="30" spans="2:6" x14ac:dyDescent="0.35">
      <c r="B30" s="3">
        <v>28</v>
      </c>
      <c r="C30" s="3">
        <v>2052</v>
      </c>
      <c r="D30" s="3">
        <f t="shared" si="1"/>
        <v>52</v>
      </c>
      <c r="E30" s="3">
        <f t="shared" si="1"/>
        <v>67</v>
      </c>
      <c r="F30" s="3" t="s">
        <v>0</v>
      </c>
    </row>
    <row r="31" spans="2:6" x14ac:dyDescent="0.35">
      <c r="B31" s="3">
        <v>29</v>
      </c>
      <c r="C31" s="3">
        <v>2053</v>
      </c>
      <c r="D31" s="3">
        <f t="shared" si="1"/>
        <v>53</v>
      </c>
      <c r="E31" s="3">
        <f t="shared" si="1"/>
        <v>68</v>
      </c>
      <c r="F31" s="3" t="s">
        <v>0</v>
      </c>
    </row>
    <row r="32" spans="2:6" x14ac:dyDescent="0.35">
      <c r="B32" s="3">
        <v>30</v>
      </c>
      <c r="C32" s="3">
        <v>2054</v>
      </c>
      <c r="D32" s="3">
        <f t="shared" si="1"/>
        <v>54</v>
      </c>
      <c r="E32" s="3">
        <f t="shared" si="1"/>
        <v>69</v>
      </c>
      <c r="F32" s="3" t="s">
        <v>0</v>
      </c>
    </row>
    <row r="33" spans="2:6" x14ac:dyDescent="0.35">
      <c r="B33" s="3">
        <v>31</v>
      </c>
      <c r="C33" s="3">
        <v>2055</v>
      </c>
      <c r="D33" s="3">
        <f t="shared" si="1"/>
        <v>55</v>
      </c>
      <c r="E33" s="3">
        <f t="shared" si="1"/>
        <v>70</v>
      </c>
      <c r="F33" s="3" t="s">
        <v>0</v>
      </c>
    </row>
    <row r="34" spans="2:6" x14ac:dyDescent="0.35">
      <c r="B34" s="3">
        <v>32</v>
      </c>
      <c r="C34" s="3">
        <v>2056</v>
      </c>
      <c r="D34" s="3">
        <f t="shared" ref="D34:E49" si="2">D33+1</f>
        <v>56</v>
      </c>
      <c r="E34" s="3">
        <f t="shared" si="2"/>
        <v>71</v>
      </c>
      <c r="F34" s="3" t="s">
        <v>0</v>
      </c>
    </row>
    <row r="35" spans="2:6" x14ac:dyDescent="0.35">
      <c r="B35" s="3">
        <v>33</v>
      </c>
      <c r="C35" s="3">
        <v>2057</v>
      </c>
      <c r="D35" s="3">
        <f t="shared" si="2"/>
        <v>57</v>
      </c>
      <c r="E35" s="3">
        <f t="shared" si="2"/>
        <v>72</v>
      </c>
      <c r="F35" s="3" t="s">
        <v>0</v>
      </c>
    </row>
    <row r="36" spans="2:6" x14ac:dyDescent="0.35">
      <c r="B36" s="3">
        <v>34</v>
      </c>
      <c r="C36" s="3">
        <v>2058</v>
      </c>
      <c r="D36" s="3">
        <f t="shared" si="2"/>
        <v>58</v>
      </c>
      <c r="E36" s="3">
        <f t="shared" si="2"/>
        <v>73</v>
      </c>
      <c r="F36" s="3" t="s">
        <v>0</v>
      </c>
    </row>
    <row r="37" spans="2:6" x14ac:dyDescent="0.35">
      <c r="B37" s="3">
        <v>35</v>
      </c>
      <c r="C37" s="3">
        <v>2059</v>
      </c>
      <c r="D37" s="3">
        <f t="shared" si="2"/>
        <v>59</v>
      </c>
      <c r="E37" s="3">
        <f t="shared" si="2"/>
        <v>74</v>
      </c>
      <c r="F37" s="3" t="s">
        <v>0</v>
      </c>
    </row>
    <row r="38" spans="2:6" x14ac:dyDescent="0.35">
      <c r="B38" s="3">
        <v>36</v>
      </c>
      <c r="C38" s="3">
        <v>2060</v>
      </c>
      <c r="D38" s="3">
        <f t="shared" si="2"/>
        <v>60</v>
      </c>
      <c r="E38" s="3">
        <f t="shared" si="2"/>
        <v>75</v>
      </c>
      <c r="F38" s="3" t="s">
        <v>0</v>
      </c>
    </row>
    <row r="39" spans="2:6" x14ac:dyDescent="0.35">
      <c r="B39" s="3">
        <v>37</v>
      </c>
      <c r="C39" s="3">
        <v>2061</v>
      </c>
      <c r="D39" s="3">
        <f t="shared" si="2"/>
        <v>61</v>
      </c>
      <c r="E39" s="3">
        <f t="shared" si="2"/>
        <v>76</v>
      </c>
      <c r="F39" s="3" t="s">
        <v>0</v>
      </c>
    </row>
    <row r="40" spans="2:6" x14ac:dyDescent="0.35">
      <c r="B40" s="3">
        <v>38</v>
      </c>
      <c r="C40" s="3">
        <v>2062</v>
      </c>
      <c r="D40" s="3">
        <f t="shared" si="2"/>
        <v>62</v>
      </c>
      <c r="E40" s="3">
        <f t="shared" si="2"/>
        <v>77</v>
      </c>
      <c r="F40" s="3" t="s">
        <v>0</v>
      </c>
    </row>
    <row r="41" spans="2:6" x14ac:dyDescent="0.35">
      <c r="B41" s="3">
        <v>39</v>
      </c>
      <c r="C41" s="3">
        <v>2063</v>
      </c>
      <c r="D41" s="3">
        <f t="shared" si="2"/>
        <v>63</v>
      </c>
      <c r="E41" s="3">
        <f t="shared" si="2"/>
        <v>78</v>
      </c>
      <c r="F41" s="3" t="s">
        <v>0</v>
      </c>
    </row>
    <row r="42" spans="2:6" x14ac:dyDescent="0.35">
      <c r="B42" s="3">
        <v>40</v>
      </c>
      <c r="C42" s="3">
        <v>2064</v>
      </c>
      <c r="D42" s="3">
        <f t="shared" si="2"/>
        <v>64</v>
      </c>
      <c r="E42" s="3">
        <f t="shared" si="2"/>
        <v>79</v>
      </c>
      <c r="F42" s="3" t="s">
        <v>0</v>
      </c>
    </row>
    <row r="43" spans="2:6" x14ac:dyDescent="0.35">
      <c r="B43" s="3">
        <v>41</v>
      </c>
      <c r="C43" s="3">
        <v>2065</v>
      </c>
      <c r="D43" s="3">
        <f t="shared" si="2"/>
        <v>65</v>
      </c>
      <c r="E43" s="3">
        <f t="shared" si="2"/>
        <v>80</v>
      </c>
      <c r="F43" s="3" t="s">
        <v>0</v>
      </c>
    </row>
    <row r="44" spans="2:6" x14ac:dyDescent="0.35">
      <c r="B44" s="3">
        <v>42</v>
      </c>
      <c r="C44" s="3">
        <v>2066</v>
      </c>
      <c r="D44" s="3">
        <f t="shared" si="2"/>
        <v>66</v>
      </c>
      <c r="E44" s="3">
        <f t="shared" si="2"/>
        <v>81</v>
      </c>
      <c r="F44" s="3" t="s">
        <v>0</v>
      </c>
    </row>
    <row r="45" spans="2:6" x14ac:dyDescent="0.35">
      <c r="B45" s="3">
        <v>43</v>
      </c>
      <c r="C45" s="3">
        <v>2067</v>
      </c>
      <c r="D45" s="3">
        <f t="shared" si="2"/>
        <v>67</v>
      </c>
      <c r="E45" s="3">
        <f t="shared" si="2"/>
        <v>82</v>
      </c>
      <c r="F45" s="3" t="s">
        <v>0</v>
      </c>
    </row>
    <row r="46" spans="2:6" x14ac:dyDescent="0.35">
      <c r="B46" s="3">
        <v>44</v>
      </c>
      <c r="C46" s="3">
        <v>2068</v>
      </c>
      <c r="D46" s="3">
        <f t="shared" si="2"/>
        <v>68</v>
      </c>
      <c r="E46" s="3">
        <f t="shared" si="2"/>
        <v>83</v>
      </c>
      <c r="F46" s="3" t="s">
        <v>0</v>
      </c>
    </row>
    <row r="47" spans="2:6" x14ac:dyDescent="0.35">
      <c r="B47" s="3">
        <v>45</v>
      </c>
      <c r="C47" s="3">
        <v>2069</v>
      </c>
      <c r="D47" s="3">
        <f t="shared" si="2"/>
        <v>69</v>
      </c>
      <c r="E47" s="3">
        <f t="shared" si="2"/>
        <v>84</v>
      </c>
      <c r="F47" s="3" t="s">
        <v>0</v>
      </c>
    </row>
    <row r="48" spans="2:6" x14ac:dyDescent="0.35">
      <c r="B48" s="3">
        <v>46</v>
      </c>
      <c r="C48" s="3">
        <v>2070</v>
      </c>
      <c r="D48" s="3">
        <f t="shared" si="2"/>
        <v>70</v>
      </c>
      <c r="E48" s="3">
        <f t="shared" si="2"/>
        <v>85</v>
      </c>
      <c r="F48" s="3" t="s">
        <v>0</v>
      </c>
    </row>
    <row r="49" spans="2:6" x14ac:dyDescent="0.35">
      <c r="B49" s="3">
        <v>47</v>
      </c>
      <c r="C49" s="3">
        <v>2071</v>
      </c>
      <c r="D49" s="3">
        <f t="shared" si="2"/>
        <v>71</v>
      </c>
      <c r="E49" s="3">
        <f t="shared" si="2"/>
        <v>86</v>
      </c>
      <c r="F49" s="3" t="s">
        <v>0</v>
      </c>
    </row>
    <row r="50" spans="2:6" x14ac:dyDescent="0.35">
      <c r="B50" s="3">
        <v>48</v>
      </c>
      <c r="C50" s="3">
        <v>2072</v>
      </c>
      <c r="D50" s="3">
        <f t="shared" ref="D50:E53" si="3">D49+1</f>
        <v>72</v>
      </c>
      <c r="E50" s="3">
        <f t="shared" si="3"/>
        <v>87</v>
      </c>
      <c r="F50" s="3" t="s">
        <v>0</v>
      </c>
    </row>
    <row r="51" spans="2:6" x14ac:dyDescent="0.35">
      <c r="B51" s="3">
        <v>49</v>
      </c>
      <c r="C51" s="3">
        <v>2073</v>
      </c>
      <c r="D51" s="3">
        <f t="shared" si="3"/>
        <v>73</v>
      </c>
      <c r="E51" s="3">
        <f t="shared" si="3"/>
        <v>88</v>
      </c>
      <c r="F51" s="3" t="s">
        <v>0</v>
      </c>
    </row>
    <row r="52" spans="2:6" x14ac:dyDescent="0.35">
      <c r="B52" s="3">
        <v>50</v>
      </c>
      <c r="C52" s="3">
        <v>2074</v>
      </c>
      <c r="D52" s="3">
        <f t="shared" si="3"/>
        <v>74</v>
      </c>
      <c r="E52" s="3">
        <f t="shared" si="3"/>
        <v>89</v>
      </c>
      <c r="F52" s="3" t="s">
        <v>0</v>
      </c>
    </row>
    <row r="53" spans="2:6" x14ac:dyDescent="0.35">
      <c r="B53" s="3">
        <v>51</v>
      </c>
      <c r="C53" s="3">
        <v>2075</v>
      </c>
      <c r="D53" s="3">
        <f t="shared" si="3"/>
        <v>75</v>
      </c>
      <c r="E53" s="3">
        <f t="shared" si="3"/>
        <v>90</v>
      </c>
      <c r="F53" s="3" t="s">
        <v>0</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B19EC-53E0-409E-AA74-A8329EA95658}">
  <dimension ref="A1:F9"/>
  <sheetViews>
    <sheetView workbookViewId="0"/>
  </sheetViews>
  <sheetFormatPr defaultColWidth="8.7265625" defaultRowHeight="14.5" x14ac:dyDescent="0.35"/>
  <cols>
    <col min="1" max="2" width="8.7265625" style="2"/>
    <col min="3" max="3" width="10.1796875" style="2" bestFit="1" customWidth="1"/>
    <col min="4" max="16384" width="8.7265625" style="2"/>
  </cols>
  <sheetData>
    <row r="1" spans="1:6" x14ac:dyDescent="0.35">
      <c r="A1" s="2" t="s">
        <v>163</v>
      </c>
    </row>
    <row r="2" spans="1:6" x14ac:dyDescent="0.35">
      <c r="A2" s="2" t="s">
        <v>1</v>
      </c>
      <c r="B2" s="2" t="s">
        <v>165</v>
      </c>
      <c r="C2" s="2" t="s">
        <v>166</v>
      </c>
    </row>
    <row r="3" spans="1:6" x14ac:dyDescent="0.35">
      <c r="A3" s="2">
        <v>2019</v>
      </c>
      <c r="B3" s="2">
        <v>50000</v>
      </c>
    </row>
    <row r="4" spans="1:6" x14ac:dyDescent="0.35">
      <c r="A4" s="2">
        <v>2020</v>
      </c>
      <c r="B4" s="2">
        <f>100000</f>
        <v>100000</v>
      </c>
      <c r="C4" s="23">
        <f t="shared" ref="C4:C9" si="0">(B4-B3)/B3</f>
        <v>1</v>
      </c>
    </row>
    <row r="5" spans="1:6" x14ac:dyDescent="0.35">
      <c r="A5" s="2">
        <v>2021</v>
      </c>
      <c r="B5" s="2">
        <v>102300</v>
      </c>
      <c r="C5" s="23">
        <f t="shared" si="0"/>
        <v>2.3E-2</v>
      </c>
    </row>
    <row r="6" spans="1:6" x14ac:dyDescent="0.35">
      <c r="A6" s="2">
        <v>2022</v>
      </c>
      <c r="B6" s="2">
        <v>103500</v>
      </c>
      <c r="C6" s="23">
        <f t="shared" si="0"/>
        <v>1.1730205278592375E-2</v>
      </c>
      <c r="E6" s="2" t="s">
        <v>164</v>
      </c>
      <c r="F6" s="2" t="s">
        <v>167</v>
      </c>
    </row>
    <row r="7" spans="1:6" x14ac:dyDescent="0.35">
      <c r="A7" s="2">
        <v>2023</v>
      </c>
      <c r="B7" s="2">
        <v>106600</v>
      </c>
      <c r="C7" s="23">
        <f t="shared" si="0"/>
        <v>2.9951690821256038E-2</v>
      </c>
      <c r="E7" s="24">
        <f>MEDIAN(C4:C9)</f>
        <v>0.12645487410819978</v>
      </c>
      <c r="F7" s="25">
        <f>MEDIAN(C5:C9)</f>
        <v>2.9951690821256038E-2</v>
      </c>
    </row>
    <row r="8" spans="1:6" x14ac:dyDescent="0.35">
      <c r="A8" s="2">
        <v>2024</v>
      </c>
      <c r="B8" s="2">
        <v>135900</v>
      </c>
      <c r="C8" s="23">
        <f t="shared" si="0"/>
        <v>0.27485928705440899</v>
      </c>
    </row>
    <row r="9" spans="1:6" x14ac:dyDescent="0.35">
      <c r="A9" s="2">
        <v>2025</v>
      </c>
      <c r="B9" s="2">
        <v>166200</v>
      </c>
      <c r="C9" s="23">
        <f t="shared" si="0"/>
        <v>0.22295805739514349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8528-0F7E-42C6-90C6-302918AB96EC}">
  <dimension ref="A1:BA3"/>
  <sheetViews>
    <sheetView showGridLines="0" zoomScaleNormal="100" workbookViewId="0"/>
  </sheetViews>
  <sheetFormatPr defaultColWidth="8.81640625" defaultRowHeight="14.5" x14ac:dyDescent="0.35"/>
  <cols>
    <col min="1" max="1" width="3.1796875" bestFit="1" customWidth="1"/>
    <col min="2" max="2" width="10.1796875" bestFit="1" customWidth="1"/>
    <col min="3" max="13" width="12" bestFit="1" customWidth="1"/>
    <col min="14" max="14" width="11" bestFit="1" customWidth="1"/>
    <col min="15" max="46" width="12" bestFit="1" customWidth="1"/>
    <col min="47" max="47" width="11" bestFit="1" customWidth="1"/>
    <col min="48" max="52" width="12" bestFit="1" customWidth="1"/>
    <col min="53" max="53" width="2" bestFit="1" customWidth="1"/>
  </cols>
  <sheetData>
    <row r="1" spans="1:53" x14ac:dyDescent="0.35">
      <c r="A1" s="1"/>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3" x14ac:dyDescent="0.35">
      <c r="A2" s="67" t="s">
        <v>75</v>
      </c>
      <c r="B2" s="67">
        <v>0</v>
      </c>
      <c r="C2" s="67" cm="1">
        <f t="array" ref="C2:BA2">TRANSPOSE(TableIncome[InvestmentP1])</f>
        <v>56036.705219199997</v>
      </c>
      <c r="D2" s="67">
        <v>56036.705219199997</v>
      </c>
      <c r="E2" s="67">
        <v>57741.1541488</v>
      </c>
      <c r="F2" s="67">
        <v>57741.1541488</v>
      </c>
      <c r="G2" s="67">
        <v>57741.1541488</v>
      </c>
      <c r="H2" s="67">
        <v>57741.1541488</v>
      </c>
      <c r="I2" s="67">
        <v>59496.73654628799</v>
      </c>
      <c r="J2" s="67">
        <v>59496.73654628799</v>
      </c>
      <c r="K2" s="67">
        <v>59496.73654628799</v>
      </c>
      <c r="L2" s="67">
        <v>59496.73654628799</v>
      </c>
      <c r="M2" s="67">
        <v>61304.986415700638</v>
      </c>
      <c r="N2" s="67">
        <v>61304.986415700638</v>
      </c>
      <c r="O2" s="67">
        <v>61304.986415700638</v>
      </c>
      <c r="P2" s="67">
        <v>63167.483781195668</v>
      </c>
      <c r="Q2" s="67">
        <v>63167.483781195668</v>
      </c>
      <c r="R2" s="67">
        <v>63167.483781195668</v>
      </c>
      <c r="S2" s="67">
        <v>63167.483781195668</v>
      </c>
      <c r="T2" s="67">
        <v>63167.483781195668</v>
      </c>
      <c r="U2" s="67">
        <v>65085.856067655543</v>
      </c>
      <c r="V2" s="67">
        <v>65085.856067655543</v>
      </c>
      <c r="W2" s="67">
        <v>65085.856067655543</v>
      </c>
      <c r="X2" s="67">
        <v>65085.856067655543</v>
      </c>
      <c r="Y2" s="67">
        <v>67061.779522709199</v>
      </c>
      <c r="Z2" s="67">
        <v>67061.779522709199</v>
      </c>
      <c r="AA2" s="67">
        <v>67061.779522709199</v>
      </c>
      <c r="AB2" s="67">
        <v>67061.779522709199</v>
      </c>
      <c r="AC2" s="67">
        <v>67061.779522709199</v>
      </c>
      <c r="AD2" s="67">
        <v>67061.779522709199</v>
      </c>
      <c r="AE2" s="67">
        <v>67061.779522709199</v>
      </c>
      <c r="AF2" s="67">
        <v>67061.779522709199</v>
      </c>
      <c r="AG2" s="67">
        <v>67061.779522709199</v>
      </c>
      <c r="AH2" s="67">
        <v>67061.779522709199</v>
      </c>
      <c r="AI2" s="67">
        <v>67061.779522709199</v>
      </c>
      <c r="AJ2" s="67">
        <v>67061.779522709199</v>
      </c>
      <c r="AK2" s="67">
        <v>67061.779522709199</v>
      </c>
      <c r="AL2" s="67">
        <v>69096.980681414483</v>
      </c>
      <c r="AM2" s="67">
        <v>69096.980681414483</v>
      </c>
      <c r="AN2" s="67">
        <v>69096.980681414483</v>
      </c>
      <c r="AO2" s="67">
        <v>69096.980681414483</v>
      </c>
      <c r="AP2" s="67">
        <v>69096.980681414483</v>
      </c>
      <c r="AQ2" s="67">
        <v>69096.980681414483</v>
      </c>
      <c r="AR2" s="67">
        <v>69096.980681414483</v>
      </c>
      <c r="AS2" s="67">
        <v>69096.980681414483</v>
      </c>
      <c r="AT2" s="67">
        <v>69096.980681414483</v>
      </c>
      <c r="AU2" s="67">
        <v>69096.980681414483</v>
      </c>
      <c r="AV2" s="67">
        <v>69096.980681414483</v>
      </c>
      <c r="AW2" s="67">
        <v>69096.980681414483</v>
      </c>
      <c r="AX2" s="67">
        <v>69096.980681414483</v>
      </c>
      <c r="AY2" s="67">
        <v>69096.980681414483</v>
      </c>
      <c r="AZ2" s="67">
        <v>69096.980681414483</v>
      </c>
      <c r="BA2">
        <v>0</v>
      </c>
    </row>
    <row r="3" spans="1:53" x14ac:dyDescent="0.35">
      <c r="A3" s="67" t="s">
        <v>74</v>
      </c>
      <c r="B3" s="69">
        <v>200000</v>
      </c>
      <c r="C3" s="67" cm="1">
        <f t="array" ref="C3:BA3">TRANSPOSE(TableIncome[InvestmentP2])</f>
        <v>92000.591565280018</v>
      </c>
      <c r="D3" s="67">
        <v>92000.591565280018</v>
      </c>
      <c r="E3" s="67">
        <v>94179.973421262403</v>
      </c>
      <c r="F3" s="67">
        <v>94179.973421262403</v>
      </c>
      <c r="G3" s="67">
        <v>94179.973421262403</v>
      </c>
      <c r="H3" s="67">
        <v>94179.973421262403</v>
      </c>
      <c r="I3" s="67">
        <v>96424.73673292427</v>
      </c>
      <c r="J3" s="67">
        <v>96424.73673292427</v>
      </c>
      <c r="K3" s="67">
        <v>96424.73673292427</v>
      </c>
      <c r="L3" s="67">
        <v>96424.73673292427</v>
      </c>
      <c r="M3" s="67">
        <v>98736.842943936004</v>
      </c>
      <c r="N3" s="67">
        <v>98736.842943936004</v>
      </c>
      <c r="O3" s="67">
        <v>98736.842943936004</v>
      </c>
      <c r="P3" s="67">
        <v>101118.31234127807</v>
      </c>
      <c r="Q3" s="67">
        <v>101118.31234127807</v>
      </c>
      <c r="R3" s="67">
        <v>101118.31234127807</v>
      </c>
      <c r="S3" s="67">
        <v>101118.31234127807</v>
      </c>
      <c r="T3" s="67">
        <v>101118.31234127807</v>
      </c>
      <c r="U3" s="67">
        <v>103571.22582054044</v>
      </c>
      <c r="V3" s="67">
        <v>103571.22582054044</v>
      </c>
      <c r="W3" s="67">
        <v>103571.22582054044</v>
      </c>
      <c r="X3" s="67">
        <v>103571.22582054044</v>
      </c>
      <c r="Y3" s="67">
        <v>106097.72670418065</v>
      </c>
      <c r="Z3" s="67">
        <v>106097.72670418065</v>
      </c>
      <c r="AA3" s="67">
        <v>106097.72670418065</v>
      </c>
      <c r="AB3" s="67">
        <v>106097.72670418065</v>
      </c>
      <c r="AC3" s="67">
        <v>106097.72670418065</v>
      </c>
      <c r="AD3" s="67">
        <v>106097.72670418065</v>
      </c>
      <c r="AE3" s="67">
        <v>106097.72670418065</v>
      </c>
      <c r="AF3" s="67">
        <v>106097.72670418065</v>
      </c>
      <c r="AG3" s="67">
        <v>106097.72670418065</v>
      </c>
      <c r="AH3" s="67">
        <v>106097.72670418065</v>
      </c>
      <c r="AI3" s="67">
        <v>106097.72670418065</v>
      </c>
      <c r="AJ3" s="67">
        <v>106097.72670418065</v>
      </c>
      <c r="AK3" s="67">
        <v>106097.72670418065</v>
      </c>
      <c r="AL3" s="67">
        <v>0</v>
      </c>
      <c r="AM3" s="67">
        <v>0</v>
      </c>
      <c r="AN3" s="67">
        <v>0</v>
      </c>
      <c r="AO3" s="67">
        <v>0</v>
      </c>
      <c r="AP3" s="67">
        <v>0</v>
      </c>
      <c r="AQ3" s="67">
        <v>0</v>
      </c>
      <c r="AR3" s="67">
        <v>0</v>
      </c>
      <c r="AS3" s="67">
        <v>0</v>
      </c>
      <c r="AT3" s="67">
        <v>0</v>
      </c>
      <c r="AU3" s="67">
        <v>0</v>
      </c>
      <c r="AV3" s="67">
        <v>0</v>
      </c>
      <c r="AW3" s="67">
        <v>0</v>
      </c>
      <c r="AX3" s="67">
        <v>0</v>
      </c>
      <c r="AY3" s="67">
        <v>0</v>
      </c>
      <c r="AZ3" s="67">
        <v>0</v>
      </c>
      <c r="BA3">
        <v>0</v>
      </c>
    </row>
  </sheetData>
  <phoneticPr fontId="8" type="noConversion"/>
  <pageMargins left="0.7" right="0.7" top="0.75" bottom="0.75" header="0.3" footer="0.3"/>
  <pageSetup paperSize="9" orientation="portrait" r:id="rId1"/>
  <ignoredErrors>
    <ignoredError sqref="B1:AZ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8ADD-DD1E-4AF8-A566-64852FAB7E7C}">
  <dimension ref="A1:AZ3"/>
  <sheetViews>
    <sheetView showGridLines="0" workbookViewId="0"/>
  </sheetViews>
  <sheetFormatPr defaultColWidth="8.81640625" defaultRowHeight="14.5" x14ac:dyDescent="0.35"/>
  <cols>
    <col min="1" max="1" width="3.1796875" bestFit="1" customWidth="1"/>
    <col min="2" max="2" width="10.54296875" bestFit="1" customWidth="1"/>
    <col min="3" max="10" width="11.54296875" bestFit="1" customWidth="1"/>
    <col min="11" max="52" width="13.26953125" bestFit="1" customWidth="1"/>
  </cols>
  <sheetData>
    <row r="1" spans="1:52" x14ac:dyDescent="0.3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70" t="s">
        <v>157</v>
      </c>
    </row>
    <row r="2" spans="1:52" x14ac:dyDescent="0.35">
      <c r="A2" s="67" t="s">
        <v>75</v>
      </c>
      <c r="B2" s="71">
        <f>SUMIF(TableIncome[Year], "&lt;=" &amp; B1, TableIncome[InvestmentP1])</f>
        <v>56036.705219199997</v>
      </c>
      <c r="C2" s="71">
        <f>SUMIF(TableIncome[Year], "&lt;=" &amp; C1, TableIncome[InvestmentP1])</f>
        <v>112073.41043839999</v>
      </c>
      <c r="D2" s="71">
        <f>SUMIF(TableIncome[Year], "&lt;=" &amp; D1, TableIncome[InvestmentP1])</f>
        <v>169814.5645872</v>
      </c>
      <c r="E2" s="71">
        <f>SUMIF(TableIncome[Year], "&lt;=" &amp; E1, TableIncome[InvestmentP1])</f>
        <v>227555.71873600001</v>
      </c>
      <c r="F2" s="71">
        <f>SUMIF(TableIncome[Year], "&lt;=" &amp; F1, TableIncome[InvestmentP1])</f>
        <v>285296.87288480002</v>
      </c>
      <c r="G2" s="71">
        <f>SUMIF(TableIncome[Year], "&lt;=" &amp; G1, TableIncome[InvestmentP1])</f>
        <v>343038.02703360002</v>
      </c>
      <c r="H2" s="71">
        <f>SUMIF(TableIncome[Year], "&lt;=" &amp; H1, TableIncome[InvestmentP1])</f>
        <v>402534.76357988804</v>
      </c>
      <c r="I2" s="71">
        <f>SUMIF(TableIncome[Year], "&lt;=" &amp; I1, TableIncome[InvestmentP1])</f>
        <v>462031.50012617605</v>
      </c>
      <c r="J2" s="71">
        <f>SUMIF(TableIncome[Year], "&lt;=" &amp; J1, TableIncome[InvestmentP1])</f>
        <v>521528.23667246406</v>
      </c>
      <c r="K2" s="71">
        <f>SUMIF(TableIncome[Year], "&lt;=" &amp; K1, TableIncome[InvestmentP1])</f>
        <v>581024.97321875207</v>
      </c>
      <c r="L2" s="71">
        <f>SUMIF(TableIncome[Year], "&lt;=" &amp; L1, TableIncome[InvestmentP1])</f>
        <v>642329.95963445271</v>
      </c>
      <c r="M2" s="71">
        <f>SUMIF(TableIncome[Year], "&lt;=" &amp; M1, TableIncome[InvestmentP1])</f>
        <v>703634.94605015335</v>
      </c>
      <c r="N2" s="71">
        <f>SUMIF(TableIncome[Year], "&lt;=" &amp; N1, TableIncome[InvestmentP1])</f>
        <v>764939.93246585398</v>
      </c>
      <c r="O2" s="71">
        <f>SUMIF(TableIncome[Year], "&lt;=" &amp; O1, TableIncome[InvestmentP1])</f>
        <v>828107.4162470497</v>
      </c>
      <c r="P2" s="71">
        <f>SUMIF(TableIncome[Year], "&lt;=" &amp; P1, TableIncome[InvestmentP1])</f>
        <v>891274.90002824541</v>
      </c>
      <c r="Q2" s="71">
        <f>SUMIF(TableIncome[Year], "&lt;=" &amp; Q1, TableIncome[InvestmentP1])</f>
        <v>954442.38380944112</v>
      </c>
      <c r="R2" s="71">
        <f>SUMIF(TableIncome[Year], "&lt;=" &amp; R1, TableIncome[InvestmentP1])</f>
        <v>1017609.8675906368</v>
      </c>
      <c r="S2" s="71">
        <f>SUMIF(TableIncome[Year], "&lt;=" &amp; S1, TableIncome[InvestmentP1])</f>
        <v>1080777.3513718324</v>
      </c>
      <c r="T2" s="71">
        <f>SUMIF(TableIncome[Year], "&lt;=" &amp; T1, TableIncome[InvestmentP1])</f>
        <v>1145863.207439488</v>
      </c>
      <c r="U2" s="71">
        <f>SUMIF(TableIncome[Year], "&lt;=" &amp; U1, TableIncome[InvestmentP1])</f>
        <v>1210949.0635071436</v>
      </c>
      <c r="V2" s="71">
        <f>SUMIF(TableIncome[Year], "&lt;=" &amp; V1, TableIncome[InvestmentP1])</f>
        <v>1276034.9195747992</v>
      </c>
      <c r="W2" s="71">
        <f>SUMIF(TableIncome[Year], "&lt;=" &amp; W1, TableIncome[InvestmentP1])</f>
        <v>1341120.7756424549</v>
      </c>
      <c r="X2" s="71">
        <f>SUMIF(TableIncome[Year], "&lt;=" &amp; X1, TableIncome[InvestmentP1])</f>
        <v>1408182.5551651642</v>
      </c>
      <c r="Y2" s="71">
        <f>SUMIF(TableIncome[Year], "&lt;=" &amp; Y1, TableIncome[InvestmentP1])</f>
        <v>1475244.3346878733</v>
      </c>
      <c r="Z2" s="71">
        <f>SUMIF(TableIncome[Year], "&lt;=" &amp; Z1, TableIncome[InvestmentP1])</f>
        <v>1542306.1142105823</v>
      </c>
      <c r="AA2" s="71">
        <f>SUMIF(TableIncome[Year], "&lt;=" &amp; AA1, TableIncome[InvestmentP1])</f>
        <v>1609367.8937332914</v>
      </c>
      <c r="AB2" s="71">
        <f>SUMIF(TableIncome[Year], "&lt;=" &amp; AB1, TableIncome[InvestmentP1])</f>
        <v>1676429.6732560005</v>
      </c>
      <c r="AC2" s="71">
        <f>SUMIF(TableIncome[Year], "&lt;=" &amp; AC1, TableIncome[InvestmentP1])</f>
        <v>1743491.4527787096</v>
      </c>
      <c r="AD2" s="71">
        <f>SUMIF(TableIncome[Year], "&lt;=" &amp; AD1, TableIncome[InvestmentP1])</f>
        <v>1810553.2323014187</v>
      </c>
      <c r="AE2" s="71">
        <f>SUMIF(TableIncome[Year], "&lt;=" &amp; AE1, TableIncome[InvestmentP1])</f>
        <v>1877615.0118241278</v>
      </c>
      <c r="AF2" s="71">
        <f>SUMIF(TableIncome[Year], "&lt;=" &amp; AF1, TableIncome[InvestmentP1])</f>
        <v>1944676.7913468368</v>
      </c>
      <c r="AG2" s="71">
        <f>SUMIF(TableIncome[Year], "&lt;=" &amp; AG1, TableIncome[InvestmentP1])</f>
        <v>2011738.5708695459</v>
      </c>
      <c r="AH2" s="71">
        <f>SUMIF(TableIncome[Year], "&lt;=" &amp; AH1, TableIncome[InvestmentP1])</f>
        <v>2078800.350392255</v>
      </c>
      <c r="AI2" s="71">
        <f>SUMIF(TableIncome[Year], "&lt;=" &amp; AI1, TableIncome[InvestmentP1])</f>
        <v>2145862.1299149641</v>
      </c>
      <c r="AJ2" s="71">
        <f>SUMIF(TableIncome[Year], "&lt;=" &amp; AJ1, TableIncome[InvestmentP1])</f>
        <v>2212923.9094376732</v>
      </c>
      <c r="AK2" s="71">
        <f>SUMIF(TableIncome[Year], "&lt;=" &amp; AK1, TableIncome[InvestmentP1])</f>
        <v>2282020.8901190879</v>
      </c>
      <c r="AL2" s="71">
        <f>SUMIF(TableIncome[Year], "&lt;=" &amp; AL1, TableIncome[InvestmentP1])</f>
        <v>2351117.8708005026</v>
      </c>
      <c r="AM2" s="71">
        <f>SUMIF(TableIncome[Year], "&lt;=" &amp; AM1, TableIncome[InvestmentP1])</f>
        <v>2420214.8514819173</v>
      </c>
      <c r="AN2" s="71">
        <f>SUMIF(TableIncome[Year], "&lt;=" &amp; AN1, TableIncome[InvestmentP1])</f>
        <v>2489311.832163332</v>
      </c>
      <c r="AO2" s="71">
        <f>SUMIF(TableIncome[Year], "&lt;=" &amp; AO1, TableIncome[InvestmentP1])</f>
        <v>2558408.8128447467</v>
      </c>
      <c r="AP2" s="71">
        <f>SUMIF(TableIncome[Year], "&lt;=" &amp; AP1, TableIncome[InvestmentP1])</f>
        <v>2627505.7935261615</v>
      </c>
      <c r="AQ2" s="71">
        <f>SUMIF(TableIncome[Year], "&lt;=" &amp; AQ1, TableIncome[InvestmentP1])</f>
        <v>2696602.7742075762</v>
      </c>
      <c r="AR2" s="71">
        <f>SUMIF(TableIncome[Year], "&lt;=" &amp; AR1, TableIncome[InvestmentP1])</f>
        <v>2765699.7548889909</v>
      </c>
      <c r="AS2" s="71">
        <f>SUMIF(TableIncome[Year], "&lt;=" &amp; AS1, TableIncome[InvestmentP1])</f>
        <v>2834796.7355704056</v>
      </c>
      <c r="AT2" s="71">
        <f>SUMIF(TableIncome[Year], "&lt;=" &amp; AT1, TableIncome[InvestmentP1])</f>
        <v>2903893.7162518203</v>
      </c>
      <c r="AU2" s="71">
        <f>SUMIF(TableIncome[Year], "&lt;=" &amp; AU1, TableIncome[InvestmentP1])</f>
        <v>2972990.696933235</v>
      </c>
      <c r="AV2" s="71">
        <f>SUMIF(TableIncome[Year], "&lt;=" &amp; AV1, TableIncome[InvestmentP1])</f>
        <v>3042087.6776146498</v>
      </c>
      <c r="AW2" s="71">
        <f>SUMIF(TableIncome[Year], "&lt;=" &amp; AW1, TableIncome[InvestmentP1])</f>
        <v>3111184.6582960645</v>
      </c>
      <c r="AX2" s="71">
        <f>SUMIF(TableIncome[Year], "&lt;=" &amp; AX1, TableIncome[InvestmentP1])</f>
        <v>3180281.6389774792</v>
      </c>
      <c r="AY2" s="71">
        <f>SUMIF(TableIncome[Year], "&lt;=" &amp; AY1, TableIncome[InvestmentP1])</f>
        <v>3249378.6196588939</v>
      </c>
      <c r="AZ2" s="71">
        <f>SUMIF(TableIncome[Year], "&lt;=" &amp; AZ1, TableIncome[InvestmentP1])</f>
        <v>3249378.6196588939</v>
      </c>
    </row>
    <row r="3" spans="1:52" x14ac:dyDescent="0.35">
      <c r="A3" s="67" t="s">
        <v>74</v>
      </c>
      <c r="B3" s="71">
        <f>SUMIF(TableIncome[Year], "&lt;=" &amp; B1, TableIncome[InvestmentP2])</f>
        <v>92000.591565280018</v>
      </c>
      <c r="C3" s="71">
        <f>SUMIF(TableIncome[Year], "&lt;=" &amp; C1, TableIncome[InvestmentP2])</f>
        <v>184001.18313056004</v>
      </c>
      <c r="D3" s="71">
        <f>SUMIF(TableIncome[Year], "&lt;=" &amp; D1, TableIncome[InvestmentP2])</f>
        <v>278181.15655182244</v>
      </c>
      <c r="E3" s="71">
        <f>SUMIF(TableIncome[Year], "&lt;=" &amp; E1, TableIncome[InvestmentP2])</f>
        <v>372361.12997308484</v>
      </c>
      <c r="F3" s="71">
        <f>SUMIF(TableIncome[Year], "&lt;=" &amp; F1, TableIncome[InvestmentP2])</f>
        <v>466541.10339434724</v>
      </c>
      <c r="G3" s="71">
        <f>SUMIF(TableIncome[Year], "&lt;=" &amp; G1, TableIncome[InvestmentP2])</f>
        <v>560721.07681560959</v>
      </c>
      <c r="H3" s="71">
        <f>SUMIF(TableIncome[Year], "&lt;=" &amp; H1, TableIncome[InvestmentP2])</f>
        <v>657145.81354853383</v>
      </c>
      <c r="I3" s="71">
        <f>SUMIF(TableIncome[Year], "&lt;=" &amp; I1, TableIncome[InvestmentP2])</f>
        <v>753570.55028145807</v>
      </c>
      <c r="J3" s="71">
        <f>SUMIF(TableIncome[Year], "&lt;=" &amp; J1, TableIncome[InvestmentP2])</f>
        <v>849995.28701438231</v>
      </c>
      <c r="K3" s="71">
        <f>SUMIF(TableIncome[Year], "&lt;=" &amp; K1, TableIncome[InvestmentP2])</f>
        <v>946420.02374730655</v>
      </c>
      <c r="L3" s="71">
        <f>SUMIF(TableIncome[Year], "&lt;=" &amp; L1, TableIncome[InvestmentP2])</f>
        <v>1045156.8666912426</v>
      </c>
      <c r="M3" s="71">
        <f>SUMIF(TableIncome[Year], "&lt;=" &amp; M1, TableIncome[InvestmentP2])</f>
        <v>1143893.7096351786</v>
      </c>
      <c r="N3" s="71">
        <f>SUMIF(TableIncome[Year], "&lt;=" &amp; N1, TableIncome[InvestmentP2])</f>
        <v>1242630.5525791147</v>
      </c>
      <c r="O3" s="71">
        <f>SUMIF(TableIncome[Year], "&lt;=" &amp; O1, TableIncome[InvestmentP2])</f>
        <v>1343748.8649203926</v>
      </c>
      <c r="P3" s="71">
        <f>SUMIF(TableIncome[Year], "&lt;=" &amp; P1, TableIncome[InvestmentP2])</f>
        <v>1444867.1772616706</v>
      </c>
      <c r="Q3" s="71">
        <f>SUMIF(TableIncome[Year], "&lt;=" &amp; Q1, TableIncome[InvestmentP2])</f>
        <v>1545985.4896029485</v>
      </c>
      <c r="R3" s="71">
        <f>SUMIF(TableIncome[Year], "&lt;=" &amp; R1, TableIncome[InvestmentP2])</f>
        <v>1647103.8019442265</v>
      </c>
      <c r="S3" s="71">
        <f>SUMIF(TableIncome[Year], "&lt;=" &amp; S1, TableIncome[InvestmentP2])</f>
        <v>1748222.1142855044</v>
      </c>
      <c r="T3" s="71">
        <f>SUMIF(TableIncome[Year], "&lt;=" &amp; T1, TableIncome[InvestmentP2])</f>
        <v>1851793.3401060449</v>
      </c>
      <c r="U3" s="71">
        <f>SUMIF(TableIncome[Year], "&lt;=" &amp; U1, TableIncome[InvestmentP2])</f>
        <v>1955364.5659265853</v>
      </c>
      <c r="V3" s="71">
        <f>SUMIF(TableIncome[Year], "&lt;=" &amp; V1, TableIncome[InvestmentP2])</f>
        <v>2058935.7917471258</v>
      </c>
      <c r="W3" s="71">
        <f>SUMIF(TableIncome[Year], "&lt;=" &amp; W1, TableIncome[InvestmentP2])</f>
        <v>2162507.0175676662</v>
      </c>
      <c r="X3" s="71">
        <f>SUMIF(TableIncome[Year], "&lt;=" &amp; X1, TableIncome[InvestmentP2])</f>
        <v>2268604.744271847</v>
      </c>
      <c r="Y3" s="71">
        <f>SUMIF(TableIncome[Year], "&lt;=" &amp; Y1, TableIncome[InvestmentP2])</f>
        <v>2374702.4709760277</v>
      </c>
      <c r="Z3" s="71">
        <f>SUMIF(TableIncome[Year], "&lt;=" &amp; Z1, TableIncome[InvestmentP2])</f>
        <v>2480800.1976802084</v>
      </c>
      <c r="AA3" s="71">
        <f>SUMIF(TableIncome[Year], "&lt;=" &amp; AA1, TableIncome[InvestmentP2])</f>
        <v>2586897.9243843891</v>
      </c>
      <c r="AB3" s="71">
        <f>SUMIF(TableIncome[Year], "&lt;=" &amp; AB1, TableIncome[InvestmentP2])</f>
        <v>2692995.6510885698</v>
      </c>
      <c r="AC3" s="71">
        <f>SUMIF(TableIncome[Year], "&lt;=" &amp; AC1, TableIncome[InvestmentP2])</f>
        <v>2799093.3777927505</v>
      </c>
      <c r="AD3" s="71">
        <f>SUMIF(TableIncome[Year], "&lt;=" &amp; AD1, TableIncome[InvestmentP2])</f>
        <v>2905191.1044969312</v>
      </c>
      <c r="AE3" s="71">
        <f>SUMIF(TableIncome[Year], "&lt;=" &amp; AE1, TableIncome[InvestmentP2])</f>
        <v>3011288.8312011119</v>
      </c>
      <c r="AF3" s="71">
        <f>SUMIF(TableIncome[Year], "&lt;=" &amp; AF1, TableIncome[InvestmentP2])</f>
        <v>3117386.5579052926</v>
      </c>
      <c r="AG3" s="71">
        <f>SUMIF(TableIncome[Year], "&lt;=" &amp; AG1, TableIncome[InvestmentP2])</f>
        <v>3223484.2846094733</v>
      </c>
      <c r="AH3" s="71">
        <f>SUMIF(TableIncome[Year], "&lt;=" &amp; AH1, TableIncome[InvestmentP2])</f>
        <v>3329582.011313654</v>
      </c>
      <c r="AI3" s="71">
        <f>SUMIF(TableIncome[Year], "&lt;=" &amp; AI1, TableIncome[InvestmentP2])</f>
        <v>3435679.7380178347</v>
      </c>
      <c r="AJ3" s="71">
        <f>SUMIF(TableIncome[Year], "&lt;=" &amp; AJ1, TableIncome[InvestmentP2])</f>
        <v>3541777.4647220154</v>
      </c>
      <c r="AK3" s="71">
        <f>SUMIF(TableIncome[Year], "&lt;=" &amp; AK1, TableIncome[InvestmentP2])</f>
        <v>3541777.4647220154</v>
      </c>
      <c r="AL3" s="71">
        <f>SUMIF(TableIncome[Year], "&lt;=" &amp; AL1, TableIncome[InvestmentP2])</f>
        <v>3541777.4647220154</v>
      </c>
      <c r="AM3" s="71">
        <f>SUMIF(TableIncome[Year], "&lt;=" &amp; AM1, TableIncome[InvestmentP2])</f>
        <v>3541777.4647220154</v>
      </c>
      <c r="AN3" s="71">
        <f>SUMIF(TableIncome[Year], "&lt;=" &amp; AN1, TableIncome[InvestmentP2])</f>
        <v>3541777.4647220154</v>
      </c>
      <c r="AO3" s="71">
        <f>SUMIF(TableIncome[Year], "&lt;=" &amp; AO1, TableIncome[InvestmentP2])</f>
        <v>3541777.4647220154</v>
      </c>
      <c r="AP3" s="71">
        <f>SUMIF(TableIncome[Year], "&lt;=" &amp; AP1, TableIncome[InvestmentP2])</f>
        <v>3541777.4647220154</v>
      </c>
      <c r="AQ3" s="71">
        <f>SUMIF(TableIncome[Year], "&lt;=" &amp; AQ1, TableIncome[InvestmentP2])</f>
        <v>3541777.4647220154</v>
      </c>
      <c r="AR3" s="71">
        <f>SUMIF(TableIncome[Year], "&lt;=" &amp; AR1, TableIncome[InvestmentP2])</f>
        <v>3541777.4647220154</v>
      </c>
      <c r="AS3" s="71">
        <f>SUMIF(TableIncome[Year], "&lt;=" &amp; AS1, TableIncome[InvestmentP2])</f>
        <v>3541777.4647220154</v>
      </c>
      <c r="AT3" s="71">
        <f>SUMIF(TableIncome[Year], "&lt;=" &amp; AT1, TableIncome[InvestmentP2])</f>
        <v>3541777.4647220154</v>
      </c>
      <c r="AU3" s="71">
        <f>SUMIF(TableIncome[Year], "&lt;=" &amp; AU1, TableIncome[InvestmentP2])</f>
        <v>3541777.4647220154</v>
      </c>
      <c r="AV3" s="71">
        <f>SUMIF(TableIncome[Year], "&lt;=" &amp; AV1, TableIncome[InvestmentP2])</f>
        <v>3541777.4647220154</v>
      </c>
      <c r="AW3" s="71">
        <f>SUMIF(TableIncome[Year], "&lt;=" &amp; AW1, TableIncome[InvestmentP2])</f>
        <v>3541777.4647220154</v>
      </c>
      <c r="AX3" s="71">
        <f>SUMIF(TableIncome[Year], "&lt;=" &amp; AX1, TableIncome[InvestmentP2])</f>
        <v>3541777.4647220154</v>
      </c>
      <c r="AY3" s="71">
        <f>SUMIF(TableIncome[Year], "&lt;=" &amp; AY1, TableIncome[InvestmentP2])</f>
        <v>3541777.4647220154</v>
      </c>
      <c r="AZ3" s="71">
        <f>SUMIF(TableIncome[Year], "&lt;=" &amp; AZ1, TableIncome[InvestmentP2])</f>
        <v>3541777.4647220154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39C3E-0E80-409B-AAEE-45E767677B6E}">
  <dimension ref="B3:U57"/>
  <sheetViews>
    <sheetView workbookViewId="0"/>
  </sheetViews>
  <sheetFormatPr defaultColWidth="9.1796875" defaultRowHeight="14.5" x14ac:dyDescent="0.35"/>
  <cols>
    <col min="1" max="1" width="9.1796875" style="2"/>
    <col min="2" max="2" width="134.7265625" style="2" customWidth="1"/>
    <col min="3" max="12" width="9.1796875" style="2"/>
    <col min="13" max="13" width="18.7265625" style="2" customWidth="1"/>
    <col min="14" max="14" width="15.453125" style="2" customWidth="1"/>
    <col min="15" max="16384" width="9.1796875" style="2"/>
  </cols>
  <sheetData>
    <row r="3" spans="2:2" x14ac:dyDescent="0.35">
      <c r="B3" s="2" t="s">
        <v>79</v>
      </c>
    </row>
    <row r="4" spans="2:2" x14ac:dyDescent="0.35">
      <c r="B4" s="2" t="s">
        <v>80</v>
      </c>
    </row>
    <row r="5" spans="2:2" x14ac:dyDescent="0.35">
      <c r="B5" s="2" t="s">
        <v>81</v>
      </c>
    </row>
    <row r="6" spans="2:2" x14ac:dyDescent="0.35">
      <c r="B6" s="2" t="s">
        <v>86</v>
      </c>
    </row>
    <row r="7" spans="2:2" x14ac:dyDescent="0.35">
      <c r="B7" s="2" t="s">
        <v>82</v>
      </c>
    </row>
    <row r="9" spans="2:2" x14ac:dyDescent="0.35">
      <c r="B9" s="2" t="s">
        <v>83</v>
      </c>
    </row>
    <row r="13" spans="2:2" x14ac:dyDescent="0.35">
      <c r="B13" s="2" t="s">
        <v>84</v>
      </c>
    </row>
    <row r="14" spans="2:2" x14ac:dyDescent="0.35">
      <c r="B14" s="2" t="s">
        <v>85</v>
      </c>
    </row>
    <row r="18" spans="2:2" x14ac:dyDescent="0.35">
      <c r="B18" s="2" t="s">
        <v>87</v>
      </c>
    </row>
    <row r="37" spans="2:14" x14ac:dyDescent="0.35">
      <c r="B37" s="2" t="s">
        <v>88</v>
      </c>
    </row>
    <row r="41" spans="2:14" x14ac:dyDescent="0.35">
      <c r="C41" s="2" t="s">
        <v>89</v>
      </c>
    </row>
    <row r="42" spans="2:14" x14ac:dyDescent="0.35">
      <c r="D42" s="2" t="s">
        <v>92</v>
      </c>
      <c r="E42" s="2" t="s">
        <v>93</v>
      </c>
    </row>
    <row r="43" spans="2:14" x14ac:dyDescent="0.35">
      <c r="C43" s="2" t="s">
        <v>90</v>
      </c>
      <c r="D43" s="17">
        <v>0.03</v>
      </c>
      <c r="E43" s="17">
        <v>0.01</v>
      </c>
      <c r="H43" s="2">
        <v>2025</v>
      </c>
      <c r="I43" s="2">
        <v>2026</v>
      </c>
      <c r="J43" s="2">
        <v>2027</v>
      </c>
      <c r="M43" s="85" t="s">
        <v>94</v>
      </c>
      <c r="N43" s="86" t="s">
        <v>95</v>
      </c>
    </row>
    <row r="44" spans="2:14" x14ac:dyDescent="0.35">
      <c r="C44" s="2" t="s">
        <v>91</v>
      </c>
      <c r="D44" s="17">
        <v>0.1</v>
      </c>
      <c r="E44" s="17">
        <v>0.03</v>
      </c>
      <c r="H44" s="17">
        <v>0.03</v>
      </c>
      <c r="I44" s="17">
        <v>0.04</v>
      </c>
      <c r="J44" s="17">
        <v>0.06</v>
      </c>
      <c r="K44" s="17">
        <v>7.0000000000000007E-2</v>
      </c>
      <c r="L44" s="17">
        <v>0.1</v>
      </c>
      <c r="M44" s="85"/>
      <c r="N44" s="86"/>
    </row>
    <row r="45" spans="2:14" x14ac:dyDescent="0.35">
      <c r="M45" s="85"/>
      <c r="N45" s="86"/>
    </row>
    <row r="46" spans="2:14" x14ac:dyDescent="0.35">
      <c r="H46" s="17">
        <f>AVERAGE(H44:L44)</f>
        <v>6.0000000000000012E-2</v>
      </c>
      <c r="I46" s="17">
        <f>AVERAGE(I44:L44)</f>
        <v>6.7500000000000004E-2</v>
      </c>
      <c r="M46" s="85"/>
      <c r="N46" s="86"/>
    </row>
    <row r="51" spans="2:21" x14ac:dyDescent="0.35">
      <c r="J51" s="2" t="s">
        <v>96</v>
      </c>
      <c r="L51" s="2" t="s">
        <v>97</v>
      </c>
    </row>
    <row r="53" spans="2:21" x14ac:dyDescent="0.35">
      <c r="J53" s="2">
        <v>2025</v>
      </c>
      <c r="K53" s="2">
        <v>2026</v>
      </c>
      <c r="L53" s="2">
        <v>2027</v>
      </c>
      <c r="M53" s="2">
        <v>2028</v>
      </c>
      <c r="N53" s="2">
        <v>2029</v>
      </c>
      <c r="O53" s="2">
        <v>2030</v>
      </c>
      <c r="P53" s="2">
        <v>2031</v>
      </c>
      <c r="Q53" s="2">
        <v>2032</v>
      </c>
      <c r="R53" s="2">
        <v>2033</v>
      </c>
      <c r="S53" s="2">
        <v>2034</v>
      </c>
      <c r="U53" s="2" t="s">
        <v>98</v>
      </c>
    </row>
    <row r="54" spans="2:21" x14ac:dyDescent="0.35">
      <c r="J54" s="18">
        <f t="shared" ref="J54:S54" si="0">$U$54*10%</f>
        <v>200000</v>
      </c>
      <c r="K54" s="18">
        <f t="shared" si="0"/>
        <v>200000</v>
      </c>
      <c r="L54" s="18">
        <f t="shared" si="0"/>
        <v>200000</v>
      </c>
      <c r="M54" s="18">
        <f t="shared" si="0"/>
        <v>200000</v>
      </c>
      <c r="N54" s="18">
        <f t="shared" si="0"/>
        <v>200000</v>
      </c>
      <c r="O54" s="18">
        <f t="shared" si="0"/>
        <v>200000</v>
      </c>
      <c r="P54" s="18">
        <f t="shared" si="0"/>
        <v>200000</v>
      </c>
      <c r="Q54" s="18">
        <f t="shared" si="0"/>
        <v>200000</v>
      </c>
      <c r="R54" s="18">
        <f t="shared" si="0"/>
        <v>200000</v>
      </c>
      <c r="S54" s="18">
        <f t="shared" si="0"/>
        <v>200000</v>
      </c>
      <c r="T54" s="18"/>
      <c r="U54" s="2">
        <v>2000000</v>
      </c>
    </row>
    <row r="57" spans="2:21" x14ac:dyDescent="0.35">
      <c r="B57" s="18" t="s">
        <v>99</v>
      </c>
    </row>
  </sheetData>
  <mergeCells count="2">
    <mergeCell ref="M43:M46"/>
    <mergeCell ref="N43:N4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4F81-0241-472D-A8A5-219E2438FF01}">
  <dimension ref="A1:AZ7"/>
  <sheetViews>
    <sheetView showGridLines="0" workbookViewId="0"/>
  </sheetViews>
  <sheetFormatPr defaultColWidth="8.81640625"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2" x14ac:dyDescent="0.3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35">
      <c r="A2" s="67" t="s">
        <v>100</v>
      </c>
      <c r="B2" s="72">
        <v>1E-3</v>
      </c>
      <c r="C2" s="72">
        <f>B2</f>
        <v>1E-3</v>
      </c>
      <c r="D2" s="72">
        <f t="shared" ref="D2:K3" si="0">C2</f>
        <v>1E-3</v>
      </c>
      <c r="E2" s="72">
        <f t="shared" si="0"/>
        <v>1E-3</v>
      </c>
      <c r="F2" s="72">
        <f t="shared" si="0"/>
        <v>1E-3</v>
      </c>
      <c r="G2" s="72">
        <f t="shared" si="0"/>
        <v>1E-3</v>
      </c>
      <c r="H2" s="72">
        <f t="shared" si="0"/>
        <v>1E-3</v>
      </c>
      <c r="I2" s="72">
        <f t="shared" si="0"/>
        <v>1E-3</v>
      </c>
      <c r="J2" s="72">
        <f t="shared" si="0"/>
        <v>1E-3</v>
      </c>
      <c r="K2" s="72">
        <f t="shared" si="0"/>
        <v>1E-3</v>
      </c>
      <c r="L2" s="72">
        <v>0.04</v>
      </c>
      <c r="M2" s="72">
        <f t="shared" ref="M2:AB7" si="1">L2</f>
        <v>0.04</v>
      </c>
      <c r="N2" s="72">
        <f t="shared" si="1"/>
        <v>0.04</v>
      </c>
      <c r="O2" s="72">
        <f t="shared" si="1"/>
        <v>0.04</v>
      </c>
      <c r="P2" s="72">
        <f t="shared" si="1"/>
        <v>0.04</v>
      </c>
      <c r="Q2" s="72">
        <f t="shared" si="1"/>
        <v>0.04</v>
      </c>
      <c r="R2" s="72">
        <f t="shared" si="1"/>
        <v>0.04</v>
      </c>
      <c r="S2" s="72">
        <f t="shared" si="1"/>
        <v>0.04</v>
      </c>
      <c r="T2" s="72">
        <f t="shared" si="1"/>
        <v>0.04</v>
      </c>
      <c r="U2" s="72">
        <f t="shared" si="1"/>
        <v>0.04</v>
      </c>
      <c r="V2" s="72">
        <f t="shared" si="1"/>
        <v>0.04</v>
      </c>
      <c r="W2" s="72">
        <f t="shared" si="1"/>
        <v>0.04</v>
      </c>
      <c r="X2" s="72">
        <f t="shared" si="1"/>
        <v>0.04</v>
      </c>
      <c r="Y2" s="72">
        <f t="shared" si="1"/>
        <v>0.04</v>
      </c>
      <c r="Z2" s="72">
        <f t="shared" si="1"/>
        <v>0.04</v>
      </c>
      <c r="AA2" s="72">
        <f t="shared" si="1"/>
        <v>0.04</v>
      </c>
      <c r="AB2" s="72">
        <f t="shared" si="1"/>
        <v>0.04</v>
      </c>
      <c r="AC2" s="72">
        <f t="shared" ref="AC2:AR7" si="2">AB2</f>
        <v>0.04</v>
      </c>
      <c r="AD2" s="72">
        <f t="shared" si="2"/>
        <v>0.04</v>
      </c>
      <c r="AE2" s="72">
        <f t="shared" si="2"/>
        <v>0.04</v>
      </c>
      <c r="AF2" s="72">
        <f t="shared" si="2"/>
        <v>0.04</v>
      </c>
      <c r="AG2" s="72">
        <f t="shared" si="2"/>
        <v>0.04</v>
      </c>
      <c r="AH2" s="72">
        <f t="shared" si="2"/>
        <v>0.04</v>
      </c>
      <c r="AI2" s="72">
        <f t="shared" si="2"/>
        <v>0.04</v>
      </c>
      <c r="AJ2" s="72">
        <f t="shared" si="2"/>
        <v>0.04</v>
      </c>
      <c r="AK2" s="72">
        <f t="shared" si="2"/>
        <v>0.04</v>
      </c>
      <c r="AL2" s="72">
        <f t="shared" si="2"/>
        <v>0.04</v>
      </c>
      <c r="AM2" s="72">
        <f t="shared" si="2"/>
        <v>0.04</v>
      </c>
      <c r="AN2" s="72">
        <f t="shared" si="2"/>
        <v>0.04</v>
      </c>
      <c r="AO2" s="72">
        <f t="shared" si="2"/>
        <v>0.04</v>
      </c>
      <c r="AP2" s="72">
        <f t="shared" si="2"/>
        <v>0.04</v>
      </c>
      <c r="AQ2" s="72">
        <f t="shared" si="2"/>
        <v>0.04</v>
      </c>
      <c r="AR2" s="72">
        <f t="shared" si="2"/>
        <v>0.04</v>
      </c>
      <c r="AS2" s="72">
        <f t="shared" ref="AS2:AZ7" si="3">AR2</f>
        <v>0.04</v>
      </c>
      <c r="AT2" s="72">
        <f t="shared" si="3"/>
        <v>0.04</v>
      </c>
      <c r="AU2" s="72">
        <f t="shared" si="3"/>
        <v>0.04</v>
      </c>
      <c r="AV2" s="72">
        <f t="shared" si="3"/>
        <v>0.04</v>
      </c>
      <c r="AW2" s="72">
        <f t="shared" si="3"/>
        <v>0.04</v>
      </c>
      <c r="AX2" s="72">
        <f t="shared" si="3"/>
        <v>0.04</v>
      </c>
      <c r="AY2" s="72">
        <f t="shared" si="3"/>
        <v>0.04</v>
      </c>
      <c r="AZ2" s="72">
        <f t="shared" si="3"/>
        <v>0.04</v>
      </c>
    </row>
    <row r="3" spans="1:52" x14ac:dyDescent="0.35">
      <c r="A3" s="67" t="s">
        <v>101</v>
      </c>
      <c r="B3" s="72">
        <v>1E-3</v>
      </c>
      <c r="C3" s="72">
        <f>B3</f>
        <v>1E-3</v>
      </c>
      <c r="D3" s="72">
        <f t="shared" si="0"/>
        <v>1E-3</v>
      </c>
      <c r="E3" s="72">
        <f t="shared" si="0"/>
        <v>1E-3</v>
      </c>
      <c r="F3" s="72">
        <f t="shared" si="0"/>
        <v>1E-3</v>
      </c>
      <c r="G3" s="72">
        <f t="shared" si="0"/>
        <v>1E-3</v>
      </c>
      <c r="H3" s="72">
        <f t="shared" si="0"/>
        <v>1E-3</v>
      </c>
      <c r="I3" s="72">
        <f t="shared" si="0"/>
        <v>1E-3</v>
      </c>
      <c r="J3" s="72">
        <f t="shared" si="0"/>
        <v>1E-3</v>
      </c>
      <c r="K3" s="72">
        <f t="shared" si="0"/>
        <v>1E-3</v>
      </c>
      <c r="L3" s="72">
        <v>0.04</v>
      </c>
      <c r="M3" s="72">
        <f t="shared" si="1"/>
        <v>0.04</v>
      </c>
      <c r="N3" s="72">
        <f t="shared" si="1"/>
        <v>0.04</v>
      </c>
      <c r="O3" s="72">
        <f t="shared" si="1"/>
        <v>0.04</v>
      </c>
      <c r="P3" s="72">
        <f t="shared" si="1"/>
        <v>0.04</v>
      </c>
      <c r="Q3" s="72">
        <f t="shared" si="1"/>
        <v>0.04</v>
      </c>
      <c r="R3" s="72">
        <f t="shared" si="1"/>
        <v>0.04</v>
      </c>
      <c r="S3" s="72">
        <f t="shared" si="1"/>
        <v>0.04</v>
      </c>
      <c r="T3" s="72">
        <f t="shared" si="1"/>
        <v>0.04</v>
      </c>
      <c r="U3" s="72">
        <f t="shared" si="1"/>
        <v>0.04</v>
      </c>
      <c r="V3" s="72">
        <f t="shared" si="1"/>
        <v>0.04</v>
      </c>
      <c r="W3" s="72">
        <f t="shared" si="1"/>
        <v>0.04</v>
      </c>
      <c r="X3" s="72">
        <f t="shared" si="1"/>
        <v>0.04</v>
      </c>
      <c r="Y3" s="72">
        <f t="shared" si="1"/>
        <v>0.04</v>
      </c>
      <c r="Z3" s="72">
        <f t="shared" si="1"/>
        <v>0.04</v>
      </c>
      <c r="AA3" s="72">
        <f t="shared" si="1"/>
        <v>0.04</v>
      </c>
      <c r="AB3" s="72">
        <f t="shared" si="1"/>
        <v>0.04</v>
      </c>
      <c r="AC3" s="72">
        <f t="shared" si="2"/>
        <v>0.04</v>
      </c>
      <c r="AD3" s="72">
        <f t="shared" si="2"/>
        <v>0.04</v>
      </c>
      <c r="AE3" s="72">
        <f t="shared" si="2"/>
        <v>0.04</v>
      </c>
      <c r="AF3" s="72">
        <f t="shared" si="2"/>
        <v>0.04</v>
      </c>
      <c r="AG3" s="72">
        <f t="shared" si="2"/>
        <v>0.04</v>
      </c>
      <c r="AH3" s="72">
        <f t="shared" si="2"/>
        <v>0.04</v>
      </c>
      <c r="AI3" s="72">
        <f t="shared" si="2"/>
        <v>0.04</v>
      </c>
      <c r="AJ3" s="72">
        <f t="shared" si="2"/>
        <v>0.04</v>
      </c>
      <c r="AK3" s="72">
        <f t="shared" si="2"/>
        <v>0.04</v>
      </c>
      <c r="AL3" s="72">
        <f t="shared" si="2"/>
        <v>0.04</v>
      </c>
      <c r="AM3" s="72">
        <f t="shared" si="2"/>
        <v>0.04</v>
      </c>
      <c r="AN3" s="72">
        <f t="shared" si="2"/>
        <v>0.04</v>
      </c>
      <c r="AO3" s="72">
        <f t="shared" si="2"/>
        <v>0.04</v>
      </c>
      <c r="AP3" s="72">
        <f t="shared" si="2"/>
        <v>0.04</v>
      </c>
      <c r="AQ3" s="72">
        <f t="shared" si="2"/>
        <v>0.04</v>
      </c>
      <c r="AR3" s="72">
        <f t="shared" si="2"/>
        <v>0.04</v>
      </c>
      <c r="AS3" s="72">
        <f t="shared" si="3"/>
        <v>0.04</v>
      </c>
      <c r="AT3" s="72">
        <f t="shared" si="3"/>
        <v>0.04</v>
      </c>
      <c r="AU3" s="72">
        <f t="shared" si="3"/>
        <v>0.04</v>
      </c>
      <c r="AV3" s="72">
        <f t="shared" si="3"/>
        <v>0.04</v>
      </c>
      <c r="AW3" s="72">
        <f t="shared" si="3"/>
        <v>0.04</v>
      </c>
      <c r="AX3" s="72">
        <f t="shared" si="3"/>
        <v>0.04</v>
      </c>
      <c r="AY3" s="72">
        <f t="shared" si="3"/>
        <v>0.04</v>
      </c>
      <c r="AZ3" s="72">
        <f t="shared" si="3"/>
        <v>0.04</v>
      </c>
    </row>
    <row r="4" spans="1:52" x14ac:dyDescent="0.35">
      <c r="A4" s="67" t="s">
        <v>155</v>
      </c>
      <c r="B4" s="72">
        <v>1E-3</v>
      </c>
      <c r="C4" s="72">
        <f t="shared" ref="C4:M7" si="4">B4</f>
        <v>1E-3</v>
      </c>
      <c r="D4" s="72">
        <f t="shared" si="4"/>
        <v>1E-3</v>
      </c>
      <c r="E4" s="72">
        <f t="shared" si="4"/>
        <v>1E-3</v>
      </c>
      <c r="F4" s="72">
        <f t="shared" si="4"/>
        <v>1E-3</v>
      </c>
      <c r="G4" s="72">
        <f t="shared" si="4"/>
        <v>1E-3</v>
      </c>
      <c r="H4" s="72">
        <f t="shared" si="4"/>
        <v>1E-3</v>
      </c>
      <c r="I4" s="72">
        <f t="shared" si="4"/>
        <v>1E-3</v>
      </c>
      <c r="J4" s="72">
        <f t="shared" si="4"/>
        <v>1E-3</v>
      </c>
      <c r="K4" s="72">
        <f t="shared" si="4"/>
        <v>1E-3</v>
      </c>
      <c r="L4" s="72">
        <v>0.04</v>
      </c>
      <c r="M4" s="72">
        <f t="shared" si="4"/>
        <v>0.04</v>
      </c>
      <c r="N4" s="72">
        <f t="shared" si="1"/>
        <v>0.04</v>
      </c>
      <c r="O4" s="72">
        <f t="shared" si="1"/>
        <v>0.04</v>
      </c>
      <c r="P4" s="72">
        <f t="shared" si="1"/>
        <v>0.04</v>
      </c>
      <c r="Q4" s="72">
        <f t="shared" si="1"/>
        <v>0.04</v>
      </c>
      <c r="R4" s="72">
        <f t="shared" si="1"/>
        <v>0.04</v>
      </c>
      <c r="S4" s="72">
        <f t="shared" si="1"/>
        <v>0.04</v>
      </c>
      <c r="T4" s="72">
        <f t="shared" si="1"/>
        <v>0.04</v>
      </c>
      <c r="U4" s="72">
        <f t="shared" si="1"/>
        <v>0.04</v>
      </c>
      <c r="V4" s="72">
        <f t="shared" si="1"/>
        <v>0.04</v>
      </c>
      <c r="W4" s="72">
        <f t="shared" si="1"/>
        <v>0.04</v>
      </c>
      <c r="X4" s="72">
        <f t="shared" si="1"/>
        <v>0.04</v>
      </c>
      <c r="Y4" s="72">
        <f t="shared" si="1"/>
        <v>0.04</v>
      </c>
      <c r="Z4" s="72">
        <f t="shared" si="1"/>
        <v>0.04</v>
      </c>
      <c r="AA4" s="72">
        <f t="shared" si="1"/>
        <v>0.04</v>
      </c>
      <c r="AB4" s="72">
        <f t="shared" si="1"/>
        <v>0.04</v>
      </c>
      <c r="AC4" s="72">
        <f t="shared" si="2"/>
        <v>0.04</v>
      </c>
      <c r="AD4" s="72">
        <f t="shared" si="2"/>
        <v>0.04</v>
      </c>
      <c r="AE4" s="72">
        <f t="shared" si="2"/>
        <v>0.04</v>
      </c>
      <c r="AF4" s="72">
        <f t="shared" si="2"/>
        <v>0.04</v>
      </c>
      <c r="AG4" s="72">
        <f t="shared" si="2"/>
        <v>0.04</v>
      </c>
      <c r="AH4" s="72">
        <f t="shared" si="2"/>
        <v>0.04</v>
      </c>
      <c r="AI4" s="72">
        <f t="shared" si="2"/>
        <v>0.04</v>
      </c>
      <c r="AJ4" s="72">
        <f t="shared" si="2"/>
        <v>0.04</v>
      </c>
      <c r="AK4" s="72">
        <f t="shared" si="2"/>
        <v>0.04</v>
      </c>
      <c r="AL4" s="72">
        <f t="shared" si="2"/>
        <v>0.04</v>
      </c>
      <c r="AM4" s="72">
        <f t="shared" si="2"/>
        <v>0.04</v>
      </c>
      <c r="AN4" s="72">
        <f t="shared" si="2"/>
        <v>0.04</v>
      </c>
      <c r="AO4" s="72">
        <f t="shared" si="2"/>
        <v>0.04</v>
      </c>
      <c r="AP4" s="72">
        <f t="shared" si="2"/>
        <v>0.04</v>
      </c>
      <c r="AQ4" s="72">
        <f t="shared" si="2"/>
        <v>0.04</v>
      </c>
      <c r="AR4" s="72">
        <f t="shared" si="2"/>
        <v>0.04</v>
      </c>
      <c r="AS4" s="72">
        <f t="shared" si="3"/>
        <v>0.04</v>
      </c>
      <c r="AT4" s="72">
        <f t="shared" si="3"/>
        <v>0.04</v>
      </c>
      <c r="AU4" s="72">
        <f t="shared" si="3"/>
        <v>0.04</v>
      </c>
      <c r="AV4" s="72">
        <f t="shared" si="3"/>
        <v>0.04</v>
      </c>
      <c r="AW4" s="72">
        <f t="shared" si="3"/>
        <v>0.04</v>
      </c>
      <c r="AX4" s="72">
        <f t="shared" si="3"/>
        <v>0.04</v>
      </c>
      <c r="AY4" s="72">
        <f t="shared" si="3"/>
        <v>0.04</v>
      </c>
      <c r="AZ4" s="72">
        <f t="shared" si="3"/>
        <v>0.04</v>
      </c>
    </row>
    <row r="5" spans="1:52" x14ac:dyDescent="0.35">
      <c r="A5" s="67" t="s">
        <v>154</v>
      </c>
      <c r="B5" s="72">
        <v>1E-3</v>
      </c>
      <c r="C5" s="72">
        <f t="shared" si="4"/>
        <v>1E-3</v>
      </c>
      <c r="D5" s="72">
        <f t="shared" si="4"/>
        <v>1E-3</v>
      </c>
      <c r="E5" s="72">
        <f t="shared" si="4"/>
        <v>1E-3</v>
      </c>
      <c r="F5" s="72">
        <f t="shared" si="4"/>
        <v>1E-3</v>
      </c>
      <c r="G5" s="72">
        <f t="shared" si="4"/>
        <v>1E-3</v>
      </c>
      <c r="H5" s="72">
        <f t="shared" si="4"/>
        <v>1E-3</v>
      </c>
      <c r="I5" s="72">
        <f t="shared" si="4"/>
        <v>1E-3</v>
      </c>
      <c r="J5" s="72">
        <f t="shared" si="4"/>
        <v>1E-3</v>
      </c>
      <c r="K5" s="72">
        <f t="shared" si="4"/>
        <v>1E-3</v>
      </c>
      <c r="L5" s="72">
        <v>0.04</v>
      </c>
      <c r="M5" s="72">
        <f t="shared" si="4"/>
        <v>0.04</v>
      </c>
      <c r="N5" s="72">
        <f t="shared" si="1"/>
        <v>0.04</v>
      </c>
      <c r="O5" s="72">
        <f t="shared" si="1"/>
        <v>0.04</v>
      </c>
      <c r="P5" s="72">
        <f t="shared" si="1"/>
        <v>0.04</v>
      </c>
      <c r="Q5" s="72">
        <f t="shared" si="1"/>
        <v>0.04</v>
      </c>
      <c r="R5" s="72">
        <f t="shared" si="1"/>
        <v>0.04</v>
      </c>
      <c r="S5" s="72">
        <f t="shared" si="1"/>
        <v>0.04</v>
      </c>
      <c r="T5" s="72">
        <f t="shared" si="1"/>
        <v>0.04</v>
      </c>
      <c r="U5" s="72">
        <f t="shared" si="1"/>
        <v>0.04</v>
      </c>
      <c r="V5" s="72">
        <f t="shared" si="1"/>
        <v>0.04</v>
      </c>
      <c r="W5" s="72">
        <f t="shared" si="1"/>
        <v>0.04</v>
      </c>
      <c r="X5" s="72">
        <f t="shared" si="1"/>
        <v>0.04</v>
      </c>
      <c r="Y5" s="72">
        <f t="shared" si="1"/>
        <v>0.04</v>
      </c>
      <c r="Z5" s="72">
        <f t="shared" si="1"/>
        <v>0.04</v>
      </c>
      <c r="AA5" s="72">
        <f t="shared" si="1"/>
        <v>0.04</v>
      </c>
      <c r="AB5" s="72">
        <f t="shared" si="1"/>
        <v>0.04</v>
      </c>
      <c r="AC5" s="72">
        <f t="shared" si="2"/>
        <v>0.04</v>
      </c>
      <c r="AD5" s="72">
        <f t="shared" si="2"/>
        <v>0.04</v>
      </c>
      <c r="AE5" s="72">
        <f t="shared" si="2"/>
        <v>0.04</v>
      </c>
      <c r="AF5" s="72">
        <f t="shared" si="2"/>
        <v>0.04</v>
      </c>
      <c r="AG5" s="72">
        <f t="shared" si="2"/>
        <v>0.04</v>
      </c>
      <c r="AH5" s="72">
        <f t="shared" si="2"/>
        <v>0.04</v>
      </c>
      <c r="AI5" s="72">
        <f t="shared" si="2"/>
        <v>0.04</v>
      </c>
      <c r="AJ5" s="72">
        <f t="shared" si="2"/>
        <v>0.04</v>
      </c>
      <c r="AK5" s="72">
        <f t="shared" si="2"/>
        <v>0.04</v>
      </c>
      <c r="AL5" s="72">
        <f t="shared" si="2"/>
        <v>0.04</v>
      </c>
      <c r="AM5" s="72">
        <f t="shared" si="2"/>
        <v>0.04</v>
      </c>
      <c r="AN5" s="72">
        <f t="shared" si="2"/>
        <v>0.04</v>
      </c>
      <c r="AO5" s="72">
        <f t="shared" si="2"/>
        <v>0.04</v>
      </c>
      <c r="AP5" s="72">
        <f t="shared" si="2"/>
        <v>0.04</v>
      </c>
      <c r="AQ5" s="72">
        <f t="shared" si="2"/>
        <v>0.04</v>
      </c>
      <c r="AR5" s="72">
        <f t="shared" si="2"/>
        <v>0.04</v>
      </c>
      <c r="AS5" s="72">
        <f t="shared" si="3"/>
        <v>0.04</v>
      </c>
      <c r="AT5" s="72">
        <f t="shared" si="3"/>
        <v>0.04</v>
      </c>
      <c r="AU5" s="72">
        <f t="shared" si="3"/>
        <v>0.04</v>
      </c>
      <c r="AV5" s="72">
        <f t="shared" si="3"/>
        <v>0.04</v>
      </c>
      <c r="AW5" s="72">
        <f t="shared" si="3"/>
        <v>0.04</v>
      </c>
      <c r="AX5" s="72">
        <f t="shared" si="3"/>
        <v>0.04</v>
      </c>
      <c r="AY5" s="72">
        <f t="shared" si="3"/>
        <v>0.04</v>
      </c>
      <c r="AZ5" s="72">
        <f t="shared" si="3"/>
        <v>0.04</v>
      </c>
    </row>
    <row r="6" spans="1:52" x14ac:dyDescent="0.35">
      <c r="A6" s="67" t="s">
        <v>153</v>
      </c>
      <c r="B6" s="72">
        <v>1E-3</v>
      </c>
      <c r="C6" s="72">
        <f t="shared" si="4"/>
        <v>1E-3</v>
      </c>
      <c r="D6" s="72">
        <f t="shared" si="4"/>
        <v>1E-3</v>
      </c>
      <c r="E6" s="72">
        <f t="shared" si="4"/>
        <v>1E-3</v>
      </c>
      <c r="F6" s="72">
        <f t="shared" si="4"/>
        <v>1E-3</v>
      </c>
      <c r="G6" s="72">
        <f t="shared" si="4"/>
        <v>1E-3</v>
      </c>
      <c r="H6" s="72">
        <f t="shared" si="4"/>
        <v>1E-3</v>
      </c>
      <c r="I6" s="72">
        <f t="shared" si="4"/>
        <v>1E-3</v>
      </c>
      <c r="J6" s="72">
        <f t="shared" si="4"/>
        <v>1E-3</v>
      </c>
      <c r="K6" s="72">
        <f t="shared" si="4"/>
        <v>1E-3</v>
      </c>
      <c r="L6" s="72">
        <v>0.04</v>
      </c>
      <c r="M6" s="72">
        <f t="shared" si="4"/>
        <v>0.04</v>
      </c>
      <c r="N6" s="72">
        <f t="shared" si="1"/>
        <v>0.04</v>
      </c>
      <c r="O6" s="72">
        <f t="shared" si="1"/>
        <v>0.04</v>
      </c>
      <c r="P6" s="72">
        <f t="shared" si="1"/>
        <v>0.04</v>
      </c>
      <c r="Q6" s="72">
        <f t="shared" si="1"/>
        <v>0.04</v>
      </c>
      <c r="R6" s="72">
        <f t="shared" si="1"/>
        <v>0.04</v>
      </c>
      <c r="S6" s="72">
        <f t="shared" si="1"/>
        <v>0.04</v>
      </c>
      <c r="T6" s="72">
        <f t="shared" si="1"/>
        <v>0.04</v>
      </c>
      <c r="U6" s="72">
        <f t="shared" si="1"/>
        <v>0.04</v>
      </c>
      <c r="V6" s="72">
        <f t="shared" si="1"/>
        <v>0.04</v>
      </c>
      <c r="W6" s="72">
        <f t="shared" si="1"/>
        <v>0.04</v>
      </c>
      <c r="X6" s="72">
        <f t="shared" si="1"/>
        <v>0.04</v>
      </c>
      <c r="Y6" s="72">
        <f t="shared" si="1"/>
        <v>0.04</v>
      </c>
      <c r="Z6" s="72">
        <f t="shared" si="1"/>
        <v>0.04</v>
      </c>
      <c r="AA6" s="72">
        <f t="shared" si="1"/>
        <v>0.04</v>
      </c>
      <c r="AB6" s="72">
        <f t="shared" si="1"/>
        <v>0.04</v>
      </c>
      <c r="AC6" s="72">
        <f t="shared" si="2"/>
        <v>0.04</v>
      </c>
      <c r="AD6" s="72">
        <f t="shared" si="2"/>
        <v>0.04</v>
      </c>
      <c r="AE6" s="72">
        <f t="shared" si="2"/>
        <v>0.04</v>
      </c>
      <c r="AF6" s="72">
        <f t="shared" si="2"/>
        <v>0.04</v>
      </c>
      <c r="AG6" s="72">
        <f t="shared" si="2"/>
        <v>0.04</v>
      </c>
      <c r="AH6" s="72">
        <f t="shared" si="2"/>
        <v>0.04</v>
      </c>
      <c r="AI6" s="72">
        <f t="shared" si="2"/>
        <v>0.04</v>
      </c>
      <c r="AJ6" s="72">
        <f t="shared" si="2"/>
        <v>0.04</v>
      </c>
      <c r="AK6" s="72">
        <f t="shared" si="2"/>
        <v>0.04</v>
      </c>
      <c r="AL6" s="72">
        <f t="shared" si="2"/>
        <v>0.04</v>
      </c>
      <c r="AM6" s="72">
        <f t="shared" si="2"/>
        <v>0.04</v>
      </c>
      <c r="AN6" s="72">
        <f t="shared" si="2"/>
        <v>0.04</v>
      </c>
      <c r="AO6" s="72">
        <f t="shared" si="2"/>
        <v>0.04</v>
      </c>
      <c r="AP6" s="72">
        <f t="shared" si="2"/>
        <v>0.04</v>
      </c>
      <c r="AQ6" s="72">
        <f t="shared" si="2"/>
        <v>0.04</v>
      </c>
      <c r="AR6" s="72">
        <f t="shared" si="2"/>
        <v>0.04</v>
      </c>
      <c r="AS6" s="72">
        <f t="shared" si="3"/>
        <v>0.04</v>
      </c>
      <c r="AT6" s="72">
        <f t="shared" si="3"/>
        <v>0.04</v>
      </c>
      <c r="AU6" s="72">
        <f t="shared" si="3"/>
        <v>0.04</v>
      </c>
      <c r="AV6" s="72">
        <f t="shared" si="3"/>
        <v>0.04</v>
      </c>
      <c r="AW6" s="72">
        <f t="shared" si="3"/>
        <v>0.04</v>
      </c>
      <c r="AX6" s="72">
        <f t="shared" si="3"/>
        <v>0.04</v>
      </c>
      <c r="AY6" s="72">
        <f t="shared" si="3"/>
        <v>0.04</v>
      </c>
      <c r="AZ6" s="72">
        <f t="shared" si="3"/>
        <v>0.04</v>
      </c>
    </row>
    <row r="7" spans="1:52" x14ac:dyDescent="0.35">
      <c r="A7" s="67" t="s">
        <v>152</v>
      </c>
      <c r="B7" s="72">
        <v>1E-3</v>
      </c>
      <c r="C7" s="72">
        <f t="shared" si="4"/>
        <v>1E-3</v>
      </c>
      <c r="D7" s="72">
        <f t="shared" si="4"/>
        <v>1E-3</v>
      </c>
      <c r="E7" s="72">
        <f t="shared" si="4"/>
        <v>1E-3</v>
      </c>
      <c r="F7" s="72">
        <f t="shared" si="4"/>
        <v>1E-3</v>
      </c>
      <c r="G7" s="72">
        <f t="shared" si="4"/>
        <v>1E-3</v>
      </c>
      <c r="H7" s="72">
        <f t="shared" si="4"/>
        <v>1E-3</v>
      </c>
      <c r="I7" s="72">
        <f t="shared" si="4"/>
        <v>1E-3</v>
      </c>
      <c r="J7" s="72">
        <f t="shared" si="4"/>
        <v>1E-3</v>
      </c>
      <c r="K7" s="72">
        <f t="shared" si="4"/>
        <v>1E-3</v>
      </c>
      <c r="L7" s="72">
        <v>0.04</v>
      </c>
      <c r="M7" s="72">
        <f t="shared" si="4"/>
        <v>0.04</v>
      </c>
      <c r="N7" s="72">
        <f t="shared" si="1"/>
        <v>0.04</v>
      </c>
      <c r="O7" s="72">
        <f t="shared" si="1"/>
        <v>0.04</v>
      </c>
      <c r="P7" s="72">
        <f t="shared" si="1"/>
        <v>0.04</v>
      </c>
      <c r="Q7" s="72">
        <f t="shared" si="1"/>
        <v>0.04</v>
      </c>
      <c r="R7" s="72">
        <f t="shared" si="1"/>
        <v>0.04</v>
      </c>
      <c r="S7" s="72">
        <f t="shared" si="1"/>
        <v>0.04</v>
      </c>
      <c r="T7" s="72">
        <f t="shared" si="1"/>
        <v>0.04</v>
      </c>
      <c r="U7" s="72">
        <f t="shared" si="1"/>
        <v>0.04</v>
      </c>
      <c r="V7" s="72">
        <f t="shared" si="1"/>
        <v>0.04</v>
      </c>
      <c r="W7" s="72">
        <f t="shared" si="1"/>
        <v>0.04</v>
      </c>
      <c r="X7" s="72">
        <f t="shared" si="1"/>
        <v>0.04</v>
      </c>
      <c r="Y7" s="72">
        <f t="shared" si="1"/>
        <v>0.04</v>
      </c>
      <c r="Z7" s="72">
        <f t="shared" si="1"/>
        <v>0.04</v>
      </c>
      <c r="AA7" s="72">
        <f t="shared" si="1"/>
        <v>0.04</v>
      </c>
      <c r="AB7" s="72">
        <f t="shared" si="1"/>
        <v>0.04</v>
      </c>
      <c r="AC7" s="72">
        <f t="shared" si="2"/>
        <v>0.04</v>
      </c>
      <c r="AD7" s="72">
        <f t="shared" si="2"/>
        <v>0.04</v>
      </c>
      <c r="AE7" s="72">
        <f t="shared" si="2"/>
        <v>0.04</v>
      </c>
      <c r="AF7" s="72">
        <f t="shared" si="2"/>
        <v>0.04</v>
      </c>
      <c r="AG7" s="72">
        <f t="shared" si="2"/>
        <v>0.04</v>
      </c>
      <c r="AH7" s="72">
        <f t="shared" si="2"/>
        <v>0.04</v>
      </c>
      <c r="AI7" s="72">
        <f t="shared" si="2"/>
        <v>0.04</v>
      </c>
      <c r="AJ7" s="72">
        <f t="shared" si="2"/>
        <v>0.04</v>
      </c>
      <c r="AK7" s="72">
        <f t="shared" si="2"/>
        <v>0.04</v>
      </c>
      <c r="AL7" s="72">
        <f t="shared" si="2"/>
        <v>0.04</v>
      </c>
      <c r="AM7" s="72">
        <f t="shared" si="2"/>
        <v>0.04</v>
      </c>
      <c r="AN7" s="72">
        <f t="shared" si="2"/>
        <v>0.04</v>
      </c>
      <c r="AO7" s="72">
        <f t="shared" si="2"/>
        <v>0.04</v>
      </c>
      <c r="AP7" s="72">
        <f t="shared" si="2"/>
        <v>0.04</v>
      </c>
      <c r="AQ7" s="72">
        <f t="shared" si="2"/>
        <v>0.04</v>
      </c>
      <c r="AR7" s="72">
        <f t="shared" si="2"/>
        <v>0.04</v>
      </c>
      <c r="AS7" s="72">
        <f t="shared" si="3"/>
        <v>0.04</v>
      </c>
      <c r="AT7" s="72">
        <f t="shared" si="3"/>
        <v>0.04</v>
      </c>
      <c r="AU7" s="72">
        <f t="shared" si="3"/>
        <v>0.04</v>
      </c>
      <c r="AV7" s="72">
        <f t="shared" si="3"/>
        <v>0.04</v>
      </c>
      <c r="AW7" s="72">
        <f t="shared" si="3"/>
        <v>0.04</v>
      </c>
      <c r="AX7" s="72">
        <f t="shared" si="3"/>
        <v>0.04</v>
      </c>
      <c r="AY7" s="72">
        <f t="shared" si="3"/>
        <v>0.04</v>
      </c>
      <c r="AZ7" s="72">
        <f t="shared" si="3"/>
        <v>0.04</v>
      </c>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52F22-C8A5-407A-93D2-23C238A2F808}">
  <dimension ref="A1:AZ7"/>
  <sheetViews>
    <sheetView workbookViewId="0"/>
  </sheetViews>
  <sheetFormatPr defaultColWidth="8.81640625"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52" x14ac:dyDescent="0.35">
      <c r="A1" s="67"/>
      <c r="B1" s="67" t="s">
        <v>102</v>
      </c>
      <c r="C1" s="67" t="s">
        <v>103</v>
      </c>
      <c r="D1" s="67" t="s">
        <v>104</v>
      </c>
      <c r="E1" s="67" t="s">
        <v>105</v>
      </c>
      <c r="F1" s="67" t="s">
        <v>106</v>
      </c>
      <c r="G1" s="67" t="s">
        <v>107</v>
      </c>
      <c r="H1" s="67" t="s">
        <v>108</v>
      </c>
      <c r="I1" s="67" t="s">
        <v>109</v>
      </c>
      <c r="J1" s="67" t="s">
        <v>110</v>
      </c>
      <c r="K1" s="67" t="s">
        <v>111</v>
      </c>
      <c r="L1" s="67" t="s">
        <v>112</v>
      </c>
      <c r="M1" s="67" t="s">
        <v>113</v>
      </c>
      <c r="N1" s="67" t="s">
        <v>114</v>
      </c>
      <c r="O1" s="67" t="s">
        <v>115</v>
      </c>
      <c r="P1" s="67" t="s">
        <v>116</v>
      </c>
      <c r="Q1" s="67" t="s">
        <v>117</v>
      </c>
      <c r="R1" s="67" t="s">
        <v>118</v>
      </c>
      <c r="S1" s="67" t="s">
        <v>119</v>
      </c>
      <c r="T1" s="67" t="s">
        <v>120</v>
      </c>
      <c r="U1" s="67" t="s">
        <v>121</v>
      </c>
      <c r="V1" s="67" t="s">
        <v>122</v>
      </c>
      <c r="W1" s="67" t="s">
        <v>123</v>
      </c>
      <c r="X1" s="67" t="s">
        <v>124</v>
      </c>
      <c r="Y1" s="67" t="s">
        <v>125</v>
      </c>
      <c r="Z1" s="67" t="s">
        <v>126</v>
      </c>
      <c r="AA1" s="67" t="s">
        <v>127</v>
      </c>
      <c r="AB1" s="67" t="s">
        <v>128</v>
      </c>
      <c r="AC1" s="67" t="s">
        <v>129</v>
      </c>
      <c r="AD1" s="67" t="s">
        <v>130</v>
      </c>
      <c r="AE1" s="67" t="s">
        <v>131</v>
      </c>
      <c r="AF1" s="67" t="s">
        <v>132</v>
      </c>
      <c r="AG1" s="67" t="s">
        <v>133</v>
      </c>
      <c r="AH1" s="67" t="s">
        <v>134</v>
      </c>
      <c r="AI1" s="67" t="s">
        <v>135</v>
      </c>
      <c r="AJ1" s="67" t="s">
        <v>136</v>
      </c>
      <c r="AK1" s="67" t="s">
        <v>137</v>
      </c>
      <c r="AL1" s="67" t="s">
        <v>138</v>
      </c>
      <c r="AM1" s="67" t="s">
        <v>139</v>
      </c>
      <c r="AN1" s="67" t="s">
        <v>140</v>
      </c>
      <c r="AO1" s="67" t="s">
        <v>141</v>
      </c>
      <c r="AP1" s="67" t="s">
        <v>142</v>
      </c>
      <c r="AQ1" s="67" t="s">
        <v>143</v>
      </c>
      <c r="AR1" s="67" t="s">
        <v>144</v>
      </c>
      <c r="AS1" s="67" t="s">
        <v>145</v>
      </c>
      <c r="AT1" s="67" t="s">
        <v>146</v>
      </c>
      <c r="AU1" s="67" t="s">
        <v>147</v>
      </c>
      <c r="AV1" s="67" t="s">
        <v>148</v>
      </c>
      <c r="AW1" s="67" t="s">
        <v>149</v>
      </c>
      <c r="AX1" s="67" t="s">
        <v>150</v>
      </c>
      <c r="AY1" s="67" t="s">
        <v>151</v>
      </c>
      <c r="AZ1" s="68" t="s">
        <v>157</v>
      </c>
    </row>
    <row r="2" spans="1:52" x14ac:dyDescent="0.35">
      <c r="A2" s="67" t="s">
        <v>100</v>
      </c>
      <c r="B2" s="72">
        <f>8.6%-_xlfn.XLOOKUP(A2,BasisPointCost!$A:$A,BasisPointCost!$B:$B)</f>
        <v>8.3999999999999991E-2</v>
      </c>
      <c r="C2" s="72">
        <f>B2</f>
        <v>8.3999999999999991E-2</v>
      </c>
      <c r="D2" s="72">
        <f t="shared" ref="D2:K2" si="0">C2</f>
        <v>8.3999999999999991E-2</v>
      </c>
      <c r="E2" s="72">
        <f t="shared" si="0"/>
        <v>8.3999999999999991E-2</v>
      </c>
      <c r="F2" s="72">
        <f t="shared" si="0"/>
        <v>8.3999999999999991E-2</v>
      </c>
      <c r="G2" s="72">
        <f t="shared" si="0"/>
        <v>8.3999999999999991E-2</v>
      </c>
      <c r="H2" s="72">
        <f t="shared" si="0"/>
        <v>8.3999999999999991E-2</v>
      </c>
      <c r="I2" s="72">
        <f t="shared" si="0"/>
        <v>8.3999999999999991E-2</v>
      </c>
      <c r="J2" s="72">
        <f t="shared" si="0"/>
        <v>8.3999999999999991E-2</v>
      </c>
      <c r="K2" s="72">
        <f t="shared" si="0"/>
        <v>8.3999999999999991E-2</v>
      </c>
      <c r="L2" s="73">
        <f>6.5%-0.2%</f>
        <v>6.3E-2</v>
      </c>
      <c r="M2" s="72">
        <f t="shared" ref="C2:M7" si="1">L2</f>
        <v>6.3E-2</v>
      </c>
      <c r="N2" s="72">
        <f t="shared" ref="N2:N7" si="2">M2</f>
        <v>6.3E-2</v>
      </c>
      <c r="O2" s="72">
        <f t="shared" ref="O2:O7" si="3">N2</f>
        <v>6.3E-2</v>
      </c>
      <c r="P2" s="72">
        <f t="shared" ref="P2:P7" si="4">O2</f>
        <v>6.3E-2</v>
      </c>
      <c r="Q2" s="72">
        <f t="shared" ref="Q2:Q7" si="5">P2</f>
        <v>6.3E-2</v>
      </c>
      <c r="R2" s="72">
        <f t="shared" ref="R2:R7" si="6">Q2</f>
        <v>6.3E-2</v>
      </c>
      <c r="S2" s="72">
        <f t="shared" ref="S2:S7" si="7">R2</f>
        <v>6.3E-2</v>
      </c>
      <c r="T2" s="72">
        <f t="shared" ref="T2:T7" si="8">S2</f>
        <v>6.3E-2</v>
      </c>
      <c r="U2" s="72">
        <f t="shared" ref="U2:U7" si="9">T2</f>
        <v>6.3E-2</v>
      </c>
      <c r="V2" s="72">
        <f t="shared" ref="V2:V7" si="10">U2</f>
        <v>6.3E-2</v>
      </c>
      <c r="W2" s="72">
        <f t="shared" ref="W2:W7" si="11">V2</f>
        <v>6.3E-2</v>
      </c>
      <c r="X2" s="72">
        <f t="shared" ref="X2:X7" si="12">W2</f>
        <v>6.3E-2</v>
      </c>
      <c r="Y2" s="72">
        <f t="shared" ref="Y2:Y7" si="13">X2</f>
        <v>6.3E-2</v>
      </c>
      <c r="Z2" s="72">
        <f t="shared" ref="Z2:Z7" si="14">Y2</f>
        <v>6.3E-2</v>
      </c>
      <c r="AA2" s="72">
        <f t="shared" ref="AA2:AA7" si="15">Z2</f>
        <v>6.3E-2</v>
      </c>
      <c r="AB2" s="72">
        <f t="shared" ref="AB2:AB7" si="16">AA2</f>
        <v>6.3E-2</v>
      </c>
      <c r="AC2" s="72">
        <f t="shared" ref="AC2:AC7" si="17">AB2</f>
        <v>6.3E-2</v>
      </c>
      <c r="AD2" s="72">
        <f t="shared" ref="AD2:AD7" si="18">AC2</f>
        <v>6.3E-2</v>
      </c>
      <c r="AE2" s="72">
        <f t="shared" ref="AE2:AE7" si="19">AD2</f>
        <v>6.3E-2</v>
      </c>
      <c r="AF2" s="72">
        <f t="shared" ref="AF2:AF7" si="20">AE2</f>
        <v>6.3E-2</v>
      </c>
      <c r="AG2" s="72">
        <f t="shared" ref="AG2:AG7" si="21">AF2</f>
        <v>6.3E-2</v>
      </c>
      <c r="AH2" s="72">
        <f t="shared" ref="AH2:AH7" si="22">AG2</f>
        <v>6.3E-2</v>
      </c>
      <c r="AI2" s="72">
        <f t="shared" ref="AI2:AI7" si="23">AH2</f>
        <v>6.3E-2</v>
      </c>
      <c r="AJ2" s="72">
        <f t="shared" ref="AJ2:AJ7" si="24">AI2</f>
        <v>6.3E-2</v>
      </c>
      <c r="AK2" s="72">
        <f t="shared" ref="AK2:AK7" si="25">AJ2</f>
        <v>6.3E-2</v>
      </c>
      <c r="AL2" s="72">
        <f t="shared" ref="AL2:AL7" si="26">AK2</f>
        <v>6.3E-2</v>
      </c>
      <c r="AM2" s="72">
        <f t="shared" ref="AM2:AM7" si="27">AL2</f>
        <v>6.3E-2</v>
      </c>
      <c r="AN2" s="72">
        <f t="shared" ref="AN2:AN7" si="28">AM2</f>
        <v>6.3E-2</v>
      </c>
      <c r="AO2" s="72">
        <f t="shared" ref="AO2:AO7" si="29">AN2</f>
        <v>6.3E-2</v>
      </c>
      <c r="AP2" s="72">
        <f t="shared" ref="AP2:AP7" si="30">AO2</f>
        <v>6.3E-2</v>
      </c>
      <c r="AQ2" s="72">
        <f t="shared" ref="AQ2:AQ7" si="31">AP2</f>
        <v>6.3E-2</v>
      </c>
      <c r="AR2" s="72">
        <f t="shared" ref="AR2:AR7" si="32">AQ2</f>
        <v>6.3E-2</v>
      </c>
      <c r="AS2" s="72">
        <f t="shared" ref="AS2:AS7" si="33">AR2</f>
        <v>6.3E-2</v>
      </c>
      <c r="AT2" s="72">
        <f t="shared" ref="AT2:AT7" si="34">AS2</f>
        <v>6.3E-2</v>
      </c>
      <c r="AU2" s="72">
        <f t="shared" ref="AU2:AU7" si="35">AT2</f>
        <v>6.3E-2</v>
      </c>
      <c r="AV2" s="72">
        <f t="shared" ref="AV2:AV7" si="36">AU2</f>
        <v>6.3E-2</v>
      </c>
      <c r="AW2" s="72">
        <f t="shared" ref="AW2:AW7" si="37">AV2</f>
        <v>6.3E-2</v>
      </c>
      <c r="AX2" s="72">
        <f t="shared" ref="AX2:AX7" si="38">AW2</f>
        <v>6.3E-2</v>
      </c>
      <c r="AY2" s="72">
        <f t="shared" ref="AY2:AY7" si="39">AX2</f>
        <v>6.3E-2</v>
      </c>
      <c r="AZ2" s="72">
        <f t="shared" ref="AZ2:AZ7" si="40">AY2</f>
        <v>6.3E-2</v>
      </c>
    </row>
    <row r="3" spans="1:52" x14ac:dyDescent="0.35">
      <c r="A3" s="67" t="s">
        <v>101</v>
      </c>
      <c r="B3" s="72">
        <f>7%-_xlfn.XLOOKUP(A3,BasisPointCost!$A:$A,BasisPointCost!$B:$B)</f>
        <v>6.8000000000000005E-2</v>
      </c>
      <c r="C3" s="72">
        <f>B3</f>
        <v>6.8000000000000005E-2</v>
      </c>
      <c r="D3" s="72">
        <f t="shared" ref="D3:K3" si="41">C3</f>
        <v>6.8000000000000005E-2</v>
      </c>
      <c r="E3" s="72">
        <f t="shared" si="41"/>
        <v>6.8000000000000005E-2</v>
      </c>
      <c r="F3" s="72">
        <f t="shared" si="41"/>
        <v>6.8000000000000005E-2</v>
      </c>
      <c r="G3" s="72">
        <f t="shared" si="41"/>
        <v>6.8000000000000005E-2</v>
      </c>
      <c r="H3" s="72">
        <f t="shared" si="41"/>
        <v>6.8000000000000005E-2</v>
      </c>
      <c r="I3" s="72">
        <f t="shared" si="41"/>
        <v>6.8000000000000005E-2</v>
      </c>
      <c r="J3" s="72">
        <f t="shared" si="41"/>
        <v>6.8000000000000005E-2</v>
      </c>
      <c r="K3" s="72">
        <f t="shared" si="41"/>
        <v>6.8000000000000005E-2</v>
      </c>
      <c r="L3" s="73">
        <f>6.5%-0.2%</f>
        <v>6.3E-2</v>
      </c>
      <c r="M3" s="72">
        <f t="shared" si="1"/>
        <v>6.3E-2</v>
      </c>
      <c r="N3" s="72">
        <f t="shared" si="2"/>
        <v>6.3E-2</v>
      </c>
      <c r="O3" s="72">
        <f t="shared" si="3"/>
        <v>6.3E-2</v>
      </c>
      <c r="P3" s="72">
        <f t="shared" si="4"/>
        <v>6.3E-2</v>
      </c>
      <c r="Q3" s="72">
        <f t="shared" si="5"/>
        <v>6.3E-2</v>
      </c>
      <c r="R3" s="72">
        <f t="shared" si="6"/>
        <v>6.3E-2</v>
      </c>
      <c r="S3" s="72">
        <f t="shared" si="7"/>
        <v>6.3E-2</v>
      </c>
      <c r="T3" s="72">
        <f t="shared" si="8"/>
        <v>6.3E-2</v>
      </c>
      <c r="U3" s="72">
        <f t="shared" si="9"/>
        <v>6.3E-2</v>
      </c>
      <c r="V3" s="72">
        <f t="shared" si="10"/>
        <v>6.3E-2</v>
      </c>
      <c r="W3" s="72">
        <f t="shared" si="11"/>
        <v>6.3E-2</v>
      </c>
      <c r="X3" s="72">
        <f t="shared" si="12"/>
        <v>6.3E-2</v>
      </c>
      <c r="Y3" s="72">
        <f t="shared" si="13"/>
        <v>6.3E-2</v>
      </c>
      <c r="Z3" s="72">
        <f t="shared" si="14"/>
        <v>6.3E-2</v>
      </c>
      <c r="AA3" s="72">
        <f t="shared" si="15"/>
        <v>6.3E-2</v>
      </c>
      <c r="AB3" s="72">
        <f t="shared" si="16"/>
        <v>6.3E-2</v>
      </c>
      <c r="AC3" s="72">
        <f t="shared" si="17"/>
        <v>6.3E-2</v>
      </c>
      <c r="AD3" s="72">
        <f t="shared" si="18"/>
        <v>6.3E-2</v>
      </c>
      <c r="AE3" s="72">
        <f t="shared" si="19"/>
        <v>6.3E-2</v>
      </c>
      <c r="AF3" s="72">
        <f t="shared" si="20"/>
        <v>6.3E-2</v>
      </c>
      <c r="AG3" s="72">
        <f t="shared" si="21"/>
        <v>6.3E-2</v>
      </c>
      <c r="AH3" s="72">
        <f t="shared" si="22"/>
        <v>6.3E-2</v>
      </c>
      <c r="AI3" s="72">
        <f t="shared" si="23"/>
        <v>6.3E-2</v>
      </c>
      <c r="AJ3" s="72">
        <f t="shared" si="24"/>
        <v>6.3E-2</v>
      </c>
      <c r="AK3" s="72">
        <f t="shared" si="25"/>
        <v>6.3E-2</v>
      </c>
      <c r="AL3" s="72">
        <f t="shared" si="26"/>
        <v>6.3E-2</v>
      </c>
      <c r="AM3" s="72">
        <f t="shared" si="27"/>
        <v>6.3E-2</v>
      </c>
      <c r="AN3" s="72">
        <f t="shared" si="28"/>
        <v>6.3E-2</v>
      </c>
      <c r="AO3" s="72">
        <f t="shared" si="29"/>
        <v>6.3E-2</v>
      </c>
      <c r="AP3" s="72">
        <f t="shared" si="30"/>
        <v>6.3E-2</v>
      </c>
      <c r="AQ3" s="72">
        <f t="shared" si="31"/>
        <v>6.3E-2</v>
      </c>
      <c r="AR3" s="72">
        <f t="shared" si="32"/>
        <v>6.3E-2</v>
      </c>
      <c r="AS3" s="72">
        <f t="shared" si="33"/>
        <v>6.3E-2</v>
      </c>
      <c r="AT3" s="72">
        <f t="shared" si="34"/>
        <v>6.3E-2</v>
      </c>
      <c r="AU3" s="72">
        <f t="shared" si="35"/>
        <v>6.3E-2</v>
      </c>
      <c r="AV3" s="72">
        <f t="shared" si="36"/>
        <v>6.3E-2</v>
      </c>
      <c r="AW3" s="72">
        <f t="shared" si="37"/>
        <v>6.3E-2</v>
      </c>
      <c r="AX3" s="72">
        <f t="shared" si="38"/>
        <v>6.3E-2</v>
      </c>
      <c r="AY3" s="72">
        <f t="shared" si="39"/>
        <v>6.3E-2</v>
      </c>
      <c r="AZ3" s="72">
        <f t="shared" si="40"/>
        <v>6.3E-2</v>
      </c>
    </row>
    <row r="4" spans="1:52" x14ac:dyDescent="0.35">
      <c r="A4" s="67" t="s">
        <v>155</v>
      </c>
      <c r="B4" s="72">
        <f>4.9%-_xlfn.XLOOKUP(A4,BasisPointCost!$A:$A,BasisPointCost!$B:$B)</f>
        <v>4.8300000000000003E-2</v>
      </c>
      <c r="C4" s="72">
        <f t="shared" si="1"/>
        <v>4.8300000000000003E-2</v>
      </c>
      <c r="D4" s="72">
        <f t="shared" si="1"/>
        <v>4.8300000000000003E-2</v>
      </c>
      <c r="E4" s="72">
        <f t="shared" si="1"/>
        <v>4.8300000000000003E-2</v>
      </c>
      <c r="F4" s="72">
        <f t="shared" si="1"/>
        <v>4.8300000000000003E-2</v>
      </c>
      <c r="G4" s="72">
        <f t="shared" si="1"/>
        <v>4.8300000000000003E-2</v>
      </c>
      <c r="H4" s="72">
        <f t="shared" si="1"/>
        <v>4.8300000000000003E-2</v>
      </c>
      <c r="I4" s="72">
        <f t="shared" si="1"/>
        <v>4.8300000000000003E-2</v>
      </c>
      <c r="J4" s="72">
        <f t="shared" si="1"/>
        <v>4.8300000000000003E-2</v>
      </c>
      <c r="K4" s="72">
        <f t="shared" si="1"/>
        <v>4.8300000000000003E-2</v>
      </c>
      <c r="L4" s="73">
        <f>3.5%-0.07%</f>
        <v>3.4300000000000004E-2</v>
      </c>
      <c r="M4" s="72">
        <f t="shared" si="1"/>
        <v>3.4300000000000004E-2</v>
      </c>
      <c r="N4" s="72">
        <f t="shared" si="2"/>
        <v>3.4300000000000004E-2</v>
      </c>
      <c r="O4" s="72">
        <f t="shared" si="3"/>
        <v>3.4300000000000004E-2</v>
      </c>
      <c r="P4" s="72">
        <f t="shared" si="4"/>
        <v>3.4300000000000004E-2</v>
      </c>
      <c r="Q4" s="72">
        <f t="shared" si="5"/>
        <v>3.4300000000000004E-2</v>
      </c>
      <c r="R4" s="72">
        <f t="shared" si="6"/>
        <v>3.4300000000000004E-2</v>
      </c>
      <c r="S4" s="72">
        <f t="shared" si="7"/>
        <v>3.4300000000000004E-2</v>
      </c>
      <c r="T4" s="72">
        <f t="shared" si="8"/>
        <v>3.4300000000000004E-2</v>
      </c>
      <c r="U4" s="72">
        <f t="shared" si="9"/>
        <v>3.4300000000000004E-2</v>
      </c>
      <c r="V4" s="72">
        <f t="shared" si="10"/>
        <v>3.4300000000000004E-2</v>
      </c>
      <c r="W4" s="72">
        <f t="shared" si="11"/>
        <v>3.4300000000000004E-2</v>
      </c>
      <c r="X4" s="72">
        <f t="shared" si="12"/>
        <v>3.4300000000000004E-2</v>
      </c>
      <c r="Y4" s="72">
        <f t="shared" si="13"/>
        <v>3.4300000000000004E-2</v>
      </c>
      <c r="Z4" s="72">
        <f t="shared" si="14"/>
        <v>3.4300000000000004E-2</v>
      </c>
      <c r="AA4" s="72">
        <f t="shared" si="15"/>
        <v>3.4300000000000004E-2</v>
      </c>
      <c r="AB4" s="72">
        <f t="shared" si="16"/>
        <v>3.4300000000000004E-2</v>
      </c>
      <c r="AC4" s="72">
        <f t="shared" si="17"/>
        <v>3.4300000000000004E-2</v>
      </c>
      <c r="AD4" s="72">
        <f t="shared" si="18"/>
        <v>3.4300000000000004E-2</v>
      </c>
      <c r="AE4" s="72">
        <f t="shared" si="19"/>
        <v>3.4300000000000004E-2</v>
      </c>
      <c r="AF4" s="72">
        <f t="shared" si="20"/>
        <v>3.4300000000000004E-2</v>
      </c>
      <c r="AG4" s="72">
        <f t="shared" si="21"/>
        <v>3.4300000000000004E-2</v>
      </c>
      <c r="AH4" s="72">
        <f t="shared" si="22"/>
        <v>3.4300000000000004E-2</v>
      </c>
      <c r="AI4" s="72">
        <f t="shared" si="23"/>
        <v>3.4300000000000004E-2</v>
      </c>
      <c r="AJ4" s="72">
        <f t="shared" si="24"/>
        <v>3.4300000000000004E-2</v>
      </c>
      <c r="AK4" s="72">
        <f t="shared" si="25"/>
        <v>3.4300000000000004E-2</v>
      </c>
      <c r="AL4" s="72">
        <f t="shared" si="26"/>
        <v>3.4300000000000004E-2</v>
      </c>
      <c r="AM4" s="72">
        <f t="shared" si="27"/>
        <v>3.4300000000000004E-2</v>
      </c>
      <c r="AN4" s="72">
        <f t="shared" si="28"/>
        <v>3.4300000000000004E-2</v>
      </c>
      <c r="AO4" s="72">
        <f t="shared" si="29"/>
        <v>3.4300000000000004E-2</v>
      </c>
      <c r="AP4" s="72">
        <f t="shared" si="30"/>
        <v>3.4300000000000004E-2</v>
      </c>
      <c r="AQ4" s="72">
        <f t="shared" si="31"/>
        <v>3.4300000000000004E-2</v>
      </c>
      <c r="AR4" s="72">
        <f t="shared" si="32"/>
        <v>3.4300000000000004E-2</v>
      </c>
      <c r="AS4" s="72">
        <f t="shared" si="33"/>
        <v>3.4300000000000004E-2</v>
      </c>
      <c r="AT4" s="72">
        <f t="shared" si="34"/>
        <v>3.4300000000000004E-2</v>
      </c>
      <c r="AU4" s="72">
        <f t="shared" si="35"/>
        <v>3.4300000000000004E-2</v>
      </c>
      <c r="AV4" s="72">
        <f t="shared" si="36"/>
        <v>3.4300000000000004E-2</v>
      </c>
      <c r="AW4" s="72">
        <f t="shared" si="37"/>
        <v>3.4300000000000004E-2</v>
      </c>
      <c r="AX4" s="72">
        <f t="shared" si="38"/>
        <v>3.4300000000000004E-2</v>
      </c>
      <c r="AY4" s="72">
        <f t="shared" si="39"/>
        <v>3.4300000000000004E-2</v>
      </c>
      <c r="AZ4" s="72">
        <f t="shared" si="40"/>
        <v>3.4300000000000004E-2</v>
      </c>
    </row>
    <row r="5" spans="1:52" x14ac:dyDescent="0.35">
      <c r="A5" s="67" t="s">
        <v>154</v>
      </c>
      <c r="B5" s="72">
        <f>5%-_xlfn.XLOOKUP(A5,BasisPointCost!$A:$A,BasisPointCost!$B:$B)</f>
        <v>4.9300000000000004E-2</v>
      </c>
      <c r="C5" s="72">
        <f t="shared" si="1"/>
        <v>4.9300000000000004E-2</v>
      </c>
      <c r="D5" s="72">
        <f t="shared" si="1"/>
        <v>4.9300000000000004E-2</v>
      </c>
      <c r="E5" s="72">
        <f t="shared" si="1"/>
        <v>4.9300000000000004E-2</v>
      </c>
      <c r="F5" s="72">
        <f t="shared" si="1"/>
        <v>4.9300000000000004E-2</v>
      </c>
      <c r="G5" s="72">
        <f t="shared" si="1"/>
        <v>4.9300000000000004E-2</v>
      </c>
      <c r="H5" s="72">
        <f t="shared" si="1"/>
        <v>4.9300000000000004E-2</v>
      </c>
      <c r="I5" s="72">
        <f t="shared" si="1"/>
        <v>4.9300000000000004E-2</v>
      </c>
      <c r="J5" s="72">
        <f t="shared" si="1"/>
        <v>4.9300000000000004E-2</v>
      </c>
      <c r="K5" s="72">
        <f t="shared" si="1"/>
        <v>4.9300000000000004E-2</v>
      </c>
      <c r="L5" s="73">
        <f>3.5%-0.07%</f>
        <v>3.4300000000000004E-2</v>
      </c>
      <c r="M5" s="72">
        <f t="shared" si="1"/>
        <v>3.4300000000000004E-2</v>
      </c>
      <c r="N5" s="72">
        <f t="shared" si="2"/>
        <v>3.4300000000000004E-2</v>
      </c>
      <c r="O5" s="72">
        <f t="shared" si="3"/>
        <v>3.4300000000000004E-2</v>
      </c>
      <c r="P5" s="72">
        <f t="shared" si="4"/>
        <v>3.4300000000000004E-2</v>
      </c>
      <c r="Q5" s="72">
        <f t="shared" si="5"/>
        <v>3.4300000000000004E-2</v>
      </c>
      <c r="R5" s="72">
        <f t="shared" si="6"/>
        <v>3.4300000000000004E-2</v>
      </c>
      <c r="S5" s="72">
        <f t="shared" si="7"/>
        <v>3.4300000000000004E-2</v>
      </c>
      <c r="T5" s="72">
        <f t="shared" si="8"/>
        <v>3.4300000000000004E-2</v>
      </c>
      <c r="U5" s="72">
        <f t="shared" si="9"/>
        <v>3.4300000000000004E-2</v>
      </c>
      <c r="V5" s="72">
        <f t="shared" si="10"/>
        <v>3.4300000000000004E-2</v>
      </c>
      <c r="W5" s="72">
        <f t="shared" si="11"/>
        <v>3.4300000000000004E-2</v>
      </c>
      <c r="X5" s="72">
        <f t="shared" si="12"/>
        <v>3.4300000000000004E-2</v>
      </c>
      <c r="Y5" s="72">
        <f t="shared" si="13"/>
        <v>3.4300000000000004E-2</v>
      </c>
      <c r="Z5" s="72">
        <f t="shared" si="14"/>
        <v>3.4300000000000004E-2</v>
      </c>
      <c r="AA5" s="72">
        <f t="shared" si="15"/>
        <v>3.4300000000000004E-2</v>
      </c>
      <c r="AB5" s="72">
        <f t="shared" si="16"/>
        <v>3.4300000000000004E-2</v>
      </c>
      <c r="AC5" s="72">
        <f t="shared" si="17"/>
        <v>3.4300000000000004E-2</v>
      </c>
      <c r="AD5" s="72">
        <f t="shared" si="18"/>
        <v>3.4300000000000004E-2</v>
      </c>
      <c r="AE5" s="72">
        <f t="shared" si="19"/>
        <v>3.4300000000000004E-2</v>
      </c>
      <c r="AF5" s="72">
        <f t="shared" si="20"/>
        <v>3.4300000000000004E-2</v>
      </c>
      <c r="AG5" s="72">
        <f t="shared" si="21"/>
        <v>3.4300000000000004E-2</v>
      </c>
      <c r="AH5" s="72">
        <f t="shared" si="22"/>
        <v>3.4300000000000004E-2</v>
      </c>
      <c r="AI5" s="72">
        <f t="shared" si="23"/>
        <v>3.4300000000000004E-2</v>
      </c>
      <c r="AJ5" s="72">
        <f t="shared" si="24"/>
        <v>3.4300000000000004E-2</v>
      </c>
      <c r="AK5" s="72">
        <f t="shared" si="25"/>
        <v>3.4300000000000004E-2</v>
      </c>
      <c r="AL5" s="72">
        <f t="shared" si="26"/>
        <v>3.4300000000000004E-2</v>
      </c>
      <c r="AM5" s="72">
        <f t="shared" si="27"/>
        <v>3.4300000000000004E-2</v>
      </c>
      <c r="AN5" s="72">
        <f t="shared" si="28"/>
        <v>3.4300000000000004E-2</v>
      </c>
      <c r="AO5" s="72">
        <f t="shared" si="29"/>
        <v>3.4300000000000004E-2</v>
      </c>
      <c r="AP5" s="72">
        <f t="shared" si="30"/>
        <v>3.4300000000000004E-2</v>
      </c>
      <c r="AQ5" s="72">
        <f t="shared" si="31"/>
        <v>3.4300000000000004E-2</v>
      </c>
      <c r="AR5" s="72">
        <f t="shared" si="32"/>
        <v>3.4300000000000004E-2</v>
      </c>
      <c r="AS5" s="72">
        <f t="shared" si="33"/>
        <v>3.4300000000000004E-2</v>
      </c>
      <c r="AT5" s="72">
        <f t="shared" si="34"/>
        <v>3.4300000000000004E-2</v>
      </c>
      <c r="AU5" s="72">
        <f t="shared" si="35"/>
        <v>3.4300000000000004E-2</v>
      </c>
      <c r="AV5" s="72">
        <f t="shared" si="36"/>
        <v>3.4300000000000004E-2</v>
      </c>
      <c r="AW5" s="72">
        <f t="shared" si="37"/>
        <v>3.4300000000000004E-2</v>
      </c>
      <c r="AX5" s="72">
        <f t="shared" si="38"/>
        <v>3.4300000000000004E-2</v>
      </c>
      <c r="AY5" s="72">
        <f t="shared" si="39"/>
        <v>3.4300000000000004E-2</v>
      </c>
      <c r="AZ5" s="72">
        <f t="shared" si="40"/>
        <v>3.4300000000000004E-2</v>
      </c>
    </row>
    <row r="6" spans="1:52" x14ac:dyDescent="0.35">
      <c r="A6" s="67" t="s">
        <v>153</v>
      </c>
      <c r="B6" s="72">
        <f>3.7%-_xlfn.XLOOKUP(A6,BasisPointCost!$A:$A,BasisPointCost!$B:$B)</f>
        <v>3.6300000000000006E-2</v>
      </c>
      <c r="C6" s="72">
        <f t="shared" si="1"/>
        <v>3.6300000000000006E-2</v>
      </c>
      <c r="D6" s="72">
        <f t="shared" si="1"/>
        <v>3.6300000000000006E-2</v>
      </c>
      <c r="E6" s="72">
        <f t="shared" si="1"/>
        <v>3.6300000000000006E-2</v>
      </c>
      <c r="F6" s="72">
        <f t="shared" si="1"/>
        <v>3.6300000000000006E-2</v>
      </c>
      <c r="G6" s="72">
        <f t="shared" si="1"/>
        <v>3.6300000000000006E-2</v>
      </c>
      <c r="H6" s="72">
        <f t="shared" si="1"/>
        <v>3.6300000000000006E-2</v>
      </c>
      <c r="I6" s="72">
        <f t="shared" si="1"/>
        <v>3.6300000000000006E-2</v>
      </c>
      <c r="J6" s="72">
        <f t="shared" si="1"/>
        <v>3.6300000000000006E-2</v>
      </c>
      <c r="K6" s="72">
        <f t="shared" si="1"/>
        <v>3.6300000000000006E-2</v>
      </c>
      <c r="L6" s="73">
        <f>3.5%-0.07%</f>
        <v>3.4300000000000004E-2</v>
      </c>
      <c r="M6" s="72">
        <f t="shared" si="1"/>
        <v>3.4300000000000004E-2</v>
      </c>
      <c r="N6" s="72">
        <f t="shared" si="2"/>
        <v>3.4300000000000004E-2</v>
      </c>
      <c r="O6" s="72">
        <f t="shared" si="3"/>
        <v>3.4300000000000004E-2</v>
      </c>
      <c r="P6" s="72">
        <f t="shared" si="4"/>
        <v>3.4300000000000004E-2</v>
      </c>
      <c r="Q6" s="72">
        <f t="shared" si="5"/>
        <v>3.4300000000000004E-2</v>
      </c>
      <c r="R6" s="72">
        <f t="shared" si="6"/>
        <v>3.4300000000000004E-2</v>
      </c>
      <c r="S6" s="72">
        <f t="shared" si="7"/>
        <v>3.4300000000000004E-2</v>
      </c>
      <c r="T6" s="72">
        <f t="shared" si="8"/>
        <v>3.4300000000000004E-2</v>
      </c>
      <c r="U6" s="72">
        <f t="shared" si="9"/>
        <v>3.4300000000000004E-2</v>
      </c>
      <c r="V6" s="72">
        <f t="shared" si="10"/>
        <v>3.4300000000000004E-2</v>
      </c>
      <c r="W6" s="72">
        <f t="shared" si="11"/>
        <v>3.4300000000000004E-2</v>
      </c>
      <c r="X6" s="72">
        <f t="shared" si="12"/>
        <v>3.4300000000000004E-2</v>
      </c>
      <c r="Y6" s="72">
        <f t="shared" si="13"/>
        <v>3.4300000000000004E-2</v>
      </c>
      <c r="Z6" s="72">
        <f t="shared" si="14"/>
        <v>3.4300000000000004E-2</v>
      </c>
      <c r="AA6" s="72">
        <f t="shared" si="15"/>
        <v>3.4300000000000004E-2</v>
      </c>
      <c r="AB6" s="72">
        <f t="shared" si="16"/>
        <v>3.4300000000000004E-2</v>
      </c>
      <c r="AC6" s="72">
        <f t="shared" si="17"/>
        <v>3.4300000000000004E-2</v>
      </c>
      <c r="AD6" s="72">
        <f t="shared" si="18"/>
        <v>3.4300000000000004E-2</v>
      </c>
      <c r="AE6" s="72">
        <f t="shared" si="19"/>
        <v>3.4300000000000004E-2</v>
      </c>
      <c r="AF6" s="72">
        <f t="shared" si="20"/>
        <v>3.4300000000000004E-2</v>
      </c>
      <c r="AG6" s="72">
        <f t="shared" si="21"/>
        <v>3.4300000000000004E-2</v>
      </c>
      <c r="AH6" s="72">
        <f t="shared" si="22"/>
        <v>3.4300000000000004E-2</v>
      </c>
      <c r="AI6" s="72">
        <f t="shared" si="23"/>
        <v>3.4300000000000004E-2</v>
      </c>
      <c r="AJ6" s="72">
        <f t="shared" si="24"/>
        <v>3.4300000000000004E-2</v>
      </c>
      <c r="AK6" s="72">
        <f t="shared" si="25"/>
        <v>3.4300000000000004E-2</v>
      </c>
      <c r="AL6" s="72">
        <f t="shared" si="26"/>
        <v>3.4300000000000004E-2</v>
      </c>
      <c r="AM6" s="72">
        <f t="shared" si="27"/>
        <v>3.4300000000000004E-2</v>
      </c>
      <c r="AN6" s="72">
        <f t="shared" si="28"/>
        <v>3.4300000000000004E-2</v>
      </c>
      <c r="AO6" s="72">
        <f t="shared" si="29"/>
        <v>3.4300000000000004E-2</v>
      </c>
      <c r="AP6" s="72">
        <f t="shared" si="30"/>
        <v>3.4300000000000004E-2</v>
      </c>
      <c r="AQ6" s="72">
        <f t="shared" si="31"/>
        <v>3.4300000000000004E-2</v>
      </c>
      <c r="AR6" s="72">
        <f t="shared" si="32"/>
        <v>3.4300000000000004E-2</v>
      </c>
      <c r="AS6" s="72">
        <f t="shared" si="33"/>
        <v>3.4300000000000004E-2</v>
      </c>
      <c r="AT6" s="72">
        <f t="shared" si="34"/>
        <v>3.4300000000000004E-2</v>
      </c>
      <c r="AU6" s="72">
        <f t="shared" si="35"/>
        <v>3.4300000000000004E-2</v>
      </c>
      <c r="AV6" s="72">
        <f t="shared" si="36"/>
        <v>3.4300000000000004E-2</v>
      </c>
      <c r="AW6" s="72">
        <f t="shared" si="37"/>
        <v>3.4300000000000004E-2</v>
      </c>
      <c r="AX6" s="72">
        <f t="shared" si="38"/>
        <v>3.4300000000000004E-2</v>
      </c>
      <c r="AY6" s="72">
        <f t="shared" si="39"/>
        <v>3.4300000000000004E-2</v>
      </c>
      <c r="AZ6" s="72">
        <f t="shared" si="40"/>
        <v>3.4300000000000004E-2</v>
      </c>
    </row>
    <row r="7" spans="1:52" x14ac:dyDescent="0.35">
      <c r="A7" s="67" t="s">
        <v>152</v>
      </c>
      <c r="B7" s="72">
        <f>2.9%-_xlfn.XLOOKUP($A7,BasisPointCost!$A:$A,BasisPointCost!$B:$B)</f>
        <v>2.8299999999999999E-2</v>
      </c>
      <c r="C7" s="72">
        <f t="shared" si="1"/>
        <v>2.8299999999999999E-2</v>
      </c>
      <c r="D7" s="72">
        <f t="shared" si="1"/>
        <v>2.8299999999999999E-2</v>
      </c>
      <c r="E7" s="72">
        <f t="shared" si="1"/>
        <v>2.8299999999999999E-2</v>
      </c>
      <c r="F7" s="72">
        <f t="shared" si="1"/>
        <v>2.8299999999999999E-2</v>
      </c>
      <c r="G7" s="72">
        <f t="shared" si="1"/>
        <v>2.8299999999999999E-2</v>
      </c>
      <c r="H7" s="72">
        <f t="shared" si="1"/>
        <v>2.8299999999999999E-2</v>
      </c>
      <c r="I7" s="72">
        <f t="shared" si="1"/>
        <v>2.8299999999999999E-2</v>
      </c>
      <c r="J7" s="72">
        <f t="shared" si="1"/>
        <v>2.8299999999999999E-2</v>
      </c>
      <c r="K7" s="72">
        <f t="shared" si="1"/>
        <v>2.8299999999999999E-2</v>
      </c>
      <c r="L7" s="73">
        <f>3.5%-0.07%</f>
        <v>3.4300000000000004E-2</v>
      </c>
      <c r="M7" s="72">
        <f t="shared" si="1"/>
        <v>3.4300000000000004E-2</v>
      </c>
      <c r="N7" s="72">
        <f t="shared" si="2"/>
        <v>3.4300000000000004E-2</v>
      </c>
      <c r="O7" s="72">
        <f t="shared" si="3"/>
        <v>3.4300000000000004E-2</v>
      </c>
      <c r="P7" s="72">
        <f t="shared" si="4"/>
        <v>3.4300000000000004E-2</v>
      </c>
      <c r="Q7" s="72">
        <f t="shared" si="5"/>
        <v>3.4300000000000004E-2</v>
      </c>
      <c r="R7" s="72">
        <f t="shared" si="6"/>
        <v>3.4300000000000004E-2</v>
      </c>
      <c r="S7" s="72">
        <f t="shared" si="7"/>
        <v>3.4300000000000004E-2</v>
      </c>
      <c r="T7" s="72">
        <f t="shared" si="8"/>
        <v>3.4300000000000004E-2</v>
      </c>
      <c r="U7" s="72">
        <f t="shared" si="9"/>
        <v>3.4300000000000004E-2</v>
      </c>
      <c r="V7" s="72">
        <f t="shared" si="10"/>
        <v>3.4300000000000004E-2</v>
      </c>
      <c r="W7" s="72">
        <f t="shared" si="11"/>
        <v>3.4300000000000004E-2</v>
      </c>
      <c r="X7" s="72">
        <f t="shared" si="12"/>
        <v>3.4300000000000004E-2</v>
      </c>
      <c r="Y7" s="72">
        <f t="shared" si="13"/>
        <v>3.4300000000000004E-2</v>
      </c>
      <c r="Z7" s="72">
        <f t="shared" si="14"/>
        <v>3.4300000000000004E-2</v>
      </c>
      <c r="AA7" s="72">
        <f t="shared" si="15"/>
        <v>3.4300000000000004E-2</v>
      </c>
      <c r="AB7" s="72">
        <f t="shared" si="16"/>
        <v>3.4300000000000004E-2</v>
      </c>
      <c r="AC7" s="72">
        <f t="shared" si="17"/>
        <v>3.4300000000000004E-2</v>
      </c>
      <c r="AD7" s="72">
        <f t="shared" si="18"/>
        <v>3.4300000000000004E-2</v>
      </c>
      <c r="AE7" s="72">
        <f t="shared" si="19"/>
        <v>3.4300000000000004E-2</v>
      </c>
      <c r="AF7" s="72">
        <f t="shared" si="20"/>
        <v>3.4300000000000004E-2</v>
      </c>
      <c r="AG7" s="72">
        <f t="shared" si="21"/>
        <v>3.4300000000000004E-2</v>
      </c>
      <c r="AH7" s="72">
        <f t="shared" si="22"/>
        <v>3.4300000000000004E-2</v>
      </c>
      <c r="AI7" s="72">
        <f t="shared" si="23"/>
        <v>3.4300000000000004E-2</v>
      </c>
      <c r="AJ7" s="72">
        <f t="shared" si="24"/>
        <v>3.4300000000000004E-2</v>
      </c>
      <c r="AK7" s="72">
        <f t="shared" si="25"/>
        <v>3.4300000000000004E-2</v>
      </c>
      <c r="AL7" s="72">
        <f t="shared" si="26"/>
        <v>3.4300000000000004E-2</v>
      </c>
      <c r="AM7" s="72">
        <f t="shared" si="27"/>
        <v>3.4300000000000004E-2</v>
      </c>
      <c r="AN7" s="72">
        <f t="shared" si="28"/>
        <v>3.4300000000000004E-2</v>
      </c>
      <c r="AO7" s="72">
        <f t="shared" si="29"/>
        <v>3.4300000000000004E-2</v>
      </c>
      <c r="AP7" s="72">
        <f t="shared" si="30"/>
        <v>3.4300000000000004E-2</v>
      </c>
      <c r="AQ7" s="72">
        <f t="shared" si="31"/>
        <v>3.4300000000000004E-2</v>
      </c>
      <c r="AR7" s="72">
        <f t="shared" si="32"/>
        <v>3.4300000000000004E-2</v>
      </c>
      <c r="AS7" s="72">
        <f t="shared" si="33"/>
        <v>3.4300000000000004E-2</v>
      </c>
      <c r="AT7" s="72">
        <f t="shared" si="34"/>
        <v>3.4300000000000004E-2</v>
      </c>
      <c r="AU7" s="72">
        <f t="shared" si="35"/>
        <v>3.4300000000000004E-2</v>
      </c>
      <c r="AV7" s="72">
        <f t="shared" si="36"/>
        <v>3.4300000000000004E-2</v>
      </c>
      <c r="AW7" s="72">
        <f t="shared" si="37"/>
        <v>3.4300000000000004E-2</v>
      </c>
      <c r="AX7" s="72">
        <f t="shared" si="38"/>
        <v>3.4300000000000004E-2</v>
      </c>
      <c r="AY7" s="72">
        <f t="shared" si="39"/>
        <v>3.4300000000000004E-2</v>
      </c>
      <c r="AZ7" s="72">
        <f t="shared" si="40"/>
        <v>3.4300000000000004E-2</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376BD-1041-4368-81BD-154460E3C655}">
  <dimension ref="A1:C7"/>
  <sheetViews>
    <sheetView workbookViewId="0"/>
  </sheetViews>
  <sheetFormatPr defaultColWidth="8.81640625" defaultRowHeight="14.5" x14ac:dyDescent="0.35"/>
  <cols>
    <col min="1" max="1" width="35" bestFit="1" customWidth="1"/>
    <col min="2" max="2" width="15.26953125" bestFit="1" customWidth="1"/>
  </cols>
  <sheetData>
    <row r="1" spans="1:3" x14ac:dyDescent="0.35">
      <c r="A1" t="s">
        <v>158</v>
      </c>
      <c r="B1" t="s">
        <v>159</v>
      </c>
      <c r="C1" t="s">
        <v>160</v>
      </c>
    </row>
    <row r="2" spans="1:3" x14ac:dyDescent="0.35">
      <c r="A2" t="s">
        <v>100</v>
      </c>
      <c r="B2" s="21">
        <f>0.2%</f>
        <v>2E-3</v>
      </c>
    </row>
    <row r="3" spans="1:3" x14ac:dyDescent="0.35">
      <c r="A3" t="s">
        <v>101</v>
      </c>
      <c r="B3" s="21">
        <f>0.2%</f>
        <v>2E-3</v>
      </c>
    </row>
    <row r="4" spans="1:3" x14ac:dyDescent="0.35">
      <c r="A4" t="s">
        <v>155</v>
      </c>
      <c r="B4" s="21">
        <f>0.07%</f>
        <v>7.000000000000001E-4</v>
      </c>
    </row>
    <row r="5" spans="1:3" x14ac:dyDescent="0.35">
      <c r="A5" t="s">
        <v>154</v>
      </c>
      <c r="B5" s="21">
        <f>0.07%</f>
        <v>7.000000000000001E-4</v>
      </c>
    </row>
    <row r="6" spans="1:3" x14ac:dyDescent="0.35">
      <c r="A6" t="s">
        <v>153</v>
      </c>
      <c r="B6" s="21">
        <f>0.07%</f>
        <v>7.000000000000001E-4</v>
      </c>
    </row>
    <row r="7" spans="1:3" x14ac:dyDescent="0.35">
      <c r="A7" t="s">
        <v>152</v>
      </c>
      <c r="B7" s="21">
        <f>0.07%</f>
        <v>7.000000000000001E-4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B5CA3-DE5D-422A-9220-CA76503F3C0E}">
  <dimension ref="A1:AP7"/>
  <sheetViews>
    <sheetView workbookViewId="0"/>
  </sheetViews>
  <sheetFormatPr defaultColWidth="8.81640625" defaultRowHeight="14.5" x14ac:dyDescent="0.35"/>
  <cols>
    <col min="1" max="1" width="31.453125" bestFit="1" customWidth="1"/>
    <col min="2" max="2" width="12.453125" bestFit="1" customWidth="1"/>
    <col min="3" max="3" width="11.81640625" bestFit="1" customWidth="1"/>
    <col min="4" max="11" width="12.453125" bestFit="1" customWidth="1"/>
    <col min="12" max="12" width="11.81640625" bestFit="1" customWidth="1"/>
    <col min="13" max="20" width="12.453125" bestFit="1" customWidth="1"/>
    <col min="21" max="21" width="11.81640625" bestFit="1" customWidth="1"/>
    <col min="22" max="22" width="12.453125" bestFit="1" customWidth="1"/>
    <col min="23" max="23" width="11.81640625" bestFit="1" customWidth="1"/>
    <col min="24" max="26" width="12.453125" bestFit="1" customWidth="1"/>
    <col min="27" max="27" width="11.81640625" bestFit="1" customWidth="1"/>
    <col min="28" max="31" width="12.453125" bestFit="1" customWidth="1"/>
    <col min="32" max="32" width="11.81640625" bestFit="1" customWidth="1"/>
    <col min="33" max="34" width="12.453125" bestFit="1" customWidth="1"/>
    <col min="35" max="36" width="11.81640625" bestFit="1" customWidth="1"/>
    <col min="37" max="43" width="12.453125" bestFit="1" customWidth="1"/>
    <col min="44" max="46" width="11.81640625" bestFit="1" customWidth="1"/>
    <col min="47" max="47" width="12.453125" bestFit="1" customWidth="1"/>
    <col min="48" max="49" width="11.81640625" bestFit="1" customWidth="1"/>
    <col min="50" max="50" width="12.453125" bestFit="1" customWidth="1"/>
    <col min="51" max="51" width="11.81640625" bestFit="1" customWidth="1"/>
  </cols>
  <sheetData>
    <row r="1" spans="1:42" x14ac:dyDescent="0.35">
      <c r="B1" t="s">
        <v>112</v>
      </c>
      <c r="C1" t="s">
        <v>113</v>
      </c>
      <c r="D1" t="s">
        <v>114</v>
      </c>
      <c r="E1" t="s">
        <v>115</v>
      </c>
      <c r="F1" t="s">
        <v>116</v>
      </c>
      <c r="G1" t="s">
        <v>117</v>
      </c>
      <c r="H1" t="s">
        <v>118</v>
      </c>
      <c r="I1" t="s">
        <v>119</v>
      </c>
      <c r="J1" t="s">
        <v>120</v>
      </c>
      <c r="K1" t="s">
        <v>121</v>
      </c>
      <c r="L1" t="s">
        <v>122</v>
      </c>
      <c r="M1" t="s">
        <v>123</v>
      </c>
      <c r="N1" t="s">
        <v>124</v>
      </c>
      <c r="O1" t="s">
        <v>125</v>
      </c>
      <c r="P1" t="s">
        <v>126</v>
      </c>
      <c r="Q1" t="s">
        <v>127</v>
      </c>
      <c r="R1" t="s">
        <v>128</v>
      </c>
      <c r="S1" t="s">
        <v>129</v>
      </c>
      <c r="T1" t="s">
        <v>130</v>
      </c>
      <c r="U1" t="s">
        <v>131</v>
      </c>
      <c r="V1" t="s">
        <v>132</v>
      </c>
      <c r="W1" t="s">
        <v>133</v>
      </c>
      <c r="X1" t="s">
        <v>134</v>
      </c>
      <c r="Y1" t="s">
        <v>135</v>
      </c>
      <c r="Z1" t="s">
        <v>136</v>
      </c>
      <c r="AA1" t="s">
        <v>137</v>
      </c>
      <c r="AB1" t="s">
        <v>138</v>
      </c>
      <c r="AC1" t="s">
        <v>139</v>
      </c>
      <c r="AD1" t="s">
        <v>140</v>
      </c>
      <c r="AE1" t="s">
        <v>141</v>
      </c>
      <c r="AF1" t="s">
        <v>142</v>
      </c>
      <c r="AG1" t="s">
        <v>143</v>
      </c>
      <c r="AH1" t="s">
        <v>144</v>
      </c>
      <c r="AI1" t="s">
        <v>145</v>
      </c>
      <c r="AJ1" t="s">
        <v>146</v>
      </c>
      <c r="AK1" t="s">
        <v>147</v>
      </c>
      <c r="AL1" t="s">
        <v>148</v>
      </c>
      <c r="AM1" t="s">
        <v>149</v>
      </c>
      <c r="AN1" t="s">
        <v>150</v>
      </c>
      <c r="AO1" t="s">
        <v>151</v>
      </c>
      <c r="AP1" s="19" t="s">
        <v>157</v>
      </c>
    </row>
    <row r="2" spans="1:42" x14ac:dyDescent="0.35">
      <c r="A2" t="s">
        <v>161</v>
      </c>
      <c r="B2" s="22">
        <f>6.5%-0.2%</f>
        <v>6.3E-2</v>
      </c>
      <c r="C2" s="22">
        <f>B2</f>
        <v>6.3E-2</v>
      </c>
      <c r="D2" s="22">
        <f t="shared" ref="D2:S3" si="0">C2</f>
        <v>6.3E-2</v>
      </c>
      <c r="E2" s="22">
        <f t="shared" si="0"/>
        <v>6.3E-2</v>
      </c>
      <c r="F2" s="22">
        <f t="shared" si="0"/>
        <v>6.3E-2</v>
      </c>
      <c r="G2" s="22">
        <f t="shared" si="0"/>
        <v>6.3E-2</v>
      </c>
      <c r="H2" s="22">
        <f t="shared" si="0"/>
        <v>6.3E-2</v>
      </c>
      <c r="I2" s="22">
        <f t="shared" si="0"/>
        <v>6.3E-2</v>
      </c>
      <c r="J2" s="22">
        <f t="shared" si="0"/>
        <v>6.3E-2</v>
      </c>
      <c r="K2" s="22">
        <f t="shared" si="0"/>
        <v>6.3E-2</v>
      </c>
      <c r="L2" s="22">
        <f t="shared" si="0"/>
        <v>6.3E-2</v>
      </c>
      <c r="M2" s="22">
        <f t="shared" si="0"/>
        <v>6.3E-2</v>
      </c>
      <c r="N2" s="22">
        <f t="shared" si="0"/>
        <v>6.3E-2</v>
      </c>
      <c r="O2" s="22">
        <f t="shared" si="0"/>
        <v>6.3E-2</v>
      </c>
      <c r="P2" s="22">
        <f t="shared" si="0"/>
        <v>6.3E-2</v>
      </c>
      <c r="Q2" s="22">
        <f t="shared" si="0"/>
        <v>6.3E-2</v>
      </c>
      <c r="R2" s="22">
        <f t="shared" si="0"/>
        <v>6.3E-2</v>
      </c>
      <c r="S2" s="22">
        <f t="shared" si="0"/>
        <v>6.3E-2</v>
      </c>
      <c r="T2" s="22">
        <f t="shared" ref="T2:AO3" si="1">S2</f>
        <v>6.3E-2</v>
      </c>
      <c r="U2" s="22">
        <f t="shared" si="1"/>
        <v>6.3E-2</v>
      </c>
      <c r="V2" s="22">
        <f t="shared" si="1"/>
        <v>6.3E-2</v>
      </c>
      <c r="W2" s="22">
        <f t="shared" si="1"/>
        <v>6.3E-2</v>
      </c>
      <c r="X2" s="22">
        <f t="shared" si="1"/>
        <v>6.3E-2</v>
      </c>
      <c r="Y2" s="22">
        <f t="shared" si="1"/>
        <v>6.3E-2</v>
      </c>
      <c r="Z2" s="22">
        <f t="shared" si="1"/>
        <v>6.3E-2</v>
      </c>
      <c r="AA2" s="22">
        <f t="shared" si="1"/>
        <v>6.3E-2</v>
      </c>
      <c r="AB2" s="22">
        <f t="shared" si="1"/>
        <v>6.3E-2</v>
      </c>
      <c r="AC2" s="22">
        <f t="shared" si="1"/>
        <v>6.3E-2</v>
      </c>
      <c r="AD2" s="22">
        <f t="shared" si="1"/>
        <v>6.3E-2</v>
      </c>
      <c r="AE2" s="22">
        <f t="shared" si="1"/>
        <v>6.3E-2</v>
      </c>
      <c r="AF2" s="22">
        <f t="shared" si="1"/>
        <v>6.3E-2</v>
      </c>
      <c r="AG2" s="22">
        <f t="shared" si="1"/>
        <v>6.3E-2</v>
      </c>
      <c r="AH2" s="22">
        <f t="shared" si="1"/>
        <v>6.3E-2</v>
      </c>
      <c r="AI2" s="22">
        <f t="shared" si="1"/>
        <v>6.3E-2</v>
      </c>
      <c r="AJ2" s="22">
        <f t="shared" si="1"/>
        <v>6.3E-2</v>
      </c>
      <c r="AK2" s="22">
        <f t="shared" si="1"/>
        <v>6.3E-2</v>
      </c>
      <c r="AL2" s="22">
        <f t="shared" si="1"/>
        <v>6.3E-2</v>
      </c>
      <c r="AM2" s="22">
        <f t="shared" si="1"/>
        <v>6.3E-2</v>
      </c>
      <c r="AN2" s="22">
        <f t="shared" si="1"/>
        <v>6.3E-2</v>
      </c>
      <c r="AO2" s="22">
        <f t="shared" si="1"/>
        <v>6.3E-2</v>
      </c>
      <c r="AP2" s="22">
        <f t="shared" ref="AP2" si="2">AO2</f>
        <v>6.3E-2</v>
      </c>
    </row>
    <row r="3" spans="1:42" x14ac:dyDescent="0.35">
      <c r="A3" t="s">
        <v>162</v>
      </c>
      <c r="B3" s="22">
        <f>3.5%-0.07%</f>
        <v>3.4300000000000004E-2</v>
      </c>
      <c r="C3" s="22">
        <f>B3</f>
        <v>3.4300000000000004E-2</v>
      </c>
      <c r="D3" s="22">
        <f t="shared" si="0"/>
        <v>3.4300000000000004E-2</v>
      </c>
      <c r="E3" s="22">
        <f t="shared" si="0"/>
        <v>3.4300000000000004E-2</v>
      </c>
      <c r="F3" s="22">
        <f t="shared" si="0"/>
        <v>3.4300000000000004E-2</v>
      </c>
      <c r="G3" s="22">
        <f t="shared" si="0"/>
        <v>3.4300000000000004E-2</v>
      </c>
      <c r="H3" s="22">
        <f t="shared" si="0"/>
        <v>3.4300000000000004E-2</v>
      </c>
      <c r="I3" s="22">
        <f t="shared" si="0"/>
        <v>3.4300000000000004E-2</v>
      </c>
      <c r="J3" s="22">
        <f t="shared" si="0"/>
        <v>3.4300000000000004E-2</v>
      </c>
      <c r="K3" s="22">
        <f t="shared" si="0"/>
        <v>3.4300000000000004E-2</v>
      </c>
      <c r="L3" s="22">
        <f t="shared" si="0"/>
        <v>3.4300000000000004E-2</v>
      </c>
      <c r="M3" s="22">
        <f t="shared" si="0"/>
        <v>3.4300000000000004E-2</v>
      </c>
      <c r="N3" s="22">
        <f t="shared" si="0"/>
        <v>3.4300000000000004E-2</v>
      </c>
      <c r="O3" s="22">
        <f t="shared" si="0"/>
        <v>3.4300000000000004E-2</v>
      </c>
      <c r="P3" s="22">
        <f t="shared" si="0"/>
        <v>3.4300000000000004E-2</v>
      </c>
      <c r="Q3" s="22">
        <f t="shared" si="0"/>
        <v>3.4300000000000004E-2</v>
      </c>
      <c r="R3" s="22">
        <f t="shared" si="0"/>
        <v>3.4300000000000004E-2</v>
      </c>
      <c r="S3" s="22">
        <f t="shared" si="0"/>
        <v>3.4300000000000004E-2</v>
      </c>
      <c r="T3" s="22">
        <f t="shared" si="1"/>
        <v>3.4300000000000004E-2</v>
      </c>
      <c r="U3" s="22">
        <f t="shared" si="1"/>
        <v>3.4300000000000004E-2</v>
      </c>
      <c r="V3" s="22">
        <f t="shared" si="1"/>
        <v>3.4300000000000004E-2</v>
      </c>
      <c r="W3" s="22">
        <f t="shared" si="1"/>
        <v>3.4300000000000004E-2</v>
      </c>
      <c r="X3" s="22">
        <f t="shared" si="1"/>
        <v>3.4300000000000004E-2</v>
      </c>
      <c r="Y3" s="22">
        <f t="shared" si="1"/>
        <v>3.4300000000000004E-2</v>
      </c>
      <c r="Z3" s="22">
        <f t="shared" si="1"/>
        <v>3.4300000000000004E-2</v>
      </c>
      <c r="AA3" s="22">
        <f t="shared" si="1"/>
        <v>3.4300000000000004E-2</v>
      </c>
      <c r="AB3" s="22">
        <f t="shared" si="1"/>
        <v>3.4300000000000004E-2</v>
      </c>
      <c r="AC3" s="22">
        <f t="shared" si="1"/>
        <v>3.4300000000000004E-2</v>
      </c>
      <c r="AD3" s="22">
        <f t="shared" si="1"/>
        <v>3.4300000000000004E-2</v>
      </c>
      <c r="AE3" s="22">
        <f t="shared" si="1"/>
        <v>3.4300000000000004E-2</v>
      </c>
      <c r="AF3" s="22">
        <f t="shared" si="1"/>
        <v>3.4300000000000004E-2</v>
      </c>
      <c r="AG3" s="22">
        <f t="shared" si="1"/>
        <v>3.4300000000000004E-2</v>
      </c>
      <c r="AH3" s="22">
        <f t="shared" si="1"/>
        <v>3.4300000000000004E-2</v>
      </c>
      <c r="AI3" s="22">
        <f t="shared" si="1"/>
        <v>3.4300000000000004E-2</v>
      </c>
      <c r="AJ3" s="22">
        <f t="shared" si="1"/>
        <v>3.4300000000000004E-2</v>
      </c>
      <c r="AK3" s="22">
        <f t="shared" si="1"/>
        <v>3.4300000000000004E-2</v>
      </c>
      <c r="AL3" s="22">
        <f t="shared" si="1"/>
        <v>3.4300000000000004E-2</v>
      </c>
      <c r="AM3" s="22">
        <f t="shared" si="1"/>
        <v>3.4300000000000004E-2</v>
      </c>
      <c r="AN3" s="22">
        <f t="shared" si="1"/>
        <v>3.4300000000000004E-2</v>
      </c>
      <c r="AO3" s="22">
        <f t="shared" si="1"/>
        <v>3.4300000000000004E-2</v>
      </c>
      <c r="AP3" s="22">
        <f t="shared" ref="AP3" si="3">AO3</f>
        <v>3.4300000000000004E-2</v>
      </c>
    </row>
    <row r="4" spans="1:42" x14ac:dyDescent="0.35">
      <c r="B4" s="20"/>
      <c r="C4" s="20"/>
      <c r="D4" s="20"/>
      <c r="E4" s="20"/>
      <c r="F4" s="20"/>
      <c r="G4" s="20"/>
      <c r="H4" s="20"/>
      <c r="I4" s="20"/>
      <c r="J4" s="20"/>
      <c r="K4" s="20"/>
    </row>
    <row r="5" spans="1:42" x14ac:dyDescent="0.35">
      <c r="B5" s="20"/>
      <c r="C5" s="20"/>
      <c r="D5" s="20"/>
      <c r="E5" s="20"/>
      <c r="F5" s="20"/>
      <c r="G5" s="20"/>
      <c r="H5" s="20"/>
      <c r="I5" s="20"/>
      <c r="J5" s="20"/>
      <c r="K5" s="20"/>
    </row>
    <row r="6" spans="1:42" x14ac:dyDescent="0.35">
      <c r="B6" s="20"/>
      <c r="C6" s="20"/>
      <c r="D6" s="20"/>
      <c r="E6" s="20"/>
      <c r="F6" s="20"/>
      <c r="G6" s="20"/>
      <c r="H6" s="20"/>
      <c r="I6" s="20"/>
      <c r="J6" s="20"/>
      <c r="K6" s="20"/>
    </row>
    <row r="7" spans="1:42" x14ac:dyDescent="0.35">
      <c r="B7" s="20"/>
      <c r="C7" s="20"/>
      <c r="D7" s="20"/>
      <c r="E7" s="20"/>
      <c r="F7" s="20"/>
      <c r="G7" s="20"/>
      <c r="H7" s="20"/>
      <c r="I7" s="20"/>
      <c r="J7" s="20"/>
      <c r="K7" s="20"/>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FE45-F3C8-4B14-93F1-88A34142D148}">
  <dimension ref="A1:B7"/>
  <sheetViews>
    <sheetView workbookViewId="0"/>
  </sheetViews>
  <sheetFormatPr defaultColWidth="8.7265625" defaultRowHeight="14.5" x14ac:dyDescent="0.35"/>
  <cols>
    <col min="1" max="1" width="31.453125" style="2" bestFit="1" customWidth="1"/>
    <col min="2" max="2" width="29.7265625" style="2" bestFit="1" customWidth="1"/>
    <col min="3" max="16384" width="8.7265625" style="2"/>
  </cols>
  <sheetData>
    <row r="1" spans="1:2" x14ac:dyDescent="0.35">
      <c r="B1" s="2" t="s">
        <v>156</v>
      </c>
    </row>
    <row r="2" spans="1:2" x14ac:dyDescent="0.35">
      <c r="A2" s="2" t="s">
        <v>100</v>
      </c>
      <c r="B2" s="2">
        <v>8.5999999999999993E-2</v>
      </c>
    </row>
    <row r="3" spans="1:2" x14ac:dyDescent="0.35">
      <c r="A3" s="2" t="s">
        <v>101</v>
      </c>
      <c r="B3" s="2">
        <v>7.0000000000000007E-2</v>
      </c>
    </row>
    <row r="4" spans="1:2" x14ac:dyDescent="0.35">
      <c r="A4" s="2" t="s">
        <v>155</v>
      </c>
      <c r="B4" s="2">
        <v>4.9000000000000002E-2</v>
      </c>
    </row>
    <row r="5" spans="1:2" x14ac:dyDescent="0.35">
      <c r="A5" s="2" t="s">
        <v>154</v>
      </c>
      <c r="B5" s="2">
        <v>0.05</v>
      </c>
    </row>
    <row r="6" spans="1:2" x14ac:dyDescent="0.35">
      <c r="A6" s="2" t="s">
        <v>153</v>
      </c>
      <c r="B6" s="2">
        <v>3.6999999999999998E-2</v>
      </c>
    </row>
    <row r="7" spans="1:2" x14ac:dyDescent="0.35">
      <c r="A7" s="2" t="s">
        <v>152</v>
      </c>
      <c r="B7" s="2">
        <v>2.9000000000000001E-2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362A-7ACB-4E20-9C77-3DAC52A0B042}">
  <dimension ref="A1:B3"/>
  <sheetViews>
    <sheetView workbookViewId="0"/>
  </sheetViews>
  <sheetFormatPr defaultColWidth="8.7265625" defaultRowHeight="14.5" x14ac:dyDescent="0.35"/>
  <cols>
    <col min="1" max="1" width="31.453125" style="2" bestFit="1" customWidth="1"/>
    <col min="2" max="2" width="29.7265625" style="2" bestFit="1" customWidth="1"/>
    <col min="3" max="16384" width="8.7265625" style="2"/>
  </cols>
  <sheetData>
    <row r="1" spans="1:2" x14ac:dyDescent="0.35">
      <c r="B1" s="2" t="s">
        <v>156</v>
      </c>
    </row>
    <row r="2" spans="1:2" x14ac:dyDescent="0.35">
      <c r="A2" s="2" t="s">
        <v>161</v>
      </c>
      <c r="B2" s="2">
        <v>0.18</v>
      </c>
    </row>
    <row r="3" spans="1:2" x14ac:dyDescent="0.35">
      <c r="A3" s="2" t="s">
        <v>162</v>
      </c>
      <c r="B3" s="2">
        <v>0.08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CA200-A429-4284-9EC3-C8CE8923F868}">
  <dimension ref="A1:G7"/>
  <sheetViews>
    <sheetView workbookViewId="0"/>
  </sheetViews>
  <sheetFormatPr defaultColWidth="8.81640625" defaultRowHeight="14.5" x14ac:dyDescent="0.35"/>
  <cols>
    <col min="1" max="1" width="31.453125" bestFit="1" customWidth="1"/>
    <col min="2" max="2" width="29.45312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7" x14ac:dyDescent="0.35">
      <c r="B1" t="s">
        <v>152</v>
      </c>
      <c r="C1" t="s">
        <v>153</v>
      </c>
      <c r="D1" t="s">
        <v>154</v>
      </c>
      <c r="E1" t="s">
        <v>155</v>
      </c>
      <c r="F1" t="s">
        <v>101</v>
      </c>
      <c r="G1" t="s">
        <v>100</v>
      </c>
    </row>
    <row r="2" spans="1:7" x14ac:dyDescent="0.35">
      <c r="A2" t="s">
        <v>152</v>
      </c>
      <c r="B2">
        <v>1</v>
      </c>
      <c r="C2">
        <v>0.6</v>
      </c>
      <c r="D2">
        <v>0.2</v>
      </c>
      <c r="E2">
        <v>0.4</v>
      </c>
      <c r="F2">
        <v>0</v>
      </c>
      <c r="G2">
        <v>0</v>
      </c>
    </row>
    <row r="3" spans="1:7" x14ac:dyDescent="0.35">
      <c r="A3" t="s">
        <v>153</v>
      </c>
      <c r="B3">
        <v>0.6</v>
      </c>
      <c r="C3">
        <v>1</v>
      </c>
      <c r="D3">
        <v>0.7</v>
      </c>
      <c r="E3">
        <v>0.6</v>
      </c>
      <c r="F3">
        <v>0.3</v>
      </c>
      <c r="G3">
        <v>0.3</v>
      </c>
    </row>
    <row r="4" spans="1:7" x14ac:dyDescent="0.35">
      <c r="A4" t="s">
        <v>154</v>
      </c>
      <c r="B4">
        <v>0.2</v>
      </c>
      <c r="C4">
        <v>0.7</v>
      </c>
      <c r="D4">
        <v>1</v>
      </c>
      <c r="E4">
        <v>0.7</v>
      </c>
      <c r="F4">
        <v>0.7</v>
      </c>
      <c r="G4">
        <v>0.6</v>
      </c>
    </row>
    <row r="5" spans="1:7" x14ac:dyDescent="0.35">
      <c r="A5" t="s">
        <v>155</v>
      </c>
      <c r="B5">
        <v>0.4</v>
      </c>
      <c r="C5">
        <v>0.6</v>
      </c>
      <c r="D5">
        <v>0.7</v>
      </c>
      <c r="E5">
        <v>1</v>
      </c>
      <c r="F5">
        <v>0.5</v>
      </c>
      <c r="G5">
        <v>0.7</v>
      </c>
    </row>
    <row r="6" spans="1:7" x14ac:dyDescent="0.35">
      <c r="A6" t="s">
        <v>101</v>
      </c>
      <c r="B6">
        <v>0</v>
      </c>
      <c r="C6">
        <v>0.3</v>
      </c>
      <c r="D6">
        <v>0.7</v>
      </c>
      <c r="E6">
        <v>0.5</v>
      </c>
      <c r="F6">
        <v>1</v>
      </c>
      <c r="G6">
        <v>0.7</v>
      </c>
    </row>
    <row r="7" spans="1:7" x14ac:dyDescent="0.35">
      <c r="A7" t="s">
        <v>100</v>
      </c>
      <c r="B7">
        <v>0</v>
      </c>
      <c r="C7">
        <v>0.3</v>
      </c>
      <c r="D7">
        <v>0.6</v>
      </c>
      <c r="E7">
        <v>0.7</v>
      </c>
      <c r="F7">
        <v>0.7</v>
      </c>
      <c r="G7">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7A95-B188-4DD8-8CC8-933010413F8F}">
  <dimension ref="A1:C3"/>
  <sheetViews>
    <sheetView workbookViewId="0"/>
  </sheetViews>
  <sheetFormatPr defaultColWidth="8.81640625" defaultRowHeight="14.5" x14ac:dyDescent="0.35"/>
  <cols>
    <col min="1" max="1" width="31.453125" bestFit="1" customWidth="1"/>
    <col min="2" max="2" width="29.453125" bestFit="1" customWidth="1"/>
    <col min="3" max="3" width="31.453125" bestFit="1" customWidth="1"/>
    <col min="4" max="4" width="24.81640625" bestFit="1" customWidth="1"/>
    <col min="5" max="5" width="30.81640625" bestFit="1" customWidth="1"/>
    <col min="6" max="6" width="24.453125" bestFit="1" customWidth="1"/>
    <col min="7" max="7" width="23.26953125" bestFit="1" customWidth="1"/>
  </cols>
  <sheetData>
    <row r="1" spans="1:3" x14ac:dyDescent="0.35">
      <c r="B1" t="s">
        <v>162</v>
      </c>
      <c r="C1" t="s">
        <v>161</v>
      </c>
    </row>
    <row r="2" spans="1:3" x14ac:dyDescent="0.35">
      <c r="A2" t="str" cm="1">
        <f t="array" ref="A2:A3">TRANSPOSE(B1:C1)</f>
        <v>Obligations</v>
      </c>
      <c r="B2">
        <v>1</v>
      </c>
      <c r="C2">
        <v>0</v>
      </c>
    </row>
    <row r="3" spans="1:3" x14ac:dyDescent="0.35">
      <c r="A3" t="str">
        <v>Equities</v>
      </c>
      <c r="B3">
        <v>0</v>
      </c>
      <c r="C3">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de2c18d1-4ac4-4843-b059-04cdc20ce7e6" xsi:nil="true"/>
    <lcf76f155ced4ddcb4097134ff3c332f xmlns="64f53783-b5a5-4d99-8a2b-abe1fa7247d9">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0747C7E06F68594C832843A2A297E6B8" ma:contentTypeVersion="12" ma:contentTypeDescription="Create a new document." ma:contentTypeScope="" ma:versionID="bf4d9be53f28fa48be3d4f8525463ac9">
  <xsd:schema xmlns:xsd="http://www.w3.org/2001/XMLSchema" xmlns:xs="http://www.w3.org/2001/XMLSchema" xmlns:p="http://schemas.microsoft.com/office/2006/metadata/properties" xmlns:ns2="64f53783-b5a5-4d99-8a2b-abe1fa7247d9" xmlns:ns3="de2c18d1-4ac4-4843-b059-04cdc20ce7e6" targetNamespace="http://schemas.microsoft.com/office/2006/metadata/properties" ma:root="true" ma:fieldsID="cff3a27e14b6e5b34e42e73e2eda303c" ns2:_="" ns3:_="">
    <xsd:import namespace="64f53783-b5a5-4d99-8a2b-abe1fa7247d9"/>
    <xsd:import namespace="de2c18d1-4ac4-4843-b059-04cdc20ce7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f53783-b5a5-4d99-8a2b-abe1fa7247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62caacc-edf8-42da-adb8-e01fde2280f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e2c18d1-4ac4-4843-b059-04cdc20ce7e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5a784c0-37d8-4c06-9a28-1e798b77a756}" ma:internalName="TaxCatchAll" ma:showField="CatchAllData" ma:web="de2c18d1-4ac4-4843-b059-04cdc20ce7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E06E7C1-9404-4A4A-B964-A85FD9F3B2E6}">
  <ds:schemaRefs>
    <ds:schemaRef ds:uri="http://schemas.microsoft.com/sharepoint/v3/contenttype/forms"/>
  </ds:schemaRefs>
</ds:datastoreItem>
</file>

<file path=customXml/itemProps2.xml><?xml version="1.0" encoding="utf-8"?>
<ds:datastoreItem xmlns:ds="http://schemas.openxmlformats.org/officeDocument/2006/customXml" ds:itemID="{35A6CD50-FD6A-4509-BEF9-9DFEA1769AD8}">
  <ds:schemaRefs>
    <ds:schemaRef ds:uri="http://www.w3.org/2001/XMLSchema"/>
    <ds:schemaRef ds:uri="http://www.boozallen.com/argo/guid"/>
  </ds:schemaRefs>
</ds:datastoreItem>
</file>

<file path=customXml/itemProps3.xml><?xml version="1.0" encoding="utf-8"?>
<ds:datastoreItem xmlns:ds="http://schemas.openxmlformats.org/officeDocument/2006/customXml" ds:itemID="{A8CD3132-F5D7-44C2-99AC-298B8E426299}">
  <ds:schemaRefs>
    <ds:schemaRef ds:uri="http://schemas.microsoft.com/office/2006/metadata/properties"/>
    <ds:schemaRef ds:uri="http://schemas.microsoft.com/office/infopath/2007/PartnerControls"/>
    <ds:schemaRef ds:uri="de2c18d1-4ac4-4843-b059-04cdc20ce7e6"/>
    <ds:schemaRef ds:uri="64f53783-b5a5-4d99-8a2b-abe1fa7247d9"/>
  </ds:schemaRefs>
</ds:datastoreItem>
</file>

<file path=customXml/itemProps4.xml><?xml version="1.0" encoding="utf-8"?>
<ds:datastoreItem xmlns:ds="http://schemas.openxmlformats.org/officeDocument/2006/customXml" ds:itemID="{F72042E3-5FEB-4E07-89F4-AD90E5835F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f53783-b5a5-4d99-8a2b-abe1fa7247d9"/>
    <ds:schemaRef ds:uri="de2c18d1-4ac4-4843-b059-04cdc20ce7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Front Page</vt:lpstr>
      <vt:lpstr>Salary Variables</vt:lpstr>
      <vt:lpstr>Income - P2 Helper</vt:lpstr>
      <vt:lpstr>Income</vt:lpstr>
      <vt:lpstr>Pensions P1</vt:lpstr>
      <vt:lpstr>Pensions P2</vt:lpstr>
      <vt:lpstr>Net Salary P2</vt:lpstr>
      <vt:lpstr>Net Salary P1</vt:lpstr>
      <vt:lpstr>Job Hopping</vt:lpstr>
      <vt:lpstr>Djøf Finance Hoppers</vt:lpstr>
      <vt:lpstr>Djøf Finance Workers</vt:lpstr>
      <vt:lpstr>Goals</vt:lpstr>
      <vt:lpstr>Loop</vt:lpstr>
      <vt:lpstr>Aktiesparekonto Increase</vt:lpstr>
      <vt:lpstr>Salary</vt:lpstr>
      <vt:lpstr>Wealth</vt:lpstr>
      <vt:lpstr>notes next time talk</vt:lpstr>
      <vt:lpstr>Real Returns</vt:lpstr>
      <vt:lpstr>Returns</vt:lpstr>
      <vt:lpstr>BasisPointCost</vt:lpstr>
      <vt:lpstr>Returns2</vt:lpstr>
      <vt:lpstr>Volatilities</vt:lpstr>
      <vt:lpstr>Volatilities2</vt:lpstr>
      <vt:lpstr>Correlation</vt:lpstr>
      <vt:lpstr>Correlation2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Justo Ezequiel Retorta</dc:creator>
  <cp:lastModifiedBy>Justo Ezequiel Retorta</cp:lastModifiedBy>
  <dcterms:created xsi:type="dcterms:W3CDTF">2025-02-13T10:09:46Z</dcterms:created>
  <dcterms:modified xsi:type="dcterms:W3CDTF">2025-05-06T20:01:32Z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0x0101000747C7E06F68594C832843A2A297E6B8</vt:lpwstr>
  </property>
  <property fmtid="{D5CDD505-2E9C-101B-9397-08002B2CF9AE}" pid="3" name="MediaServiceImageTags">
    <vt:lpwstr/>
  </property>
</Properties>
</file>