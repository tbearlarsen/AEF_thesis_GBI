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2A7EA8C6-F520-8E4C-9AAE-640E07467FA7}"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N53" i="2"/>
  <c r="E39" i="56"/>
  <c r="F39" i="56" s="1"/>
  <c r="B14" i="56"/>
  <c r="B43" i="55" s="1"/>
  <c r="B45" i="55" s="1"/>
  <c r="AW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A8" i="56" l="1"/>
  <c r="O8" i="56"/>
  <c r="Q8" i="56"/>
  <c r="R8" i="56"/>
  <c r="AE8" i="56"/>
  <c r="Z8" i="56"/>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A13" i="56" l="1"/>
  <c r="AA14" i="56" s="1"/>
  <c r="AA16" i="56" s="1"/>
  <c r="AA17" i="56" s="1"/>
  <c r="AR13" i="56"/>
  <c r="AR14" i="56" s="1"/>
  <c r="AR16" i="56" s="1"/>
  <c r="AR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4" i="2" l="1"/>
  <c r="N26" i="2"/>
  <c r="N8" i="2"/>
  <c r="N14" i="2"/>
  <c r="N13" i="2"/>
  <c r="N24" i="2"/>
  <c r="N33" i="2"/>
  <c r="D33" i="2" s="1"/>
  <c r="F33" i="2" s="1"/>
  <c r="L33" i="2" s="1"/>
  <c r="N19" i="2"/>
  <c r="N10" i="2"/>
  <c r="N25" i="2"/>
  <c r="N30" i="2"/>
  <c r="N28" i="2"/>
  <c r="N5" i="2"/>
  <c r="N31" i="2"/>
  <c r="N35" i="2"/>
  <c r="D35" i="2" s="1"/>
  <c r="F35" i="2" s="1"/>
  <c r="L35" i="2" s="1"/>
  <c r="N11" i="2"/>
  <c r="N23" i="2"/>
  <c r="N9" i="2"/>
  <c r="N18" i="2"/>
  <c r="N37" i="2"/>
  <c r="D37" i="2" s="1"/>
  <c r="F37" i="2" s="1"/>
  <c r="L37" i="2" s="1"/>
  <c r="L32" i="56" s="1"/>
  <c r="N7" i="2"/>
  <c r="BI2" i="56"/>
  <c r="N3" i="2" s="1"/>
  <c r="N12" i="2"/>
  <c r="N21" i="2"/>
  <c r="N34" i="2"/>
  <c r="D34" i="2" s="1"/>
  <c r="F34" i="2" s="1"/>
  <c r="L34" i="2" s="1"/>
  <c r="N16" i="2"/>
  <c r="N6" i="2"/>
  <c r="N15" i="2"/>
  <c r="N32" i="2"/>
  <c r="N36" i="2"/>
  <c r="D36" i="2" s="1"/>
  <c r="F36" i="2" s="1"/>
  <c r="L36" i="2" s="1"/>
  <c r="N20" i="2"/>
  <c r="N29" i="2"/>
  <c r="U32" i="56"/>
  <c r="V32" i="56"/>
  <c r="N38" i="2"/>
  <c r="D38" i="2" s="1"/>
  <c r="F38" i="2" s="1"/>
  <c r="L38" i="2" s="1"/>
  <c r="N22" i="2"/>
  <c r="N17" i="2"/>
  <c r="Q32" i="56"/>
  <c r="N32" i="56"/>
  <c r="J32" i="56"/>
  <c r="AB32" i="56"/>
  <c r="Z32" i="56"/>
  <c r="H32" i="56"/>
  <c r="K32" i="56"/>
  <c r="F32" i="56"/>
  <c r="O36" i="55"/>
  <c r="O37" i="55" s="1"/>
  <c r="Z45" i="55"/>
  <c r="Z46" i="55" s="1"/>
  <c r="Z54" i="55"/>
  <c r="AA50" i="55" s="1"/>
  <c r="Q44" i="2"/>
  <c r="O44" i="2"/>
  <c r="P44" i="2"/>
  <c r="R44" i="2"/>
  <c r="AF52" i="46"/>
  <c r="AF53" i="46" s="1"/>
  <c r="AD45" i="46"/>
  <c r="AD46" i="46" s="1"/>
  <c r="D45" i="45"/>
  <c r="E45" i="45"/>
  <c r="AC32" i="56" l="1"/>
  <c r="I32" i="56"/>
  <c r="Y32" i="56"/>
  <c r="O32" i="56"/>
  <c r="E32" i="56"/>
  <c r="R32" i="56"/>
  <c r="P32" i="56"/>
  <c r="AA32" i="56"/>
  <c r="W32" i="56"/>
  <c r="G32" i="56"/>
  <c r="X32" i="56"/>
  <c r="M32" i="56"/>
  <c r="T32" i="56"/>
  <c r="S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L6" i="46" s="1"/>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O4" i="47"/>
  <c r="AS6" i="46"/>
  <c r="D6" i="46"/>
  <c r="S38" i="55" l="1"/>
  <c r="T34" i="55" s="1"/>
  <c r="AP4" i="47"/>
  <c r="AP5" i="47" s="1"/>
  <c r="AP6" i="47" s="1"/>
  <c r="AP7" i="47" s="1"/>
  <c r="AP10" i="47" s="1"/>
  <c r="J6" i="46"/>
  <c r="AM4" i="47"/>
  <c r="AM5" i="47" s="1"/>
  <c r="AM6" i="47" s="1"/>
  <c r="AM7" i="47" s="1"/>
  <c r="AV5" i="47"/>
  <c r="AV6" i="47" s="1"/>
  <c r="AV7" i="47" s="1"/>
  <c r="I4" i="47"/>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G5" i="47"/>
  <c r="G6" i="47" s="1"/>
  <c r="G7" i="47" s="1"/>
  <c r="G10" i="47" s="1"/>
  <c r="T36" i="55"/>
  <c r="T37" i="55"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T9" i="47"/>
  <c r="AB9" i="47"/>
  <c r="AB10" i="47"/>
  <c r="AV10" i="47"/>
  <c r="AV9"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K7" i="46"/>
  <c r="K8" i="46" s="1"/>
  <c r="AN7" i="46"/>
  <c r="AN8" i="46" s="1"/>
  <c r="AM7" i="46"/>
  <c r="AM8" i="46" s="1"/>
  <c r="X7" i="46"/>
  <c r="X8" i="46" s="1"/>
  <c r="P7" i="46"/>
  <c r="P8" i="46" s="1"/>
  <c r="N7" i="46"/>
  <c r="N8" i="46" s="1"/>
  <c r="AO7" i="46"/>
  <c r="AO8" i="46" s="1"/>
  <c r="R7" i="46"/>
  <c r="R8" i="46" s="1"/>
  <c r="AM10" i="47" l="1"/>
  <c r="AM9" i="47"/>
  <c r="G9" i="47"/>
  <c r="AO10" i="47"/>
  <c r="AI9" i="47"/>
  <c r="AI11" i="47" s="1"/>
  <c r="F9" i="47"/>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F11" i="47"/>
  <c r="F12" i="47"/>
  <c r="G11" i="47"/>
  <c r="G12" i="47"/>
  <c r="M12" i="47"/>
  <c r="M11" i="47"/>
  <c r="AF11" i="47"/>
  <c r="AF12" i="47"/>
  <c r="H12" i="47"/>
  <c r="H11" i="47"/>
  <c r="AO11" i="47"/>
  <c r="AO12" i="47"/>
  <c r="T12" i="47"/>
  <c r="T11" i="47"/>
  <c r="R11" i="47"/>
  <c r="R12" i="47"/>
  <c r="AA12" i="47"/>
  <c r="AA11" i="47"/>
  <c r="Z12" i="47"/>
  <c r="Z11" i="47"/>
  <c r="AS12" i="47" l="1"/>
  <c r="AN12" i="47"/>
  <c r="AU12" i="47"/>
  <c r="AI12" i="47"/>
  <c r="V12" i="47"/>
  <c r="V13" i="47" s="1"/>
  <c r="V14" i="47" s="1"/>
  <c r="V16" i="47" s="1"/>
  <c r="V17" i="47" s="1"/>
  <c r="AH12" i="47"/>
  <c r="AH13" i="47" s="1"/>
  <c r="AH14" i="47" s="1"/>
  <c r="AH16" i="47" s="1"/>
  <c r="AH17" i="47" s="1"/>
  <c r="S12" i="47"/>
  <c r="S13" i="47" s="1"/>
  <c r="S14" i="47" s="1"/>
  <c r="S16" i="47" s="1"/>
  <c r="S17" i="47" s="1"/>
  <c r="AY11" i="47"/>
  <c r="AY13" i="47" s="1"/>
  <c r="AY14" i="47" s="1"/>
  <c r="AY16" i="47" s="1"/>
  <c r="AY17" i="47" s="1"/>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N13" i="47"/>
  <c r="N14" i="47" s="1"/>
  <c r="N16" i="47" s="1"/>
  <c r="N17" i="47" s="1"/>
  <c r="P13" i="47"/>
  <c r="P14" i="47" s="1"/>
  <c r="P16" i="47" s="1"/>
  <c r="P17" i="47" s="1"/>
  <c r="AA13" i="47"/>
  <c r="AA14" i="47" s="1"/>
  <c r="AA16" i="47" s="1"/>
  <c r="AA17" i="47" s="1"/>
  <c r="T13" i="47"/>
  <c r="T14" i="47" s="1"/>
  <c r="T16" i="47" s="1"/>
  <c r="T17" i="47" s="1"/>
  <c r="AD13" i="47"/>
  <c r="AD14" i="47" s="1"/>
  <c r="AD16" i="47" s="1"/>
  <c r="AD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L52" i="55" s="1"/>
  <c r="AL53" i="55" s="1"/>
  <c r="AA38" i="55"/>
  <c r="AB34"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V45" i="55" s="1"/>
  <c r="AV46" i="55" s="1"/>
  <c r="AW54" i="55"/>
  <c r="AX50"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l="1"/>
  <c r="AA26" i="47"/>
  <c r="J25" i="47"/>
  <c r="X26" i="47"/>
  <c r="U25" i="47"/>
  <c r="U28" i="47" s="1"/>
  <c r="U29" i="47" s="1"/>
  <c r="U31" i="47" s="1"/>
  <c r="U33" i="47" s="1"/>
  <c r="U34" i="47" s="1"/>
  <c r="U35" i="47" s="1"/>
  <c r="X27" i="47"/>
  <c r="E27" i="47"/>
  <c r="E25" i="47"/>
  <c r="E26" i="47"/>
  <c r="W26" i="47"/>
  <c r="I27" i="47"/>
  <c r="W27" i="47"/>
  <c r="H27" i="47"/>
  <c r="AA25" i="47"/>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J28" i="47" l="1"/>
  <c r="J29" i="47" s="1"/>
  <c r="J31" i="47" s="1"/>
  <c r="J33" i="47" s="1"/>
  <c r="J34" i="47" s="1"/>
  <c r="J35" i="47" s="1"/>
  <c r="X28" i="47"/>
  <c r="X29" i="47" s="1"/>
  <c r="X31" i="47" s="1"/>
  <c r="X33" i="47" s="1"/>
  <c r="X34" i="47" s="1"/>
  <c r="X35" i="47" s="1"/>
  <c r="AA28" i="47"/>
  <c r="AA29" i="47" s="1"/>
  <c r="AA31" i="47" s="1"/>
  <c r="AA33" i="47" s="1"/>
  <c r="AA34" i="47" s="1"/>
  <c r="AA35" i="47" s="1"/>
  <c r="L28" i="47"/>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<sst xmlns="http://schemas.openxmlformats.org/spreadsheetml/2006/main" count="1524" uniqueCount="278">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</sst>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20%*(1+50%)</f>
        <v>0.30000000000000004</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0.30000000000000004</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84890.572009976473</v>
      </c>
      <c r="F3" s="36">
        <f>TableIncome[[#This Row],[SalaryP2]]*$I$7</f>
        <v>139069.2117871271</v>
      </c>
      <c r="G3" s="16"/>
      <c r="H3" s="14" t="s">
        <v>63</v>
      </c>
      <c r="I3" s="15" cm="1">
        <f t="array" ref="I3:I7">'Salary Variables'!$C$4:$C$8</f>
        <v>0.03</v>
      </c>
      <c r="K3" s="57">
        <f>(TableIncome[[#This Row],[SalaryP1]]-TableIncome[[#This Row],[InvestmentP1]])/12</f>
        <v>16506.500113050977</v>
      </c>
      <c r="L3" s="57">
        <f>(TableIncome[[#This Row],[SalaryP2]]-TableIncome[[#This Row],[InvestmentP2]])/12</f>
        <v>27041.235625274701</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85751.151616588264</v>
      </c>
      <c r="F4" s="36">
        <f>TableIncome[[#This Row],[SalaryP2]]*$I$7</f>
        <v>140169.58595951038</v>
      </c>
      <c r="G4" s="16"/>
      <c r="H4" s="14" t="s">
        <v>65</v>
      </c>
      <c r="I4" s="15">
        <v>9.9999999999999985E-3</v>
      </c>
      <c r="K4" s="57">
        <f>(TableIncome[[#This Row],[SalaryP1]]-TableIncome[[#This Row],[InvestmentP1]])/12</f>
        <v>16673.835036558823</v>
      </c>
      <c r="L4" s="57">
        <f>(TableIncome[[#This Row],[SalaryP2]]-TableIncome[[#This Row],[InvestmentP2]])/12</f>
        <v>27255.197269904787</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90097.078629977652</v>
      </c>
      <c r="F5" s="36">
        <f>TableIncome[[#This Row],[SalaryP2]]*$I$7</f>
        <v>145726.47553004589</v>
      </c>
      <c r="G5" s="16"/>
      <c r="H5" s="14" t="s">
        <v>64</v>
      </c>
      <c r="I5" s="15">
        <v>0.06</v>
      </c>
      <c r="K5" s="57">
        <f>(TableIncome[[#This Row],[SalaryP1]]-TableIncome[[#This Row],[InvestmentP1]])/12</f>
        <v>17518.876400273428</v>
      </c>
      <c r="L5" s="57">
        <f>(TableIncome[[#This Row],[SalaryP2]]-TableIncome[[#This Row],[InvestmentP2]])/12</f>
        <v>28335.703575286694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91009.72330278944</v>
      </c>
      <c r="F6" s="36">
        <f>TableIncome[[#This Row],[SalaryP2]]*$I$7</f>
        <v>146893.42233985837</v>
      </c>
      <c r="G6" s="16"/>
      <c r="H6" s="14" t="s">
        <v>175</v>
      </c>
      <c r="I6" s="15">
        <v>3.9999999999999994E-2</v>
      </c>
      <c r="K6" s="57">
        <f>(TableIncome[[#This Row],[SalaryP1]]-TableIncome[[#This Row],[InvestmentP1]])/12</f>
        <v>17696.3350866535</v>
      </c>
      <c r="L6" s="57">
        <f>(TableIncome[[#This Row],[SalaryP2]]-TableIncome[[#This Row],[InvestmentP2]])/12</f>
        <v>28562.609899416897</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91931.494422329299</v>
      </c>
      <c r="F7" s="36">
        <f>TableIncome[[#This Row],[SalaryP2]]*$I$7</f>
        <v>148072.03861776891</v>
      </c>
      <c r="G7" s="16"/>
      <c r="H7" s="14" t="s">
        <v>76</v>
      </c>
      <c r="I7" s="15">
        <v>0.30000000000000004</v>
      </c>
      <c r="K7" s="57">
        <f>(TableIncome[[#This Row],[SalaryP1]]-TableIncome[[#This Row],[InvestmentP1]])/12</f>
        <v>17875.568359897359</v>
      </c>
      <c r="L7" s="57">
        <f>(TableIncome[[#This Row],[SalaryP2]]-TableIncome[[#This Row],[InvestmentP2]])/12</f>
        <v>28791.785286788392</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92862.483253064609</v>
      </c>
      <c r="F8" s="36">
        <f>TableIncome[[#This Row],[SalaryP2]]*$I$7</f>
        <v>149262.44105845859</v>
      </c>
      <c r="G8" s="16"/>
      <c r="I8" s="17"/>
      <c r="K8" s="57">
        <f>(TableIncome[[#This Row],[SalaryP1]]-TableIncome[[#This Row],[InvestmentP1]])/12</f>
        <v>18056.593965873672</v>
      </c>
      <c r="L8" s="57">
        <f>(TableIncome[[#This Row],[SalaryP2]]-TableIncome[[#This Row],[InvestmentP2]])/12</f>
        <v>29023.252428033607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97563.976848277875</v>
      </c>
      <c r="F9" s="36">
        <f>TableIncome[[#This Row],[SalaryP2]]*$I$7</f>
        <v>155273.97338394151</v>
      </c>
      <c r="G9" s="16"/>
      <c r="K9" s="57">
        <f>(TableIncome[[#This Row],[SalaryP1]]-TableIncome[[#This Row],[InvestmentP1]])/12</f>
        <v>18970.773276054028</v>
      </c>
      <c r="L9" s="57">
        <f>(TableIncome[[#This Row],[SalaryP2]]-TableIncome[[#This Row],[InvestmentP2]])/12</f>
        <v>30192.161491321956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98551.290503272656</v>
      </c>
      <c r="F10" s="36">
        <f>TableIncome[[#This Row],[SalaryP2]]*$I$7</f>
        <v>156536.39517229292</v>
      </c>
      <c r="G10" s="16"/>
      <c r="H10" s="28"/>
      <c r="K10" s="57">
        <f>(TableIncome[[#This Row],[SalaryP1]]-TableIncome[[#This Row],[InvestmentP1]])/12</f>
        <v>19162.750931191898</v>
      </c>
      <c r="L10" s="57">
        <f>(TableIncome[[#This Row],[SalaryP2]]-TableIncome[[#This Row],[InvestmentP2]])/12</f>
        <v>30437.632394612505</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99548.477294817378</v>
      </c>
      <c r="F11" s="36">
        <f>TableIncome[[#This Row],[SalaryP2]]*$I$7</f>
        <v>157811.44117852786</v>
      </c>
      <c r="G11" s="16"/>
      <c r="K11" s="57">
        <f>(TableIncome[[#This Row],[SalaryP1]]-TableIncome[[#This Row],[InvestmentP1]])/12</f>
        <v>19356.648362881151</v>
      </c>
      <c r="L11" s="57">
        <f>(TableIncome[[#This Row],[SalaryP2]]-TableIncome[[#This Row],[InvestmentP2]])/12</f>
        <v>30685.558006935968</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100555.63595427755</v>
      </c>
      <c r="F12" s="36">
        <f>TableIncome[[#This Row],[SalaryP2]]*$I$7</f>
        <v>159099.23764482516</v>
      </c>
      <c r="G12" s="16"/>
      <c r="K12" s="57">
        <f>(TableIncome[[#This Row],[SalaryP1]]-TableIncome[[#This Row],[InvestmentP1]])/12</f>
        <v>19552.484768887298</v>
      </c>
      <c r="L12" s="57">
        <f>(TableIncome[[#This Row],[SalaryP2]]-TableIncome[[#This Row],[InvestmentP2]])/12</f>
        <v>30935.962875382666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105641.7871845514</v>
      </c>
      <c r="F13" s="36">
        <f>TableIncome[[#This Row],[SalaryP2]]*$I$7</f>
        <v>165602.60979962643</v>
      </c>
      <c r="G13" s="16"/>
      <c r="K13" s="57">
        <f>(TableIncome[[#This Row],[SalaryP1]]-TableIncome[[#This Row],[InvestmentP1]])/12</f>
        <v>20541.458619218323</v>
      </c>
      <c r="L13" s="57">
        <f>(TableIncome[[#This Row],[SalaryP2]]-TableIncome[[#This Row],[InvestmentP2]])/12</f>
        <v>32200.507461038465</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106709.87894290895</v>
      </c>
      <c r="F14" s="36">
        <f>TableIncome[[#This Row],[SalaryP2]]*$I$7</f>
        <v>166968.3179521347</v>
      </c>
      <c r="G14" s="16"/>
      <c r="K14" s="57">
        <f>(TableIncome[[#This Row],[SalaryP1]]-TableIncome[[#This Row],[InvestmentP1]])/12</f>
        <v>20749.143127787847</v>
      </c>
      <c r="L14" s="57">
        <f>(TableIncome[[#This Row],[SalaryP2]]-TableIncome[[#This Row],[InvestmentP2]])/12</f>
        <v>32466.061824026183</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107788.65161885002</v>
      </c>
      <c r="F15" s="36">
        <f>TableIncome[[#This Row],[SalaryP2]]*$I$7</f>
        <v>168347.68318616803</v>
      </c>
      <c r="G15" s="16"/>
      <c r="K15" s="57">
        <f>(TableIncome[[#This Row],[SalaryP1]]-TableIncome[[#This Row],[InvestmentP1]])/12</f>
        <v>20958.904481443056</v>
      </c>
      <c r="L15" s="57">
        <f>(TableIncome[[#This Row],[SalaryP2]]-TableIncome[[#This Row],[InvestmentP2]])/12</f>
        <v>32734.271730643781</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113236.45363235252</v>
      </c>
      <c r="F16" s="36">
        <f>TableIncome[[#This Row],[SalaryP2]]*$I$7</f>
        <v>175313.47761803644</v>
      </c>
      <c r="G16" s="16"/>
      <c r="K16" s="57">
        <f>(TableIncome[[#This Row],[SalaryP1]]-TableIncome[[#This Row],[InvestmentP1]])/12</f>
        <v>22018.199317401875</v>
      </c>
      <c r="L16" s="57">
        <f>(TableIncome[[#This Row],[SalaryP2]]-TableIncome[[#This Row],[InvestmentP2]])/12</f>
        <v>34088.731759062641</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114380.49205518806</v>
      </c>
      <c r="F17" s="36">
        <f>TableIncome[[#This Row],[SalaryP2]]*$I$7</f>
        <v>176776.29444872882</v>
      </c>
      <c r="G17" s="16"/>
      <c r="K17" s="57">
        <f>(TableIncome[[#This Row],[SalaryP1]]-TableIncome[[#This Row],[InvestmentP1]])/12</f>
        <v>22240.651232953231</v>
      </c>
      <c r="L17" s="57">
        <f>(TableIncome[[#This Row],[SalaryP2]]-TableIncome[[#This Row],[InvestmentP2]])/12</f>
        <v>34373.1683650306</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115535.97086225197</v>
      </c>
      <c r="F18" s="36">
        <f>TableIncome[[#This Row],[SalaryP2]]*$I$7</f>
        <v>178253.73944772809</v>
      </c>
      <c r="G18" s="16"/>
      <c r="K18" s="57">
        <f>(TableIncome[[#This Row],[SalaryP1]]-TableIncome[[#This Row],[InvestmentP1]])/12</f>
        <v>22465.327667660098</v>
      </c>
      <c r="L18" s="57">
        <f>(TableIncome[[#This Row],[SalaryP2]]-TableIncome[[#This Row],[InvestmentP2]])/12</f>
        <v>34660.449337058228</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116703.00445738647</v>
      </c>
      <c r="F19" s="36">
        <f>TableIncome[[#This Row],[SalaryP2]]*$I$7</f>
        <v>179745.95889671735</v>
      </c>
      <c r="G19" s="16"/>
      <c r="K19" s="57">
        <f>(TableIncome[[#This Row],[SalaryP1]]-TableIncome[[#This Row],[InvestmentP1]])/12</f>
        <v>22692.250866714032</v>
      </c>
      <c r="L19" s="57">
        <f>(TableIncome[[#This Row],[SalaryP2]]-TableIncome[[#This Row],[InvestmentP2]])/12</f>
        <v>34950.603118806139</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117881.70838847237</v>
      </c>
      <c r="F20" s="36">
        <f>TableIncome[[#This Row],[SalaryP2]]*$I$7</f>
        <v>181253.10054019658</v>
      </c>
      <c r="G20" s="16"/>
      <c r="K20" s="57">
        <f>(TableIncome[[#This Row],[SalaryP1]]-TableIncome[[#This Row],[InvestmentP1]])/12</f>
        <v>22921.443297758509</v>
      </c>
      <c r="L20" s="57">
        <f>(TableIncome[[#This Row],[SalaryP2]]-TableIncome[[#This Row],[InvestmentP2]])/12</f>
        <v>35243.658438371545</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123834.16324045594</v>
      </c>
      <c r="F21" s="36">
        <f>TableIncome[[#This Row],[SalaryP2]]*$I$7</f>
        <v>188864.16583976639</v>
      </c>
      <c r="G21" s="16"/>
      <c r="K21" s="57">
        <f>(TableIncome[[#This Row],[SalaryP1]]-TableIncome[[#This Row],[InvestmentP1]])/12</f>
        <v>24078.865074533096</v>
      </c>
      <c r="L21" s="57">
        <f>(TableIncome[[#This Row],[SalaryP2]]-TableIncome[[#This Row],[InvestmentP2]])/12</f>
        <v>36723.587802176793</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125084.17875937255</v>
      </c>
      <c r="F22" s="36">
        <f>TableIncome[[#This Row],[SalaryP2]]*$I$7</f>
        <v>190462.48955267607</v>
      </c>
      <c r="G22" s="16"/>
      <c r="K22" s="57">
        <f>(TableIncome[[#This Row],[SalaryP1]]-TableIncome[[#This Row],[InvestmentP1]])/12</f>
        <v>24321.923647655767</v>
      </c>
      <c r="L22" s="57">
        <f>(TableIncome[[#This Row],[SalaryP2]]-TableIncome[[#This Row],[InvestmentP2]])/12</f>
        <v>37034.372968575888</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126180.56176952885</v>
      </c>
      <c r="F23" s="36">
        <f>TableIncome[[#This Row],[SalaryP2]]*$I$7</f>
        <v>192076.79650271483</v>
      </c>
      <c r="G23" s="16"/>
      <c r="K23" s="57">
        <f>(TableIncome[[#This Row],[SalaryP1]]-TableIncome[[#This Row],[InvestmentP1]])/12</f>
        <v>24535.10923296394</v>
      </c>
      <c r="L23" s="57">
        <f>(TableIncome[[#This Row],[SalaryP2]]-TableIncome[[#This Row],[InvestmentP2]])/12</f>
        <v>37348.265986638988</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127152.04944173613</v>
      </c>
      <c r="F24" s="36">
        <f>TableIncome[[#This Row],[SalaryP2]]*$I$7</f>
        <v>193707.24652225402</v>
      </c>
      <c r="G24" s="16"/>
      <c r="K24" s="57">
        <f>(TableIncome[[#This Row],[SalaryP1]]-TableIncome[[#This Row],[InvestmentP1]])/12</f>
        <v>24724.009613670907</v>
      </c>
      <c r="L24" s="57">
        <f>(TableIncome[[#This Row],[SalaryP2]]-TableIncome[[#This Row],[InvestmentP2]])/12</f>
        <v>37665.297934882714</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132058.06218638297</v>
      </c>
      <c r="F25" s="36">
        <f>TableIncome[[#This Row],[SalaryP2]]*$I$7</f>
        <v>201941.01912092668</v>
      </c>
      <c r="G25" s="16"/>
      <c r="K25" s="57">
        <f>(TableIncome[[#This Row],[SalaryP1]]-TableIncome[[#This Row],[InvestmentP1]])/12</f>
        <v>25677.956536241127</v>
      </c>
      <c r="L25" s="57">
        <f>(TableIncome[[#This Row],[SalaryP2]]-TableIncome[[#This Row],[InvestmentP2]])/12</f>
        <v>39266.309273513514</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133088.32486275877</v>
      </c>
      <c r="F26" s="36">
        <f>TableIncome[[#This Row],[SalaryP2]]*$I$7</f>
        <v>203670.11136664794</v>
      </c>
      <c r="G26" s="16"/>
      <c r="K26" s="57">
        <f>(TableIncome[[#This Row],[SalaryP1]]-TableIncome[[#This Row],[InvestmentP1]])/12</f>
        <v>25878.285389980872</v>
      </c>
      <c r="L26" s="57">
        <f>(TableIncome[[#This Row],[SalaryP2]]-TableIncome[[#This Row],[InvestmentP2]])/12</f>
        <v>39602.521654625984</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134128.89016589837</v>
      </c>
      <c r="F27" s="36">
        <f>TableIncome[[#This Row],[SalaryP2]]*$I$7</f>
        <v>205416.49453482646</v>
      </c>
      <c r="G27" s="16"/>
      <c r="K27" s="57">
        <f>(TableIncome[[#This Row],[SalaryP1]]-TableIncome[[#This Row],[InvestmentP1]])/12</f>
        <v>26080.617532258009</v>
      </c>
      <c r="L27" s="57">
        <f>(TableIncome[[#This Row],[SalaryP2]]-TableIncome[[#This Row],[InvestmentP2]])/12</f>
        <v>39942.096159549576</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135179.86112206936</v>
      </c>
      <c r="F28" s="36">
        <f>TableIncome[[#This Row],[SalaryP2]]*$I$7</f>
        <v>207180.34153468671</v>
      </c>
      <c r="G28" s="16"/>
      <c r="K28" s="57">
        <f>(TableIncome[[#This Row],[SalaryP1]]-TableIncome[[#This Row],[InvestmentP1]])/12</f>
        <v>26284.972995957927</v>
      </c>
      <c r="L28" s="57">
        <f>(TableIncome[[#This Row],[SalaryP2]]-TableIncome[[#This Row],[InvestmentP2]])/12</f>
        <v>40285.066409522406</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136241.34178780208</v>
      </c>
      <c r="F29" s="36">
        <f>TableIncome[[#This Row],[SalaryP2]]*$I$7</f>
        <v>208961.8270045456</v>
      </c>
      <c r="G29" s="16"/>
      <c r="K29" s="57">
        <f>(TableIncome[[#This Row],[SalaryP1]]-TableIncome[[#This Row],[InvestmentP1]])/12</f>
        <v>26491.372014294844</v>
      </c>
      <c r="L29" s="57">
        <f>(TableIncome[[#This Row],[SalaryP2]]-TableIncome[[#This Row],[InvestmentP2]])/12</f>
        <v>40631.466361994972</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137313.43726019206</v>
      </c>
      <c r="F30" s="36">
        <f>TableIncome[[#This Row],[SalaryP2]]*$I$7</f>
        <v>210761.12732910304</v>
      </c>
      <c r="G30" s="16"/>
      <c r="K30" s="57">
        <f>(TableIncome[[#This Row],[SalaryP1]]-TableIncome[[#This Row],[InvestmentP1]])/12</f>
        <v>26699.835022815121</v>
      </c>
      <c r="L30" s="57">
        <f>(TableIncome[[#This Row],[SalaryP2]]-TableIncome[[#This Row],[InvestmentP2]])/12</f>
        <v>40981.33031399225</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138396.25368730602</v>
      </c>
      <c r="F31" s="36">
        <f>TableIncome[[#This Row],[SalaryP2]]*$I$7</f>
        <v>212578.42065690606</v>
      </c>
      <c r="G31" s="16"/>
      <c r="K31" s="57">
        <f>(TableIncome[[#This Row],[SalaryP1]]-TableIncome[[#This Row],[InvestmentP1]])/12</f>
        <v>26910.382661420605</v>
      </c>
      <c r="L31" s="57">
        <f>(TableIncome[[#This Row],[SalaryP2]]-TableIncome[[#This Row],[InvestmentP2]])/12</f>
        <v>41334.692905509502</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139489.89827869108</v>
      </c>
      <c r="F32" s="36">
        <f>TableIncome[[#This Row],[SalaryP2]]*$I$7</f>
        <v>214413.8869179872</v>
      </c>
      <c r="G32" s="16"/>
      <c r="K32" s="57">
        <f>(TableIncome[[#This Row],[SalaryP1]]-TableIncome[[#This Row],[InvestmentP1]])/12</f>
        <v>27123.035776412144</v>
      </c>
      <c r="L32" s="57">
        <f>(TableIncome[[#This Row],[SalaryP2]]-TableIncome[[#This Row],[InvestmentP2]])/12</f>
        <v>41691.589122941943</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140594.47931598997</v>
      </c>
      <c r="F33" s="36">
        <f>TableIncome[[#This Row],[SalaryP2]]*$I$7</f>
        <v>216267.70784167905</v>
      </c>
      <c r="G33" s="16"/>
      <c r="K33" s="57">
        <f>(TableIncome[[#This Row],[SalaryP1]]-TableIncome[[#This Row],[InvestmentP1]])/12</f>
        <v>27337.815422553598</v>
      </c>
      <c r="L33" s="57">
        <f>(TableIncome[[#This Row],[SalaryP2]]-TableIncome[[#This Row],[InvestmentP2]])/12</f>
        <v>42052.054302548691</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141710.10616366187</v>
      </c>
      <c r="F34" s="36">
        <f>TableIncome[[#This Row],[SalaryP2]]*$I$7</f>
        <v>218140.06697460782</v>
      </c>
      <c r="G34" s="16"/>
      <c r="K34" s="57">
        <f>(TableIncome[[#This Row],[SalaryP1]]-TableIncome[[#This Row],[InvestmentP1]])/12</f>
        <v>27554.74286515647</v>
      </c>
      <c r="L34" s="57">
        <f>(TableIncome[[#This Row],[SalaryP2]]-TableIncome[[#This Row],[InvestmentP2]])/12</f>
        <v>42416.124133951511</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142836.88927981048</v>
      </c>
      <c r="F35" s="36">
        <f>TableIncome[[#This Row],[SalaryP2]]*$I$7</f>
        <v>220031.14969886595</v>
      </c>
      <c r="G35" s="16"/>
      <c r="K35" s="57">
        <f>(TableIncome[[#This Row],[SalaryP1]]-TableIncome[[#This Row],[InvestmentP1]])/12</f>
        <v>27773.839582185366</v>
      </c>
      <c r="L35" s="57">
        <f>(TableIncome[[#This Row],[SalaryP2]]-TableIncome[[#This Row],[InvestmentP2]])/12</f>
        <v>42783.834663668364</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143974.94022712059</v>
      </c>
      <c r="F36" s="36">
        <f>TableIncome[[#This Row],[SalaryP2]]*$I$7</f>
        <v>221941.14325036653</v>
      </c>
      <c r="G36" s="16"/>
      <c r="K36" s="57">
        <f>(TableIncome[[#This Row],[SalaryP1]]-TableIncome[[#This Row],[InvestmentP1]])/12</f>
        <v>27995.127266384548</v>
      </c>
      <c r="L36" s="57">
        <f>(TableIncome[[#This Row],[SalaryP2]]-TableIncome[[#This Row],[InvestmentP2]])/12</f>
        <v>43155.222298682369</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145124.3716839038</v>
      </c>
      <c r="F37" s="36">
        <f>TableIncome[[#This Row],[SalaryP2]]*$I$7</f>
        <v>223870.23673738228</v>
      </c>
      <c r="G37" s="16"/>
      <c r="K37" s="57">
        <f>(TableIncome[[#This Row],[SalaryP1]]-TableIncome[[#This Row],[InvestmentP1]])/12</f>
        <v>28218.627827425735</v>
      </c>
      <c r="L37" s="57">
        <f>(TableIncome[[#This Row],[SalaryP2]]-TableIncome[[#This Row],[InvestmentP2]])/12</f>
        <v>43530.323810046546</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150929.00054065901</v>
      </c>
      <c r="F38" s="36">
        <f>TableIncome[[#This Row],[SalaryP2]]*$I$7</f>
        <v>0</v>
      </c>
      <c r="G38" s="16"/>
      <c r="K38" s="57">
        <f>(TableIncome[[#This Row],[SalaryP1]]-TableIncome[[#This Row],[InvestmentP1]])/12</f>
        <v>29347.305660683691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152147.97260057757</v>
      </c>
      <c r="F39" s="36">
        <f>TableIncome[[#This Row],[SalaryP2]]*$I$7</f>
        <v>0</v>
      </c>
      <c r="G39" s="16"/>
      <c r="K39" s="57">
        <f>(TableIncome[[#This Row],[SalaryP1]]-TableIncome[[#This Row],[InvestmentP1]])/12</f>
        <v>29584.32800566786</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153379.13438109535</v>
      </c>
      <c r="F40" s="36">
        <f>TableIncome[[#This Row],[SalaryP2]]*$I$7</f>
        <v>0</v>
      </c>
      <c r="G40" s="16"/>
      <c r="K40" s="57">
        <f>(TableIncome[[#This Row],[SalaryP1]]-TableIncome[[#This Row],[InvestmentP1]])/12</f>
        <v>29823.720574101866</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154622.60777941829</v>
      </c>
      <c r="F41" s="36">
        <f>TableIncome[[#This Row],[SalaryP2]]*$I$7</f>
        <v>0</v>
      </c>
      <c r="G41" s="16"/>
      <c r="K41" s="57">
        <f>(TableIncome[[#This Row],[SalaryP1]]-TableIncome[[#This Row],[InvestmentP1]])/12</f>
        <v>30065.50706822022</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155878.51591172448</v>
      </c>
      <c r="F42" s="36">
        <f>TableIncome[[#This Row],[SalaryP2]]*$I$7</f>
        <v>0</v>
      </c>
      <c r="G42" s="16"/>
      <c r="K42" s="57">
        <f>(TableIncome[[#This Row],[SalaryP1]]-TableIncome[[#This Row],[InvestmentP1]])/12</f>
        <v>30309.711427279752</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157146.98312535376</v>
      </c>
      <c r="F43" s="36">
        <f>TableIncome[[#This Row],[SalaryP2]]*$I$7</f>
        <v>0</v>
      </c>
      <c r="G43" s="16"/>
      <c r="K43" s="57">
        <f>(TableIncome[[#This Row],[SalaryP1]]-TableIncome[[#This Row],[InvestmentP1]])/12</f>
        <v>30556.357829929886</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158428.13501111927</v>
      </c>
      <c r="F44" s="36">
        <f>TableIncome[[#This Row],[SalaryP2]]*$I$7</f>
        <v>0</v>
      </c>
      <c r="G44" s="16"/>
      <c r="K44" s="57">
        <f>(TableIncome[[#This Row],[SalaryP1]]-TableIncome[[#This Row],[InvestmentP1]])/12</f>
        <v>30805.470696606517</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159722.09841574248</v>
      </c>
      <c r="F45" s="36">
        <f>TableIncome[[#This Row],[SalaryP2]]*$I$7</f>
        <v>0</v>
      </c>
      <c r="G45" s="16"/>
      <c r="K45" s="57">
        <f>(TableIncome[[#This Row],[SalaryP1]]-TableIncome[[#This Row],[InvestmentP1]])/12</f>
        <v>31057.074691949918</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161029.00145441192</v>
      </c>
      <c r="F46" s="36">
        <f>TableIncome[[#This Row],[SalaryP2]]*$I$7</f>
        <v>0</v>
      </c>
      <c r="G46" s="16"/>
      <c r="K46" s="57">
        <f>(TableIncome[[#This Row],[SalaryP1]]-TableIncome[[#This Row],[InvestmentP1]])/12</f>
        <v>31311.194727246755</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162348.97352346798</v>
      </c>
      <c r="F47" s="36">
        <f>TableIncome[[#This Row],[SalaryP2]]*$I$7</f>
        <v>0</v>
      </c>
      <c r="G47" s="16"/>
      <c r="K47" s="57">
        <f>(TableIncome[[#This Row],[SalaryP1]]-TableIncome[[#This Row],[InvestmentP1]])/12</f>
        <v>31567.855962896545</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163682.14531321469</v>
      </c>
      <c r="F48" s="36">
        <f>TableIncome[[#This Row],[SalaryP2]]*$I$7</f>
        <v>0</v>
      </c>
      <c r="G48" s="16"/>
      <c r="K48" s="57">
        <f>(TableIncome[[#This Row],[SalaryP1]]-TableIncome[[#This Row],[InvestmentP1]])/12</f>
        <v>31827.083810902845</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165028.64882085883</v>
      </c>
      <c r="F49" s="36">
        <f>TableIncome[[#This Row],[SalaryP2]]*$I$7</f>
        <v>0</v>
      </c>
      <c r="K49" s="57">
        <f>(TableIncome[[#This Row],[SalaryP1]]-TableIncome[[#This Row],[InvestmentP1]])/12</f>
        <v>32088.903937389212</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166388.6173635794</v>
      </c>
      <c r="F50" s="36">
        <f>TableIncome[[#This Row],[SalaryP2]]*$I$7</f>
        <v>0</v>
      </c>
      <c r="K50" s="57">
        <f>(TableIncome[[#This Row],[SalaryP1]]-TableIncome[[#This Row],[InvestmentP1]])/12</f>
        <v>32353.342265140436</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167762.1855917272</v>
      </c>
      <c r="F51" s="36">
        <f>TableIncome[[#This Row],[SalaryP2]]*$I$7</f>
        <v>0</v>
      </c>
      <c r="K51" s="57">
        <f>(TableIncome[[#This Row],[SalaryP1]]-TableIncome[[#This Row],[InvestmentP1]])/12</f>
        <v>32620.424976169175</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169149.4895021565</v>
      </c>
      <c r="F52" s="36">
        <f>TableIncome[[#This Row],[SalaryP2]]*$I$7</f>
        <v>0</v>
      </c>
      <c r="K52" s="57">
        <f>(TableIncome[[#This Row],[SalaryP1]]-TableIncome[[#This Row],[InvestmentP1]])/12</f>
        <v>32890.178514308202</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43530.323810046546</v>
      </c>
      <c r="F32" s="26">
        <f>Income!$L$37</f>
        <v>43530.323810046546</v>
      </c>
      <c r="G32" s="26">
        <f>Income!$L$37</f>
        <v>43530.323810046546</v>
      </c>
      <c r="H32" s="26">
        <f>Income!$L$37</f>
        <v>43530.323810046546</v>
      </c>
      <c r="I32" s="26">
        <f>Income!$L$37</f>
        <v>43530.323810046546</v>
      </c>
      <c r="J32" s="26">
        <f>Income!$L$37</f>
        <v>43530.323810046546</v>
      </c>
      <c r="K32" s="26">
        <f>Income!$L$37</f>
        <v>43530.323810046546</v>
      </c>
      <c r="L32" s="26">
        <f>Income!$L$37</f>
        <v>43530.323810046546</v>
      </c>
      <c r="M32" s="26">
        <f>Income!$L$37</f>
        <v>43530.323810046546</v>
      </c>
      <c r="N32" s="26">
        <f>Income!$L$37</f>
        <v>43530.323810046546</v>
      </c>
      <c r="O32" s="26">
        <f>Income!$L$37</f>
        <v>43530.323810046546</v>
      </c>
      <c r="P32" s="26">
        <f>Income!$L$37</f>
        <v>43530.323810046546</v>
      </c>
      <c r="Q32" s="26">
        <f>Income!$L$37</f>
        <v>43530.323810046546</v>
      </c>
      <c r="R32" s="26">
        <f>Income!$L$37</f>
        <v>43530.323810046546</v>
      </c>
      <c r="S32" s="26">
        <f>Income!$L$37</f>
        <v>43530.323810046546</v>
      </c>
      <c r="T32" s="26">
        <f>Income!$L$37</f>
        <v>43530.323810046546</v>
      </c>
      <c r="U32" s="26">
        <f>Income!$L$37</f>
        <v>43530.323810046546</v>
      </c>
      <c r="V32" s="26">
        <f>Income!$L$37</f>
        <v>43530.323810046546</v>
      </c>
      <c r="W32" s="26">
        <f>Income!$L$37</f>
        <v>43530.323810046546</v>
      </c>
      <c r="X32" s="26">
        <f>Income!$L$37</f>
        <v>43530.323810046546</v>
      </c>
      <c r="Y32" s="26">
        <f>Income!$L$37</f>
        <v>43530.323810046546</v>
      </c>
      <c r="Z32" s="26">
        <f>Income!$L$37</f>
        <v>43530.323810046546</v>
      </c>
      <c r="AA32" s="26">
        <f>Income!$L$37</f>
        <v>43530.323810046546</v>
      </c>
      <c r="AB32" s="26">
        <f>Income!$L$37</f>
        <v>43530.323810046546</v>
      </c>
      <c r="AC32" s="26">
        <f>Income!$L$37</f>
        <v>43530.323810046546</v>
      </c>
      <c r="BI32" s="2">
        <v>60074.363289355279</v>
      </c>
    </row>
    <row r="33" spans="4:61" x14ac:dyDescent="0.2">
      <c r="D33" s="2" t="s">
        <v>204</v>
      </c>
      <c r="E33" s="26">
        <f>E32-E31</f>
        <v>4838.2309093469739</v>
      </c>
      <c r="F33" s="26">
        <f t="shared" ref="F33:AC33" si="33">F32-F31</f>
        <v>4838.2309093469739</v>
      </c>
      <c r="G33" s="26">
        <f t="shared" si="33"/>
        <v>4838.2309093469739</v>
      </c>
      <c r="H33" s="26">
        <f t="shared" si="33"/>
        <v>4838.2309093469739</v>
      </c>
      <c r="I33" s="26">
        <f t="shared" si="33"/>
        <v>4838.2309093469739</v>
      </c>
      <c r="J33" s="26">
        <f t="shared" si="33"/>
        <v>4838.2309093469739</v>
      </c>
      <c r="K33" s="26">
        <f t="shared" si="33"/>
        <v>4838.2309093469739</v>
      </c>
      <c r="L33" s="26">
        <f t="shared" si="33"/>
        <v>4838.2309093469739</v>
      </c>
      <c r="M33" s="26">
        <f t="shared" si="33"/>
        <v>4838.2309093469739</v>
      </c>
      <c r="N33" s="26">
        <f t="shared" si="33"/>
        <v>4838.2309093469739</v>
      </c>
      <c r="O33" s="26">
        <f t="shared" si="33"/>
        <v>4838.2309093469739</v>
      </c>
      <c r="P33" s="26">
        <f t="shared" si="33"/>
        <v>4838.2309093469739</v>
      </c>
      <c r="Q33" s="26">
        <f t="shared" si="33"/>
        <v>4838.2309093469739</v>
      </c>
      <c r="R33" s="26">
        <f t="shared" si="33"/>
        <v>4838.2309093469739</v>
      </c>
      <c r="S33" s="26">
        <f t="shared" si="33"/>
        <v>4838.2309093469739</v>
      </c>
      <c r="T33" s="26">
        <f t="shared" si="33"/>
        <v>4838.2309093469739</v>
      </c>
      <c r="U33" s="26">
        <f t="shared" si="33"/>
        <v>4838.2309093469739</v>
      </c>
      <c r="V33" s="26">
        <f t="shared" si="33"/>
        <v>4838.2309093469739</v>
      </c>
      <c r="W33" s="26">
        <f t="shared" si="33"/>
        <v>4838.2309093469739</v>
      </c>
      <c r="X33" s="26">
        <f t="shared" si="33"/>
        <v>4838.2309093469739</v>
      </c>
      <c r="Y33" s="26">
        <f t="shared" si="33"/>
        <v>4838.2309093469739</v>
      </c>
      <c r="Z33" s="26">
        <f t="shared" si="33"/>
        <v>4838.2309093469739</v>
      </c>
      <c r="AA33" s="26">
        <f t="shared" si="33"/>
        <v>4838.2309093469739</v>
      </c>
      <c r="AB33" s="26">
        <f t="shared" si="33"/>
        <v>4838.2309093469739</v>
      </c>
      <c r="AC33" s="26">
        <f t="shared" si="33"/>
        <v>4838.2309093469739</v>
      </c>
      <c r="BI33" s="2">
        <v>60594.463048502163</v>
      </c>
    </row>
    <row r="34" spans="4:61" x14ac:dyDescent="0.2">
      <c r="D34" s="2" t="s">
        <v>264</v>
      </c>
      <c r="E34" s="26">
        <f>E33*(1+$B$10)</f>
        <v>6144.5532548706569</v>
      </c>
      <c r="F34" s="26">
        <f t="shared" ref="F34:AC34" si="34">F33*(1+$B$10)</f>
        <v>6144.5532548706569</v>
      </c>
      <c r="G34" s="26">
        <f t="shared" si="34"/>
        <v>6144.5532548706569</v>
      </c>
      <c r="H34" s="26">
        <f t="shared" si="34"/>
        <v>6144.5532548706569</v>
      </c>
      <c r="I34" s="26">
        <f t="shared" si="34"/>
        <v>6144.5532548706569</v>
      </c>
      <c r="J34" s="26">
        <f t="shared" si="34"/>
        <v>6144.5532548706569</v>
      </c>
      <c r="K34" s="26">
        <f t="shared" si="34"/>
        <v>6144.5532548706569</v>
      </c>
      <c r="L34" s="26">
        <f t="shared" si="34"/>
        <v>6144.5532548706569</v>
      </c>
      <c r="M34" s="26">
        <f t="shared" si="34"/>
        <v>6144.5532548706569</v>
      </c>
      <c r="N34" s="26">
        <f t="shared" si="34"/>
        <v>6144.5532548706569</v>
      </c>
      <c r="O34" s="26">
        <f t="shared" si="34"/>
        <v>6144.5532548706569</v>
      </c>
      <c r="P34" s="26">
        <f t="shared" si="34"/>
        <v>6144.5532548706569</v>
      </c>
      <c r="Q34" s="26">
        <f t="shared" si="34"/>
        <v>6144.5532548706569</v>
      </c>
      <c r="R34" s="26">
        <f t="shared" si="34"/>
        <v>6144.5532548706569</v>
      </c>
      <c r="S34" s="26">
        <f t="shared" si="34"/>
        <v>6144.5532548706569</v>
      </c>
      <c r="T34" s="26">
        <f t="shared" si="34"/>
        <v>6144.5532548706569</v>
      </c>
      <c r="U34" s="26">
        <f t="shared" si="34"/>
        <v>6144.5532548706569</v>
      </c>
      <c r="V34" s="26">
        <f t="shared" si="34"/>
        <v>6144.5532548706569</v>
      </c>
      <c r="W34" s="26">
        <f t="shared" si="34"/>
        <v>6144.5532548706569</v>
      </c>
      <c r="X34" s="26">
        <f t="shared" si="34"/>
        <v>6144.5532548706569</v>
      </c>
      <c r="Y34" s="26">
        <f t="shared" si="34"/>
        <v>6144.5532548706569</v>
      </c>
      <c r="Z34" s="26">
        <f t="shared" si="34"/>
        <v>6144.5532548706569</v>
      </c>
      <c r="AA34" s="26">
        <f t="shared" si="34"/>
        <v>6144.5532548706569</v>
      </c>
      <c r="AB34" s="26">
        <f t="shared" si="34"/>
        <v>6144.5532548706569</v>
      </c>
      <c r="AC34" s="26">
        <f t="shared" si="34"/>
        <v>6144.5532548706569</v>
      </c>
      <c r="BI34" s="2">
        <v>61119.763805240531</v>
      </c>
    </row>
    <row r="35" spans="4:61" x14ac:dyDescent="0.2">
      <c r="D35" s="2" t="s">
        <v>265</v>
      </c>
      <c r="E35" s="26">
        <f>E34*12</f>
        <v>73734.63905844788</v>
      </c>
      <c r="F35" s="26">
        <f t="shared" ref="F35:AC35" si="35">F34*12</f>
        <v>73734.63905844788</v>
      </c>
      <c r="G35" s="26">
        <f t="shared" si="35"/>
        <v>73734.63905844788</v>
      </c>
      <c r="H35" s="26">
        <f t="shared" si="35"/>
        <v>73734.63905844788</v>
      </c>
      <c r="I35" s="26">
        <f t="shared" si="35"/>
        <v>73734.63905844788</v>
      </c>
      <c r="J35" s="26">
        <f t="shared" si="35"/>
        <v>73734.63905844788</v>
      </c>
      <c r="K35" s="26">
        <f t="shared" si="35"/>
        <v>73734.63905844788</v>
      </c>
      <c r="L35" s="26">
        <f t="shared" si="35"/>
        <v>73734.63905844788</v>
      </c>
      <c r="M35" s="26">
        <f t="shared" si="35"/>
        <v>73734.63905844788</v>
      </c>
      <c r="N35" s="26">
        <f t="shared" si="35"/>
        <v>73734.63905844788</v>
      </c>
      <c r="O35" s="26">
        <f t="shared" si="35"/>
        <v>73734.63905844788</v>
      </c>
      <c r="P35" s="26">
        <f t="shared" si="35"/>
        <v>73734.63905844788</v>
      </c>
      <c r="Q35" s="26">
        <f t="shared" si="35"/>
        <v>73734.63905844788</v>
      </c>
      <c r="R35" s="26">
        <f t="shared" si="35"/>
        <v>73734.63905844788</v>
      </c>
      <c r="S35" s="26">
        <f t="shared" si="35"/>
        <v>73734.63905844788</v>
      </c>
      <c r="T35" s="26">
        <f t="shared" si="35"/>
        <v>73734.63905844788</v>
      </c>
      <c r="U35" s="26">
        <f t="shared" si="35"/>
        <v>73734.63905844788</v>
      </c>
      <c r="V35" s="26">
        <f t="shared" si="35"/>
        <v>73734.63905844788</v>
      </c>
      <c r="W35" s="26">
        <f t="shared" si="35"/>
        <v>73734.63905844788</v>
      </c>
      <c r="X35" s="26">
        <f t="shared" si="35"/>
        <v>73734.63905844788</v>
      </c>
      <c r="Y35" s="26">
        <f t="shared" si="35"/>
        <v>73734.63905844788</v>
      </c>
      <c r="Z35" s="26">
        <f t="shared" si="35"/>
        <v>73734.63905844788</v>
      </c>
      <c r="AA35" s="26">
        <f t="shared" si="35"/>
        <v>73734.63905844788</v>
      </c>
      <c r="AB35" s="26">
        <f t="shared" si="35"/>
        <v>73734.63905844788</v>
      </c>
      <c r="AC35" s="26">
        <f t="shared" si="35"/>
        <v>73734.63905844788</v>
      </c>
      <c r="BI35" s="2">
        <v>61650.317569546249</v>
      </c>
    </row>
    <row r="36" spans="4:61" x14ac:dyDescent="0.2">
      <c r="BI36" s="2">
        <v>62186.176871495067</v>
      </c>
    </row>
    <row r="37" spans="4:61" x14ac:dyDescent="0.2">
      <c r="D37" s="2" t="s">
        <v>205</v>
      </c>
      <c r="E37" s="27">
        <f>SUM(E35:AC35)</f>
        <v>1843365.9764611975</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32890.178514308202</v>
      </c>
      <c r="F32" s="26">
        <f>Income!$K$52</f>
        <v>32890.178514308202</v>
      </c>
      <c r="G32" s="26">
        <f>Income!$K$52</f>
        <v>32890.178514308202</v>
      </c>
      <c r="H32" s="26">
        <f>Income!$K$52</f>
        <v>32890.178514308202</v>
      </c>
      <c r="I32" s="26">
        <f>Income!$K$52</f>
        <v>32890.178514308202</v>
      </c>
      <c r="J32" s="26">
        <f>Income!$K$52</f>
        <v>32890.178514308202</v>
      </c>
      <c r="K32" s="26">
        <f>Income!$K$52</f>
        <v>32890.178514308202</v>
      </c>
      <c r="L32" s="26">
        <f>Income!$K$52</f>
        <v>32890.178514308202</v>
      </c>
      <c r="M32" s="26">
        <f>Income!$K$52</f>
        <v>32890.178514308202</v>
      </c>
      <c r="N32" s="26">
        <f>Income!$K$52</f>
        <v>32890.178514308202</v>
      </c>
      <c r="O32" s="26">
        <f>Income!$K$52</f>
        <v>32890.178514308202</v>
      </c>
      <c r="P32" s="26">
        <f>Income!$K$52</f>
        <v>32890.178514308202</v>
      </c>
      <c r="Q32" s="26">
        <f>Income!$K$52</f>
        <v>32890.178514308202</v>
      </c>
      <c r="R32" s="26">
        <f>Income!$K$52</f>
        <v>32890.178514308202</v>
      </c>
      <c r="S32" s="26">
        <f>Income!$K$52</f>
        <v>32890.178514308202</v>
      </c>
      <c r="T32" s="26">
        <f>Income!$K$52</f>
        <v>32890.178514308202</v>
      </c>
      <c r="U32" s="26">
        <f>Income!$K$52</f>
        <v>32890.178514308202</v>
      </c>
      <c r="V32" s="26">
        <f>Income!$K$52</f>
        <v>32890.178514308202</v>
      </c>
      <c r="W32" s="26">
        <f>Income!$K$52</f>
        <v>32890.178514308202</v>
      </c>
      <c r="X32" s="26">
        <f>Income!$K$52</f>
        <v>32890.178514308202</v>
      </c>
      <c r="Y32" s="26">
        <f>Income!$K$52</f>
        <v>32890.178514308202</v>
      </c>
      <c r="Z32" s="26">
        <f>Income!$K$52</f>
        <v>32890.178514308202</v>
      </c>
      <c r="AA32" s="26">
        <f>Income!$K$52</f>
        <v>32890.178514308202</v>
      </c>
      <c r="AB32" s="26">
        <f>Income!$K$52</f>
        <v>32890.178514308202</v>
      </c>
      <c r="AC32" s="26">
        <f>Income!$K$52</f>
        <v>32890.178514308202</v>
      </c>
      <c r="BI32" s="2">
        <v>39054.022032219429</v>
      </c>
    </row>
    <row r="33" spans="4:61" x14ac:dyDescent="0.2">
      <c r="D33" s="2" t="s">
        <v>204</v>
      </c>
      <c r="E33" s="26">
        <f>E32-E31</f>
        <v>194.49506766328705</v>
      </c>
      <c r="F33" s="26">
        <f t="shared" ref="F33:AC33" si="33">F32-F31</f>
        <v>194.49506766328705</v>
      </c>
      <c r="G33" s="26">
        <f t="shared" si="33"/>
        <v>194.49506766328705</v>
      </c>
      <c r="H33" s="26">
        <f t="shared" si="33"/>
        <v>194.49506766328705</v>
      </c>
      <c r="I33" s="26">
        <f t="shared" si="33"/>
        <v>194.49506766328705</v>
      </c>
      <c r="J33" s="26">
        <f t="shared" si="33"/>
        <v>194.49506766328705</v>
      </c>
      <c r="K33" s="26">
        <f t="shared" si="33"/>
        <v>194.49506766328705</v>
      </c>
      <c r="L33" s="26">
        <f t="shared" si="33"/>
        <v>194.49506766328705</v>
      </c>
      <c r="M33" s="26">
        <f t="shared" si="33"/>
        <v>194.49506766328705</v>
      </c>
      <c r="N33" s="26">
        <f t="shared" si="33"/>
        <v>194.49506766328705</v>
      </c>
      <c r="O33" s="26">
        <f t="shared" si="33"/>
        <v>194.49506766328705</v>
      </c>
      <c r="P33" s="26">
        <f t="shared" si="33"/>
        <v>194.49506766328705</v>
      </c>
      <c r="Q33" s="26">
        <f t="shared" si="33"/>
        <v>194.49506766328705</v>
      </c>
      <c r="R33" s="26">
        <f t="shared" si="33"/>
        <v>194.49506766328705</v>
      </c>
      <c r="S33" s="26">
        <f t="shared" si="33"/>
        <v>194.49506766328705</v>
      </c>
      <c r="T33" s="26">
        <f t="shared" si="33"/>
        <v>194.49506766328705</v>
      </c>
      <c r="U33" s="26">
        <f t="shared" si="33"/>
        <v>194.49506766328705</v>
      </c>
      <c r="V33" s="26">
        <f t="shared" si="33"/>
        <v>194.49506766328705</v>
      </c>
      <c r="W33" s="26">
        <f t="shared" si="33"/>
        <v>194.49506766328705</v>
      </c>
      <c r="X33" s="26">
        <f t="shared" si="33"/>
        <v>194.49506766328705</v>
      </c>
      <c r="Y33" s="26">
        <f t="shared" si="33"/>
        <v>194.49506766328705</v>
      </c>
      <c r="Z33" s="26">
        <f t="shared" si="33"/>
        <v>194.49506766328705</v>
      </c>
      <c r="AA33" s="26">
        <f t="shared" si="33"/>
        <v>194.49506766328705</v>
      </c>
      <c r="AB33" s="26">
        <f t="shared" si="33"/>
        <v>194.49506766328705</v>
      </c>
      <c r="AC33" s="26">
        <f t="shared" si="33"/>
        <v>194.49506766328705</v>
      </c>
      <c r="BI33" s="2">
        <v>39363.918378794959</v>
      </c>
    </row>
    <row r="34" spans="4:61" x14ac:dyDescent="0.2">
      <c r="D34" s="2" t="s">
        <v>264</v>
      </c>
      <c r="E34" s="26">
        <f>E33*(1+$B$10)</f>
        <v>247.00873593237455</v>
      </c>
      <c r="F34" s="26">
        <f t="shared" ref="F34:AC34" si="34">F33*(1+$B$10)</f>
        <v>247.00873593237455</v>
      </c>
      <c r="G34" s="26">
        <f t="shared" si="34"/>
        <v>247.00873593237455</v>
      </c>
      <c r="H34" s="26">
        <f t="shared" si="34"/>
        <v>247.00873593237455</v>
      </c>
      <c r="I34" s="26">
        <f t="shared" si="34"/>
        <v>247.00873593237455</v>
      </c>
      <c r="J34" s="26">
        <f t="shared" si="34"/>
        <v>247.00873593237455</v>
      </c>
      <c r="K34" s="26">
        <f t="shared" si="34"/>
        <v>247.00873593237455</v>
      </c>
      <c r="L34" s="26">
        <f t="shared" si="34"/>
        <v>247.00873593237455</v>
      </c>
      <c r="M34" s="26">
        <f t="shared" si="34"/>
        <v>247.00873593237455</v>
      </c>
      <c r="N34" s="26">
        <f t="shared" si="34"/>
        <v>247.00873593237455</v>
      </c>
      <c r="O34" s="26">
        <f t="shared" si="34"/>
        <v>247.00873593237455</v>
      </c>
      <c r="P34" s="26">
        <f t="shared" si="34"/>
        <v>247.00873593237455</v>
      </c>
      <c r="Q34" s="26">
        <f t="shared" si="34"/>
        <v>247.00873593237455</v>
      </c>
      <c r="R34" s="26">
        <f t="shared" si="34"/>
        <v>247.00873593237455</v>
      </c>
      <c r="S34" s="26">
        <f t="shared" si="34"/>
        <v>247.00873593237455</v>
      </c>
      <c r="T34" s="26">
        <f t="shared" si="34"/>
        <v>247.00873593237455</v>
      </c>
      <c r="U34" s="26">
        <f t="shared" si="34"/>
        <v>247.00873593237455</v>
      </c>
      <c r="V34" s="26">
        <f t="shared" si="34"/>
        <v>247.00873593237455</v>
      </c>
      <c r="W34" s="26">
        <f t="shared" si="34"/>
        <v>247.00873593237455</v>
      </c>
      <c r="X34" s="26">
        <f t="shared" si="34"/>
        <v>247.00873593237455</v>
      </c>
      <c r="Y34" s="26">
        <f t="shared" si="34"/>
        <v>247.00873593237455</v>
      </c>
      <c r="Z34" s="26">
        <f t="shared" si="34"/>
        <v>247.00873593237455</v>
      </c>
      <c r="AA34" s="26">
        <f t="shared" si="34"/>
        <v>247.00873593237455</v>
      </c>
      <c r="AB34" s="26">
        <f t="shared" si="34"/>
        <v>247.00873593237455</v>
      </c>
      <c r="AC34" s="26">
        <f t="shared" si="34"/>
        <v>247.00873593237455</v>
      </c>
      <c r="BI34" s="2">
        <v>39676.913688836241</v>
      </c>
    </row>
    <row r="35" spans="4:61" x14ac:dyDescent="0.2">
      <c r="D35" s="2" t="s">
        <v>265</v>
      </c>
      <c r="E35" s="26">
        <f>E34*12</f>
        <v>2964.1048311884947</v>
      </c>
      <c r="F35" s="26">
        <f t="shared" ref="F35:AC35" si="35">F34*12</f>
        <v>2964.1048311884947</v>
      </c>
      <c r="G35" s="26">
        <f t="shared" si="35"/>
        <v>2964.1048311884947</v>
      </c>
      <c r="H35" s="26">
        <f t="shared" si="35"/>
        <v>2964.1048311884947</v>
      </c>
      <c r="I35" s="26">
        <f t="shared" si="35"/>
        <v>2964.1048311884947</v>
      </c>
      <c r="J35" s="26">
        <f t="shared" si="35"/>
        <v>2964.1048311884947</v>
      </c>
      <c r="K35" s="26">
        <f t="shared" si="35"/>
        <v>2964.1048311884947</v>
      </c>
      <c r="L35" s="26">
        <f t="shared" si="35"/>
        <v>2964.1048311884947</v>
      </c>
      <c r="M35" s="26">
        <f t="shared" si="35"/>
        <v>2964.1048311884947</v>
      </c>
      <c r="N35" s="26">
        <f t="shared" si="35"/>
        <v>2964.1048311884947</v>
      </c>
      <c r="O35" s="26">
        <f t="shared" si="35"/>
        <v>2964.1048311884947</v>
      </c>
      <c r="P35" s="26">
        <f t="shared" si="35"/>
        <v>2964.1048311884947</v>
      </c>
      <c r="Q35" s="26">
        <f t="shared" si="35"/>
        <v>2964.1048311884947</v>
      </c>
      <c r="R35" s="26">
        <f t="shared" si="35"/>
        <v>2964.1048311884947</v>
      </c>
      <c r="S35" s="26">
        <f t="shared" si="35"/>
        <v>2964.1048311884947</v>
      </c>
      <c r="T35" s="26">
        <f t="shared" si="35"/>
        <v>2964.1048311884947</v>
      </c>
      <c r="U35" s="26">
        <f t="shared" si="35"/>
        <v>2964.1048311884947</v>
      </c>
      <c r="V35" s="26">
        <f t="shared" si="35"/>
        <v>2964.1048311884947</v>
      </c>
      <c r="W35" s="26">
        <f t="shared" si="35"/>
        <v>2964.1048311884947</v>
      </c>
      <c r="X35" s="26">
        <f t="shared" si="35"/>
        <v>2964.1048311884947</v>
      </c>
      <c r="Y35" s="26">
        <f t="shared" si="35"/>
        <v>2964.1048311884947</v>
      </c>
      <c r="Z35" s="26">
        <f t="shared" si="35"/>
        <v>2964.1048311884947</v>
      </c>
      <c r="AA35" s="26">
        <f t="shared" si="35"/>
        <v>2964.1048311884947</v>
      </c>
      <c r="AB35" s="26">
        <f t="shared" si="35"/>
        <v>2964.1048311884947</v>
      </c>
      <c r="AC35" s="26">
        <f t="shared" si="35"/>
        <v>2964.1048311884947</v>
      </c>
      <c r="BI35" s="2">
        <v>39993.038951977935</v>
      </c>
    </row>
    <row r="36" spans="4:61" x14ac:dyDescent="0.2">
      <c r="BI36" s="2">
        <v>40312.325467751049</v>
      </c>
    </row>
    <row r="37" spans="4:61" x14ac:dyDescent="0.2">
      <c r="D37" s="2" t="s">
        <v>205</v>
      </c>
      <c r="E37" s="27">
        <f>SUM(E35:AC35)</f>
        <v>74102.620779712364</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Y</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Y</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Y</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74102.620779712364</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1843365.9764611975</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84890.572009976473</v>
      </c>
      <c r="D2" s="67">
        <v>85751.151616588264</v>
      </c>
      <c r="E2" s="67">
        <v>90097.078629977652</v>
      </c>
      <c r="F2" s="67">
        <v>91009.72330278944</v>
      </c>
      <c r="G2" s="67">
        <v>91931.494422329299</v>
      </c>
      <c r="H2" s="67">
        <v>92862.483253064609</v>
      </c>
      <c r="I2" s="67">
        <v>97563.976848277875</v>
      </c>
      <c r="J2" s="67">
        <v>98551.290503272656</v>
      </c>
      <c r="K2" s="67">
        <v>99548.477294817378</v>
      </c>
      <c r="L2" s="67">
        <v>100555.63595427755</v>
      </c>
      <c r="M2" s="67">
        <v>105641.7871845514</v>
      </c>
      <c r="N2" s="67">
        <v>106709.87894290895</v>
      </c>
      <c r="O2" s="67">
        <v>107788.65161885002</v>
      </c>
      <c r="P2" s="67">
        <v>113236.45363235252</v>
      </c>
      <c r="Q2" s="67">
        <v>114380.49205518806</v>
      </c>
      <c r="R2" s="67">
        <v>115535.97086225197</v>
      </c>
      <c r="S2" s="67">
        <v>116703.00445738647</v>
      </c>
      <c r="T2" s="67">
        <v>117881.70838847237</v>
      </c>
      <c r="U2" s="67">
        <v>123834.16324045594</v>
      </c>
      <c r="V2" s="67">
        <v>125084.17875937255</v>
      </c>
      <c r="W2" s="67">
        <v>126180.56176952885</v>
      </c>
      <c r="X2" s="67">
        <v>127152.04944173613</v>
      </c>
      <c r="Y2" s="67">
        <v>132058.06218638297</v>
      </c>
      <c r="Z2" s="67">
        <v>133088.32486275877</v>
      </c>
      <c r="AA2" s="67">
        <v>134128.89016589837</v>
      </c>
      <c r="AB2" s="67">
        <v>135179.86112206936</v>
      </c>
      <c r="AC2" s="67">
        <v>136241.34178780208</v>
      </c>
      <c r="AD2" s="67">
        <v>137313.43726019206</v>
      </c>
      <c r="AE2" s="67">
        <v>138396.25368730602</v>
      </c>
      <c r="AF2" s="67">
        <v>139489.89827869108</v>
      </c>
      <c r="AG2" s="67">
        <v>140594.47931598997</v>
      </c>
      <c r="AH2" s="67">
        <v>141710.10616366187</v>
      </c>
      <c r="AI2" s="67">
        <v>142836.88927981048</v>
      </c>
      <c r="AJ2" s="67">
        <v>143974.94022712059</v>
      </c>
      <c r="AK2" s="67">
        <v>145124.3716839038</v>
      </c>
      <c r="AL2" s="67">
        <v>150929.00054065901</v>
      </c>
      <c r="AM2" s="67">
        <v>152147.97260057757</v>
      </c>
      <c r="AN2" s="67">
        <v>153379.13438109535</v>
      </c>
      <c r="AO2" s="67">
        <v>154622.60777941829</v>
      </c>
      <c r="AP2" s="67">
        <v>155878.51591172448</v>
      </c>
      <c r="AQ2" s="67">
        <v>157146.98312535376</v>
      </c>
      <c r="AR2" s="67">
        <v>158428.13501111927</v>
      </c>
      <c r="AS2" s="67">
        <v>159722.09841574248</v>
      </c>
      <c r="AT2" s="67">
        <v>161029.00145441192</v>
      </c>
      <c r="AU2" s="67">
        <v>162348.97352346798</v>
      </c>
      <c r="AV2" s="67">
        <v>163682.14531321469</v>
      </c>
      <c r="AW2" s="67">
        <v>165028.64882085883</v>
      </c>
      <c r="AX2" s="67">
        <v>166388.6173635794</v>
      </c>
      <c r="AY2" s="67">
        <v>167762.1855917272</v>
      </c>
      <c r="AZ2" s="67">
        <v>169149.4895021565</v>
      </c>
      <c r="BA2">
        <v>0</v>
      </c>
    </row>
    <row r="3" spans="1:53" x14ac:dyDescent="0.2">
      <c r="A3" s="67" t="s">
        <v>74</v>
      </c>
      <c r="B3" s="69">
        <v>200000</v>
      </c>
      <c r="C3" s="67" cm="1">
        <f t="array" ref="C3:BA3">TRANSPOSE(TableIncome[InvestmentP2])</f>
        <v>139069.2117871271</v>
      </c>
      <c r="D3" s="67">
        <v>140169.58595951038</v>
      </c>
      <c r="E3" s="67">
        <v>145726.47553004589</v>
      </c>
      <c r="F3" s="67">
        <v>146893.42233985837</v>
      </c>
      <c r="G3" s="67">
        <v>148072.03861776891</v>
      </c>
      <c r="H3" s="67">
        <v>149262.44105845859</v>
      </c>
      <c r="I3" s="67">
        <v>155273.97338394151</v>
      </c>
      <c r="J3" s="67">
        <v>156536.39517229292</v>
      </c>
      <c r="K3" s="67">
        <v>157811.44117852786</v>
      </c>
      <c r="L3" s="67">
        <v>159099.23764482516</v>
      </c>
      <c r="M3" s="67">
        <v>165602.60979962643</v>
      </c>
      <c r="N3" s="67">
        <v>166968.3179521347</v>
      </c>
      <c r="O3" s="67">
        <v>168347.68318616803</v>
      </c>
      <c r="P3" s="67">
        <v>175313.47761803644</v>
      </c>
      <c r="Q3" s="67">
        <v>176776.29444872882</v>
      </c>
      <c r="R3" s="67">
        <v>178253.73944772809</v>
      </c>
      <c r="S3" s="67">
        <v>179745.95889671735</v>
      </c>
      <c r="T3" s="67">
        <v>181253.10054019658</v>
      </c>
      <c r="U3" s="67">
        <v>188864.16583976639</v>
      </c>
      <c r="V3" s="67">
        <v>190462.48955267607</v>
      </c>
      <c r="W3" s="67">
        <v>192076.79650271483</v>
      </c>
      <c r="X3" s="67">
        <v>193707.24652225402</v>
      </c>
      <c r="Y3" s="67">
        <v>201941.01912092668</v>
      </c>
      <c r="Z3" s="67">
        <v>203670.11136664794</v>
      </c>
      <c r="AA3" s="67">
        <v>205416.49453482646</v>
      </c>
      <c r="AB3" s="67">
        <v>207180.34153468671</v>
      </c>
      <c r="AC3" s="67">
        <v>208961.8270045456</v>
      </c>
      <c r="AD3" s="67">
        <v>210761.12732910304</v>
      </c>
      <c r="AE3" s="67">
        <v>212578.42065690606</v>
      </c>
      <c r="AF3" s="67">
        <v>214413.8869179872</v>
      </c>
      <c r="AG3" s="67">
        <v>216267.70784167905</v>
      </c>
      <c r="AH3" s="67">
        <v>218140.06697460782</v>
      </c>
      <c r="AI3" s="67">
        <v>220031.14969886595</v>
      </c>
      <c r="AJ3" s="67">
        <v>221941.14325036653</v>
      </c>
      <c r="AK3" s="67">
        <v>223870.23673738228</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84890.572009976473</v>
      </c>
      <c r="C2" s="71">
        <f>SUMIF(TableIncome[Year], "&lt;=" &amp; C1, TableIncome[InvestmentP1])</f>
        <v>170641.72362656472</v>
      </c>
      <c r="D2" s="71">
        <f>SUMIF(TableIncome[Year], "&lt;=" &amp; D1, TableIncome[InvestmentP1])</f>
        <v>260738.80225654237</v>
      </c>
      <c r="E2" s="71">
        <f>SUMIF(TableIncome[Year], "&lt;=" &amp; E1, TableIncome[InvestmentP1])</f>
        <v>351748.52555933181</v>
      </c>
      <c r="F2" s="71">
        <f>SUMIF(TableIncome[Year], "&lt;=" &amp; F1, TableIncome[InvestmentP1])</f>
        <v>443680.01998166111</v>
      </c>
      <c r="G2" s="71">
        <f>SUMIF(TableIncome[Year], "&lt;=" &amp; G1, TableIncome[InvestmentP1])</f>
        <v>536542.50323472568</v>
      </c>
      <c r="H2" s="71">
        <f>SUMIF(TableIncome[Year], "&lt;=" &amp; H1, TableIncome[InvestmentP1])</f>
        <v>634106.48008300352</v>
      </c>
      <c r="I2" s="71">
        <f>SUMIF(TableIncome[Year], "&lt;=" &amp; I1, TableIncome[InvestmentP1])</f>
        <v>732657.77058627619</v>
      </c>
      <c r="J2" s="71">
        <f>SUMIF(TableIncome[Year], "&lt;=" &amp; J1, TableIncome[InvestmentP1])</f>
        <v>832206.24788109353</v>
      </c>
      <c r="K2" s="71">
        <f>SUMIF(TableIncome[Year], "&lt;=" &amp; K1, TableIncome[InvestmentP1])</f>
        <v>932761.88383537112</v>
      </c>
      <c r="L2" s="71">
        <f>SUMIF(TableIncome[Year], "&lt;=" &amp; L1, TableIncome[InvestmentP1])</f>
        <v>1038403.6710199225</v>
      </c>
      <c r="M2" s="71">
        <f>SUMIF(TableIncome[Year], "&lt;=" &amp; M1, TableIncome[InvestmentP1])</f>
        <v>1145113.5499628314</v>
      </c>
      <c r="N2" s="71">
        <f>SUMIF(TableIncome[Year], "&lt;=" &amp; N1, TableIncome[InvestmentP1])</f>
        <v>1252902.2015816814</v>
      </c>
      <c r="O2" s="71">
        <f>SUMIF(TableIncome[Year], "&lt;=" &amp; O1, TableIncome[InvestmentP1])</f>
        <v>1366138.655214034</v>
      </c>
      <c r="P2" s="71">
        <f>SUMIF(TableIncome[Year], "&lt;=" &amp; P1, TableIncome[InvestmentP1])</f>
        <v>1480519.1472692222</v>
      </c>
      <c r="Q2" s="71">
        <f>SUMIF(TableIncome[Year], "&lt;=" &amp; Q1, TableIncome[InvestmentP1])</f>
        <v>1596055.1181314741</v>
      </c>
      <c r="R2" s="71">
        <f>SUMIF(TableIncome[Year], "&lt;=" &amp; R1, TableIncome[InvestmentP1])</f>
        <v>1712758.1225888606</v>
      </c>
      <c r="S2" s="71">
        <f>SUMIF(TableIncome[Year], "&lt;=" &amp; S1, TableIncome[InvestmentP1])</f>
        <v>1830639.830977333</v>
      </c>
      <c r="T2" s="71">
        <f>SUMIF(TableIncome[Year], "&lt;=" &amp; T1, TableIncome[InvestmentP1])</f>
        <v>1954473.994217789</v>
      </c>
      <c r="U2" s="71">
        <f>SUMIF(TableIncome[Year], "&lt;=" &amp; U1, TableIncome[InvestmentP1])</f>
        <v>2079558.1729771616</v>
      </c>
      <c r="V2" s="71">
        <f>SUMIF(TableIncome[Year], "&lt;=" &amp; V1, TableIncome[InvestmentP1])</f>
        <v>2205738.7347466904</v>
      </c>
      <c r="W2" s="71">
        <f>SUMIF(TableIncome[Year], "&lt;=" &amp; W1, TableIncome[InvestmentP1])</f>
        <v>2332890.7841884266</v>
      </c>
      <c r="X2" s="71">
        <f>SUMIF(TableIncome[Year], "&lt;=" &amp; X1, TableIncome[InvestmentP1])</f>
        <v>2464948.8463748097</v>
      </c>
      <c r="Y2" s="71">
        <f>SUMIF(TableIncome[Year], "&lt;=" &amp; Y1, TableIncome[InvestmentP1])</f>
        <v>2598037.1712375684</v>
      </c>
      <c r="Z2" s="71">
        <f>SUMIF(TableIncome[Year], "&lt;=" &amp; Z1, TableIncome[InvestmentP1])</f>
        <v>2732166.0614034669</v>
      </c>
      <c r="AA2" s="71">
        <f>SUMIF(TableIncome[Year], "&lt;=" &amp; AA1, TableIncome[InvestmentP1])</f>
        <v>2867345.9225255363</v>
      </c>
      <c r="AB2" s="71">
        <f>SUMIF(TableIncome[Year], "&lt;=" &amp; AB1, TableIncome[InvestmentP1])</f>
        <v>3003587.2643133383</v>
      </c>
      <c r="AC2" s="71">
        <f>SUMIF(TableIncome[Year], "&lt;=" &amp; AC1, TableIncome[InvestmentP1])</f>
        <v>3140900.7015735302</v>
      </c>
      <c r="AD2" s="71">
        <f>SUMIF(TableIncome[Year], "&lt;=" &amp; AD1, TableIncome[InvestmentP1])</f>
        <v>3279296.9552608361</v>
      </c>
      <c r="AE2" s="71">
        <f>SUMIF(TableIncome[Year], "&lt;=" &amp; AE1, TableIncome[InvestmentP1])</f>
        <v>3418786.8535395269</v>
      </c>
      <c r="AF2" s="71">
        <f>SUMIF(TableIncome[Year], "&lt;=" &amp; AF1, TableIncome[InvestmentP1])</f>
        <v>3559381.332855517</v>
      </c>
      <c r="AG2" s="71">
        <f>SUMIF(TableIncome[Year], "&lt;=" &amp; AG1, TableIncome[InvestmentP1])</f>
        <v>3701091.439019179</v>
      </c>
      <c r="AH2" s="71">
        <f>SUMIF(TableIncome[Year], "&lt;=" &amp; AH1, TableIncome[InvestmentP1])</f>
        <v>3843928.3282989897</v>
      </c>
      <c r="AI2" s="71">
        <f>SUMIF(TableIncome[Year], "&lt;=" &amp; AI1, TableIncome[InvestmentP1])</f>
        <v>3987903.2685261103</v>
      </c>
      <c r="AJ2" s="71">
        <f>SUMIF(TableIncome[Year], "&lt;=" &amp; AJ1, TableIncome[InvestmentP1])</f>
        <v>4133027.6402100143</v>
      </c>
      <c r="AK2" s="71">
        <f>SUMIF(TableIncome[Year], "&lt;=" &amp; AK1, TableIncome[InvestmentP1])</f>
        <v>4283956.6407506736</v>
      </c>
      <c r="AL2" s="71">
        <f>SUMIF(TableIncome[Year], "&lt;=" &amp; AL1, TableIncome[InvestmentP1])</f>
        <v>4436104.613351251</v>
      </c>
      <c r="AM2" s="71">
        <f>SUMIF(TableIncome[Year], "&lt;=" &amp; AM1, TableIncome[InvestmentP1])</f>
        <v>4589483.7477323459</v>
      </c>
      <c r="AN2" s="71">
        <f>SUMIF(TableIncome[Year], "&lt;=" &amp; AN1, TableIncome[InvestmentP1])</f>
        <v>4744106.3555117641</v>
      </c>
      <c r="AO2" s="71">
        <f>SUMIF(TableIncome[Year], "&lt;=" &amp; AO1, TableIncome[InvestmentP1])</f>
        <v>4899984.8714234885</v>
      </c>
      <c r="AP2" s="71">
        <f>SUMIF(TableIncome[Year], "&lt;=" &amp; AP1, TableIncome[InvestmentP1])</f>
        <v>5057131.8545488426</v>
      </c>
      <c r="AQ2" s="71">
        <f>SUMIF(TableIncome[Year], "&lt;=" &amp; AQ1, TableIncome[InvestmentP1])</f>
        <v>5215559.9895599615</v>
      </c>
      <c r="AR2" s="71">
        <f>SUMIF(TableIncome[Year], "&lt;=" &amp; AR1, TableIncome[InvestmentP1])</f>
        <v>5375282.0879757041</v>
      </c>
      <c r="AS2" s="71">
        <f>SUMIF(TableIncome[Year], "&lt;=" &amp; AS1, TableIncome[InvestmentP1])</f>
        <v>5536311.0894301161</v>
      </c>
      <c r="AT2" s="71">
        <f>SUMIF(TableIncome[Year], "&lt;=" &amp; AT1, TableIncome[InvestmentP1])</f>
        <v>5698660.0629535839</v>
      </c>
      <c r="AU2" s="71">
        <f>SUMIF(TableIncome[Year], "&lt;=" &amp; AU1, TableIncome[InvestmentP1])</f>
        <v>5862342.2082667984</v>
      </c>
      <c r="AV2" s="71">
        <f>SUMIF(TableIncome[Year], "&lt;=" &amp; AV1, TableIncome[InvestmentP1])</f>
        <v>6027370.8570876569</v>
      </c>
      <c r="AW2" s="71">
        <f>SUMIF(TableIncome[Year], "&lt;=" &amp; AW1, TableIncome[InvestmentP1])</f>
        <v>6193759.4744512364</v>
      </c>
      <c r="AX2" s="71">
        <f>SUMIF(TableIncome[Year], "&lt;=" &amp; AX1, TableIncome[InvestmentP1])</f>
        <v>6361521.6600429639</v>
      </c>
      <c r="AY2" s="71">
        <f>SUMIF(TableIncome[Year], "&lt;=" &amp; AY1, TableIncome[InvestmentP1])</f>
        <v>6530671.1495451201</v>
      </c>
      <c r="AZ2" s="71">
        <f>SUMIF(TableIncome[Year], "&lt;=" &amp; AZ1, TableIncome[InvestmentP1])</f>
        <v>6530671.1495451201</v>
      </c>
    </row>
    <row r="3" spans="1:52" x14ac:dyDescent="0.2">
      <c r="A3" s="67" t="s">
        <v>74</v>
      </c>
      <c r="B3" s="71">
        <f>SUMIF(TableIncome[Year], "&lt;=" &amp; B1, TableIncome[InvestmentP2])</f>
        <v>139069.2117871271</v>
      </c>
      <c r="C3" s="71">
        <f>SUMIF(TableIncome[Year], "&lt;=" &amp; C1, TableIncome[InvestmentP2])</f>
        <v>279238.79774663749</v>
      </c>
      <c r="D3" s="71">
        <f>SUMIF(TableIncome[Year], "&lt;=" &amp; D1, TableIncome[InvestmentP2])</f>
        <v>424965.27327668341</v>
      </c>
      <c r="E3" s="71">
        <f>SUMIF(TableIncome[Year], "&lt;=" &amp; E1, TableIncome[InvestmentP2])</f>
        <v>571858.69561654178</v>
      </c>
      <c r="F3" s="71">
        <f>SUMIF(TableIncome[Year], "&lt;=" &amp; F1, TableIncome[InvestmentP2])</f>
        <v>719930.73423431069</v>
      </c>
      <c r="G3" s="71">
        <f>SUMIF(TableIncome[Year], "&lt;=" &amp; G1, TableIncome[InvestmentP2])</f>
        <v>869193.17529276921</v>
      </c>
      <c r="H3" s="71">
        <f>SUMIF(TableIncome[Year], "&lt;=" &amp; H1, TableIncome[InvestmentP2])</f>
        <v>1024467.1486767107</v>
      </c>
      <c r="I3" s="71">
        <f>SUMIF(TableIncome[Year], "&lt;=" &amp; I1, TableIncome[InvestmentP2])</f>
        <v>1181003.5438490035</v>
      </c>
      <c r="J3" s="71">
        <f>SUMIF(TableIncome[Year], "&lt;=" &amp; J1, TableIncome[InvestmentP2])</f>
        <v>1338814.9850275314</v>
      </c>
      <c r="K3" s="71">
        <f>SUMIF(TableIncome[Year], "&lt;=" &amp; K1, TableIncome[InvestmentP2])</f>
        <v>1497914.2226723565</v>
      </c>
      <c r="L3" s="71">
        <f>SUMIF(TableIncome[Year], "&lt;=" &amp; L1, TableIncome[InvestmentP2])</f>
        <v>1663516.832471983</v>
      </c>
      <c r="M3" s="71">
        <f>SUMIF(TableIncome[Year], "&lt;=" &amp; M1, TableIncome[InvestmentP2])</f>
        <v>1830485.1504241177</v>
      </c>
      <c r="N3" s="71">
        <f>SUMIF(TableIncome[Year], "&lt;=" &amp; N1, TableIncome[InvestmentP2])</f>
        <v>1998832.8336102858</v>
      </c>
      <c r="O3" s="71">
        <f>SUMIF(TableIncome[Year], "&lt;=" &amp; O1, TableIncome[InvestmentP2])</f>
        <v>2174146.3112283223</v>
      </c>
      <c r="P3" s="71">
        <f>SUMIF(TableIncome[Year], "&lt;=" &amp; P1, TableIncome[InvestmentP2])</f>
        <v>2350922.605677051</v>
      </c>
      <c r="Q3" s="71">
        <f>SUMIF(TableIncome[Year], "&lt;=" &amp; Q1, TableIncome[InvestmentP2])</f>
        <v>2529176.3451247793</v>
      </c>
      <c r="R3" s="71">
        <f>SUMIF(TableIncome[Year], "&lt;=" &amp; R1, TableIncome[InvestmentP2])</f>
        <v>2708922.3040214968</v>
      </c>
      <c r="S3" s="71">
        <f>SUMIF(TableIncome[Year], "&lt;=" &amp; S1, TableIncome[InvestmentP2])</f>
        <v>2890175.4045616933</v>
      </c>
      <c r="T3" s="71">
        <f>SUMIF(TableIncome[Year], "&lt;=" &amp; T1, TableIncome[InvestmentP2])</f>
        <v>3079039.5704014599</v>
      </c>
      <c r="U3" s="71">
        <f>SUMIF(TableIncome[Year], "&lt;=" &amp; U1, TableIncome[InvestmentP2])</f>
        <v>3269502.0599541361</v>
      </c>
      <c r="V3" s="71">
        <f>SUMIF(TableIncome[Year], "&lt;=" &amp; V1, TableIncome[InvestmentP2])</f>
        <v>3461578.8564568511</v>
      </c>
      <c r="W3" s="71">
        <f>SUMIF(TableIncome[Year], "&lt;=" &amp; W1, TableIncome[InvestmentP2])</f>
        <v>3655286.102979105</v>
      </c>
      <c r="X3" s="71">
        <f>SUMIF(TableIncome[Year], "&lt;=" &amp; X1, TableIncome[InvestmentP2])</f>
        <v>3857227.1221000315</v>
      </c>
      <c r="Y3" s="71">
        <f>SUMIF(TableIncome[Year], "&lt;=" &amp; Y1, TableIncome[InvestmentP2])</f>
        <v>4060897.2334666792</v>
      </c>
      <c r="Z3" s="71">
        <f>SUMIF(TableIncome[Year], "&lt;=" &amp; Z1, TableIncome[InvestmentP2])</f>
        <v>4266313.7280015061</v>
      </c>
      <c r="AA3" s="71">
        <f>SUMIF(TableIncome[Year], "&lt;=" &amp; AA1, TableIncome[InvestmentP2])</f>
        <v>4473494.0695361923</v>
      </c>
      <c r="AB3" s="71">
        <f>SUMIF(TableIncome[Year], "&lt;=" &amp; AB1, TableIncome[InvestmentP2])</f>
        <v>4682455.8965407377</v>
      </c>
      <c r="AC3" s="71">
        <f>SUMIF(TableIncome[Year], "&lt;=" &amp; AC1, TableIncome[InvestmentP2])</f>
        <v>4893217.0238698404</v>
      </c>
      <c r="AD3" s="71">
        <f>SUMIF(TableIncome[Year], "&lt;=" &amp; AD1, TableIncome[InvestmentP2])</f>
        <v>5105795.4445267469</v>
      </c>
      <c r="AE3" s="71">
        <f>SUMIF(TableIncome[Year], "&lt;=" &amp; AE1, TableIncome[InvestmentP2])</f>
        <v>5320209.3314447338</v>
      </c>
      <c r="AF3" s="71">
        <f>SUMIF(TableIncome[Year], "&lt;=" &amp; AF1, TableIncome[InvestmentP2])</f>
        <v>5536477.0392864132</v>
      </c>
      <c r="AG3" s="71">
        <f>SUMIF(TableIncome[Year], "&lt;=" &amp; AG1, TableIncome[InvestmentP2])</f>
        <v>5754617.1062610215</v>
      </c>
      <c r="AH3" s="71">
        <f>SUMIF(TableIncome[Year], "&lt;=" &amp; AH1, TableIncome[InvestmentP2])</f>
        <v>5974648.2559598871</v>
      </c>
      <c r="AI3" s="71">
        <f>SUMIF(TableIncome[Year], "&lt;=" &amp; AI1, TableIncome[InvestmentP2])</f>
        <v>6196589.3992102537</v>
      </c>
      <c r="AJ3" s="71">
        <f>SUMIF(TableIncome[Year], "&lt;=" &amp; AJ1, TableIncome[InvestmentP2])</f>
        <v>6420459.6359476363</v>
      </c>
      <c r="AK3" s="71">
        <f>SUMIF(TableIncome[Year], "&lt;=" &amp; AK1, TableIncome[InvestmentP2])</f>
        <v>6420459.6359476363</v>
      </c>
      <c r="AL3" s="71">
        <f>SUMIF(TableIncome[Year], "&lt;=" &amp; AL1, TableIncome[InvestmentP2])</f>
        <v>6420459.6359476363</v>
      </c>
      <c r="AM3" s="71">
        <f>SUMIF(TableIncome[Year], "&lt;=" &amp; AM1, TableIncome[InvestmentP2])</f>
        <v>6420459.6359476363</v>
      </c>
      <c r="AN3" s="71">
        <f>SUMIF(TableIncome[Year], "&lt;=" &amp; AN1, TableIncome[InvestmentP2])</f>
        <v>6420459.6359476363</v>
      </c>
      <c r="AO3" s="71">
        <f>SUMIF(TableIncome[Year], "&lt;=" &amp; AO1, TableIncome[InvestmentP2])</f>
        <v>6420459.6359476363</v>
      </c>
      <c r="AP3" s="71">
        <f>SUMIF(TableIncome[Year], "&lt;=" &amp; AP1, TableIncome[InvestmentP2])</f>
        <v>6420459.6359476363</v>
      </c>
      <c r="AQ3" s="71">
        <f>SUMIF(TableIncome[Year], "&lt;=" &amp; AQ1, TableIncome[InvestmentP2])</f>
        <v>6420459.6359476363</v>
      </c>
      <c r="AR3" s="71">
        <f>SUMIF(TableIncome[Year], "&lt;=" &amp; AR1, TableIncome[InvestmentP2])</f>
        <v>6420459.6359476363</v>
      </c>
      <c r="AS3" s="71">
        <f>SUMIF(TableIncome[Year], "&lt;=" &amp; AS1, TableIncome[InvestmentP2])</f>
        <v>6420459.6359476363</v>
      </c>
      <c r="AT3" s="71">
        <f>SUMIF(TableIncome[Year], "&lt;=" &amp; AT1, TableIncome[InvestmentP2])</f>
        <v>6420459.6359476363</v>
      </c>
      <c r="AU3" s="71">
        <f>SUMIF(TableIncome[Year], "&lt;=" &amp; AU1, TableIncome[InvestmentP2])</f>
        <v>6420459.6359476363</v>
      </c>
      <c r="AV3" s="71">
        <f>SUMIF(TableIncome[Year], "&lt;=" &amp; AV1, TableIncome[InvestmentP2])</f>
        <v>6420459.6359476363</v>
      </c>
      <c r="AW3" s="71">
        <f>SUMIF(TableIncome[Year], "&lt;=" &amp; AW1, TableIncome[InvestmentP2])</f>
        <v>6420459.6359476363</v>
      </c>
      <c r="AX3" s="71">
        <f>SUMIF(TableIncome[Year], "&lt;=" &amp; AX1, TableIncome[InvestmentP2])</f>
        <v>6420459.6359476363</v>
      </c>
      <c r="AY3" s="71">
        <f>SUMIF(TableIncome[Year], "&lt;=" &amp; AY1, TableIncome[InvestmentP2])</f>
        <v>6420459.6359476363</v>
      </c>
      <c r="AZ3" s="71">
        <f>SUMIF(TableIncome[Year], "&lt;=" &amp; AZ1, TableIncome[InvestmentP2])</f>
        <v>6420459.6359476363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