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FD68B3AE-E963-C24A-86B6-D5C213B32AA7}" xr6:coauthVersionLast="47" xr6:coauthVersionMax="47" xr10:uidLastSave="{00000000-0000-0000-0000-000000000000}"/>
  <bookViews>
    <workbookView xWindow="0" yWindow="760" windowWidth="19420" windowHeight="10300" tabRatio="972" firstSheet="7"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1" l="1"/>
  <c r="C7" i="51" s="1"/>
  <c r="B22" i="55"/>
  <c r="B5" i="55"/>
  <c r="B3" i="55"/>
  <c r="N39" i="2"/>
  <c r="N40" i="2"/>
  <c r="N41" i="2"/>
  <c r="N42" i="2"/>
  <c r="N43" i="2"/>
  <c r="N44" i="2"/>
  <c r="N45" i="2"/>
  <c r="N46" i="2"/>
  <c r="N47" i="2"/>
  <c r="N48" i="2"/>
  <c r="N49" i="2"/>
  <c r="D49" i="2" s="1"/>
  <c r="N50" i="2"/>
  <c r="D50" i="2" s="1"/>
  <c r="N51" i="2"/>
  <c r="D51" i="2" s="1"/>
  <c r="N52" i="2"/>
  <c r="N53" i="2"/>
  <c r="BB8" i="56"/>
  <c r="AX8" i="56"/>
  <c r="E39" i="56"/>
  <c r="F39" i="56" s="1"/>
  <c r="B14" i="56"/>
  <c r="B43" i="55" s="1"/>
  <c r="B45" i="55" s="1"/>
  <c r="A4" i="56" a="1"/>
  <c r="AY8" i="56" s="1"/>
  <c r="B2" i="56"/>
  <c r="BB15" i="56" s="1"/>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Z8" i="56" l="1"/>
  <c r="B1" i="56"/>
  <c r="B25" i="55"/>
  <c r="Q8" i="56"/>
  <c r="R8" i="56"/>
  <c r="AE8" i="56"/>
  <c r="BA8" i="56"/>
  <c r="G8" i="56"/>
  <c r="AH8" i="56"/>
  <c r="AM8" i="56"/>
  <c r="I8" i="56"/>
  <c r="AO8" i="56"/>
  <c r="O8" i="56"/>
  <c r="AW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s="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K54" i="46" l="1"/>
  <c r="L50" i="46" s="1"/>
  <c r="L52" i="46" s="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2" i="46"/>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O54" i="46"/>
  <c r="P50" i="46" s="1"/>
  <c r="P52" i="46" s="1"/>
  <c r="P53" i="46" s="1"/>
  <c r="P20" i="2"/>
  <c r="Q20" i="2"/>
  <c r="L47" i="55"/>
  <c r="M43" i="55" s="1"/>
  <c r="M54" i="55"/>
  <c r="N50" i="55" s="1"/>
  <c r="R20" i="2"/>
  <c r="O20" i="2"/>
  <c r="H17" i="53"/>
  <c r="O5" i="53" a="1"/>
  <c r="O5" i="53" s="1"/>
  <c r="G16" i="53"/>
  <c r="N6" i="53" a="1"/>
  <c r="N6" i="53" s="1"/>
  <c r="Q6" i="53" s="1"/>
  <c r="N45" i="46"/>
  <c r="N46" i="46" s="1"/>
  <c r="E21" i="45"/>
  <c r="D21" i="45"/>
  <c r="E23" i="8"/>
  <c r="E24" i="8" s="1"/>
  <c r="P21" i="2" l="1"/>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E22" i="45"/>
  <c r="E25" i="8"/>
  <c r="E26" i="8" s="1"/>
  <c r="Q22" i="2" l="1"/>
  <c r="P22" i="2"/>
  <c r="N45" i="55"/>
  <c r="N46" i="55" s="1"/>
  <c r="N54" i="55"/>
  <c r="O50" i="55" s="1"/>
  <c r="R22" i="2"/>
  <c r="O22" i="2"/>
  <c r="Q54" i="46"/>
  <c r="R50" i="46" s="1"/>
  <c r="G18" i="53"/>
  <c r="N3" i="53" s="1" a="1"/>
  <c r="N3" i="53" s="1"/>
  <c r="N4" i="53" a="1"/>
  <c r="N4" i="53" s="1"/>
  <c r="Q4" i="53" s="1"/>
  <c r="O45" i="46"/>
  <c r="O46" i="46" s="1"/>
  <c r="E23" i="45"/>
  <c r="D23" i="45"/>
  <c r="Q23" i="2" l="1"/>
  <c r="P23" i="2"/>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E13" i="56" l="1"/>
  <c r="E14" i="56" s="1"/>
  <c r="E16" i="56" s="1"/>
  <c r="E17" i="56" s="1"/>
  <c r="G13" i="56"/>
  <c r="G14" i="56" s="1"/>
  <c r="G16" i="56" s="1"/>
  <c r="G17" i="56" s="1"/>
  <c r="R13" i="56"/>
  <c r="R14" i="56" s="1"/>
  <c r="R16" i="56" s="1"/>
  <c r="R17" i="56" s="1"/>
  <c r="F13" i="56"/>
  <c r="F14" i="56" s="1"/>
  <c r="F16" i="56" s="1"/>
  <c r="F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U54" i="55"/>
  <c r="V50" i="55" s="1"/>
  <c r="R35" i="2"/>
  <c r="Q35" i="2"/>
  <c r="AA52" i="46"/>
  <c r="AA53" i="46" s="1"/>
  <c r="X47" i="46"/>
  <c r="Y43" i="46" s="1"/>
  <c r="E36" i="45"/>
  <c r="P36" i="2" s="1"/>
  <c r="D36" i="45"/>
  <c r="E44" i="8"/>
  <c r="O36" i="2" l="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L36" i="55" s="1"/>
  <c r="L37"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BA12" i="56"/>
  <c r="BA11" i="56"/>
  <c r="BA13" i="56" s="1"/>
  <c r="BA14" i="56" s="1"/>
  <c r="BA16" i="56" s="1"/>
  <c r="BA17" i="56" s="1"/>
  <c r="AL12" i="56"/>
  <c r="AL11" i="56"/>
  <c r="AO12" i="56"/>
  <c r="AO11" i="56"/>
  <c r="AV12" i="56"/>
  <c r="AV11" i="56"/>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V13" i="56" l="1"/>
  <c r="AV14" i="56" s="1"/>
  <c r="AV16" i="56" s="1"/>
  <c r="AV17" i="56" s="1"/>
  <c r="AS13" i="56"/>
  <c r="AS14" i="56" s="1"/>
  <c r="AS16" i="56" s="1"/>
  <c r="AS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26" i="2" l="1"/>
  <c r="N18" i="2"/>
  <c r="N25" i="2"/>
  <c r="N6" i="2"/>
  <c r="N34" i="2"/>
  <c r="D34" i="2" s="1"/>
  <c r="F34" i="2" s="1"/>
  <c r="L34" i="2" s="1"/>
  <c r="N16" i="2"/>
  <c r="N15" i="2"/>
  <c r="N32" i="2"/>
  <c r="N36" i="2"/>
  <c r="D36" i="2" s="1"/>
  <c r="F36" i="2" s="1"/>
  <c r="L36" i="2" s="1"/>
  <c r="N20" i="2"/>
  <c r="N29" i="2"/>
  <c r="N13" i="2"/>
  <c r="BI2" i="56"/>
  <c r="N3" i="2" s="1"/>
  <c r="N23" i="2"/>
  <c r="N4" i="2"/>
  <c r="N19" i="2"/>
  <c r="N8" i="2"/>
  <c r="N37" i="2"/>
  <c r="D37" i="2" s="1"/>
  <c r="F37" i="2" s="1"/>
  <c r="L37" i="2" s="1"/>
  <c r="U32" i="56" s="1"/>
  <c r="N35" i="2"/>
  <c r="D35" i="2" s="1"/>
  <c r="F35" i="2" s="1"/>
  <c r="L35" i="2" s="1"/>
  <c r="N30" i="2"/>
  <c r="N24" i="2"/>
  <c r="N12" i="2"/>
  <c r="N9" i="2"/>
  <c r="N11" i="2"/>
  <c r="N28" i="2"/>
  <c r="N33" i="2"/>
  <c r="D33" i="2" s="1"/>
  <c r="F33" i="2" s="1"/>
  <c r="L33" i="2" s="1"/>
  <c r="N31" i="2"/>
  <c r="N5" i="2"/>
  <c r="N10" i="2"/>
  <c r="N14" i="2"/>
  <c r="N7" i="2"/>
  <c r="N21" i="2"/>
  <c r="Y32" i="56"/>
  <c r="N38" i="2"/>
  <c r="D38" i="2" s="1"/>
  <c r="F38" i="2" s="1"/>
  <c r="L38" i="2" s="1"/>
  <c r="N22" i="2"/>
  <c r="N17" i="2"/>
  <c r="T32" i="56"/>
  <c r="P32" i="56"/>
  <c r="N32" i="56"/>
  <c r="AB32" i="56"/>
  <c r="H32" i="56"/>
  <c r="F32" i="56"/>
  <c r="X32" i="56"/>
  <c r="O36" i="55"/>
  <c r="O37" i="55" s="1"/>
  <c r="Z45" i="55"/>
  <c r="Z46" i="55" s="1"/>
  <c r="Z54" i="55"/>
  <c r="AA50" i="55" s="1"/>
  <c r="Q44" i="2"/>
  <c r="O44" i="2"/>
  <c r="P44" i="2"/>
  <c r="R44" i="2"/>
  <c r="AF52" i="46"/>
  <c r="AF53" i="46" s="1"/>
  <c r="AD45" i="46"/>
  <c r="AD46" i="46" s="1"/>
  <c r="D45" i="45"/>
  <c r="E45" i="45"/>
  <c r="R32" i="56" l="1"/>
  <c r="W32" i="56"/>
  <c r="M32" i="56"/>
  <c r="J32" i="56"/>
  <c r="E32" i="56"/>
  <c r="K32" i="56"/>
  <c r="O32" i="56"/>
  <c r="S32" i="56"/>
  <c r="AC32" i="56"/>
  <c r="Q32" i="56"/>
  <c r="V32" i="56"/>
  <c r="Z32" i="56"/>
  <c r="I32" i="56"/>
  <c r="AA32" i="56"/>
  <c r="L32" i="56"/>
  <c r="G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D6" i="46"/>
  <c r="AV5" i="47" l="1"/>
  <c r="AV6" i="47" s="1"/>
  <c r="AV7" i="47" s="1"/>
  <c r="I4" i="47"/>
  <c r="AS6" i="46"/>
  <c r="AP4" i="47"/>
  <c r="AP5" i="47" s="1"/>
  <c r="AP6" i="47" s="1"/>
  <c r="AP7" i="47" s="1"/>
  <c r="AP10" i="47" s="1"/>
  <c r="AB5" i="47"/>
  <c r="AB6" i="47" s="1"/>
  <c r="AB7" i="47" s="1"/>
  <c r="J6" i="46"/>
  <c r="J7" i="46" s="1"/>
  <c r="J8" i="46" s="1"/>
  <c r="AM4" i="47"/>
  <c r="AM5" i="47" s="1"/>
  <c r="AM6" i="47" s="1"/>
  <c r="AM7" i="47" s="1"/>
  <c r="E10" i="47"/>
  <c r="E9" i="47"/>
  <c r="K6" i="46"/>
  <c r="K7" i="46" s="1"/>
  <c r="K8" i="46" s="1"/>
  <c r="S4" i="47"/>
  <c r="S5" i="47" s="1"/>
  <c r="S6" i="47" s="1"/>
  <c r="S7" i="47" s="1"/>
  <c r="AN5" i="47"/>
  <c r="AN6" i="47" s="1"/>
  <c r="AN7" i="47" s="1"/>
  <c r="AN10" i="47" s="1"/>
  <c r="T4" i="47"/>
  <c r="T5" i="47" s="1"/>
  <c r="T6" i="47" s="1"/>
  <c r="T7" i="47" s="1"/>
  <c r="T9" i="47" s="1"/>
  <c r="AU6" i="46"/>
  <c r="AU7" i="46" s="1"/>
  <c r="AU8" i="46" s="1"/>
  <c r="F5" i="47"/>
  <c r="F6" i="47" s="1"/>
  <c r="F7" i="47" s="1"/>
  <c r="AK5" i="47"/>
  <c r="AK6" i="47" s="1"/>
  <c r="AK7" i="47" s="1"/>
  <c r="AK10" i="47" s="1"/>
  <c r="T6" i="46"/>
  <c r="AB6" i="46"/>
  <c r="AB7" i="46" s="1"/>
  <c r="AB8" i="46" s="1"/>
  <c r="G5" i="47"/>
  <c r="G6" i="47" s="1"/>
  <c r="G7" i="47" s="1"/>
  <c r="G9" i="47" s="1"/>
  <c r="T36" i="55"/>
  <c r="T37" i="55" s="1"/>
  <c r="L6" i="46"/>
  <c r="L7" i="46" s="1"/>
  <c r="L8" i="46" s="1"/>
  <c r="AI5" i="47"/>
  <c r="AI6" i="47" s="1"/>
  <c r="AI7" i="47" s="1"/>
  <c r="AI9" i="47" s="1"/>
  <c r="AH5" i="47"/>
  <c r="AH6" i="47" s="1"/>
  <c r="AH7" i="47" s="1"/>
  <c r="AH10" i="47" s="1"/>
  <c r="AQ6" i="46"/>
  <c r="AQ7" i="46" s="1"/>
  <c r="AQ8" i="46" s="1"/>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J10" i="47"/>
  <c r="AJ9" i="47"/>
  <c r="T10" i="47"/>
  <c r="AB9" i="47"/>
  <c r="AB10" i="47"/>
  <c r="AV10" i="47"/>
  <c r="AV9" i="47"/>
  <c r="G10" i="47"/>
  <c r="F10" i="47"/>
  <c r="F9" i="47"/>
  <c r="AI10" i="47"/>
  <c r="D7" i="46"/>
  <c r="D8" i="46" s="1"/>
  <c r="AJ7" i="46"/>
  <c r="AJ8" i="46" s="1"/>
  <c r="Z7" i="46"/>
  <c r="Z8" i="46" s="1"/>
  <c r="U7" i="46"/>
  <c r="U8" i="46" s="1"/>
  <c r="Y7" i="46"/>
  <c r="Y8" i="46" s="1"/>
  <c r="AA7" i="46"/>
  <c r="AA8" i="46" s="1"/>
  <c r="AC7" i="46"/>
  <c r="AC8" i="46" s="1"/>
  <c r="O7" i="46"/>
  <c r="O8" i="46" s="1"/>
  <c r="AS7" i="46"/>
  <c r="AS8" i="46" s="1"/>
  <c r="F7" i="46"/>
  <c r="F8" i="46" s="1"/>
  <c r="AL7" i="46"/>
  <c r="AL8" i="46" s="1"/>
  <c r="G7" i="46"/>
  <c r="G8" i="46" s="1"/>
  <c r="Q7" i="46"/>
  <c r="Q8" i="46" s="1"/>
  <c r="E7" i="46"/>
  <c r="E8" i="46" s="1"/>
  <c r="AN7" i="46"/>
  <c r="AN8" i="46" s="1"/>
  <c r="AM7" i="46"/>
  <c r="AM8" i="46" s="1"/>
  <c r="T7" i="46"/>
  <c r="T8" i="46" s="1"/>
  <c r="X7" i="46"/>
  <c r="X8" i="46" s="1"/>
  <c r="P7" i="46"/>
  <c r="P8" i="46" s="1"/>
  <c r="N7" i="46"/>
  <c r="N8" i="46" s="1"/>
  <c r="AO7" i="46"/>
  <c r="AO8" i="46" s="1"/>
  <c r="R7" i="46"/>
  <c r="R8" i="46" s="1"/>
  <c r="AO10" i="47" l="1"/>
  <c r="V9" i="47"/>
  <c r="AM10" i="47"/>
  <c r="AM9" i="47"/>
  <c r="AM11" i="47" s="1"/>
  <c r="AN9" i="47"/>
  <c r="AN11" i="47" s="1"/>
  <c r="S9" i="47"/>
  <c r="S11" i="47" s="1"/>
  <c r="S10" i="47"/>
  <c r="AK9" i="47"/>
  <c r="AK12" i="47" s="1"/>
  <c r="E12" i="47"/>
  <c r="E11" i="47"/>
  <c r="E13" i="47" s="1"/>
  <c r="E14" i="47" s="1"/>
  <c r="E16" i="47" s="1"/>
  <c r="E17" i="47" s="1"/>
  <c r="AF10" i="47"/>
  <c r="Z10" i="47"/>
  <c r="X10" i="47"/>
  <c r="L9" i="47"/>
  <c r="L12" i="47" s="1"/>
  <c r="AH9" i="47"/>
  <c r="AH12" i="47" s="1"/>
  <c r="P10" i="47"/>
  <c r="H10" i="47"/>
  <c r="AA10" i="47"/>
  <c r="AY9" i="47"/>
  <c r="AY12" i="47" s="1"/>
  <c r="T38" i="55"/>
  <c r="U34" i="55" s="1"/>
  <c r="AS9" i="47"/>
  <c r="AS12" i="47" s="1"/>
  <c r="Y9" i="47"/>
  <c r="Y12" i="47" s="1"/>
  <c r="W10" i="47"/>
  <c r="BB9" i="47"/>
  <c r="BB11" i="47" s="1"/>
  <c r="AE54" i="55"/>
  <c r="AF50" i="55" s="1"/>
  <c r="AE45" i="55"/>
  <c r="AE46" i="55" s="1"/>
  <c r="AX9" i="47"/>
  <c r="AX11" i="47" s="1"/>
  <c r="N10" i="47"/>
  <c r="AU9" i="47"/>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O11" i="47"/>
  <c r="O12" i="47"/>
  <c r="P11" i="47"/>
  <c r="P12" i="47"/>
  <c r="W12" i="47"/>
  <c r="W11" i="47"/>
  <c r="N12" i="47"/>
  <c r="N11" i="47"/>
  <c r="AB11" i="47"/>
  <c r="AB12" i="47"/>
  <c r="AD11" i="47"/>
  <c r="AD12" i="47"/>
  <c r="AU12" i="47"/>
  <c r="AU11" i="47"/>
  <c r="AV11" i="47"/>
  <c r="AV12" i="47"/>
  <c r="X12" i="47"/>
  <c r="X11" i="47"/>
  <c r="AW12" i="47"/>
  <c r="AW11" i="47"/>
  <c r="AJ11" i="47"/>
  <c r="AJ12" i="47"/>
  <c r="AI12" i="47"/>
  <c r="AI11" i="47"/>
  <c r="F11" i="47"/>
  <c r="F12" i="47"/>
  <c r="V12" i="47"/>
  <c r="V11" i="47"/>
  <c r="G11" i="47"/>
  <c r="G12" i="47"/>
  <c r="M12" i="47"/>
  <c r="M11" i="47"/>
  <c r="AF11" i="47"/>
  <c r="AF12" i="47"/>
  <c r="AS11" i="47"/>
  <c r="H12" i="47"/>
  <c r="H11" i="47"/>
  <c r="AO11" i="47"/>
  <c r="AO12" i="47"/>
  <c r="T12" i="47"/>
  <c r="T11" i="47"/>
  <c r="R11" i="47"/>
  <c r="R12" i="47"/>
  <c r="AA12" i="47"/>
  <c r="AA11" i="47"/>
  <c r="Z12" i="47"/>
  <c r="Z11" i="47"/>
  <c r="AY11" i="47" l="1"/>
  <c r="AH11" i="47"/>
  <c r="S12" i="47"/>
  <c r="S13" i="47" s="1"/>
  <c r="S14" i="47" s="1"/>
  <c r="S16" i="47" s="1"/>
  <c r="S17" i="47" s="1"/>
  <c r="AM12" i="47"/>
  <c r="AM13" i="47" s="1"/>
  <c r="AM14" i="47" s="1"/>
  <c r="AM16" i="47" s="1"/>
  <c r="AM17" i="47" s="1"/>
  <c r="AK11" i="47"/>
  <c r="AK13" i="47" s="1"/>
  <c r="AK14" i="47" s="1"/>
  <c r="AK16" i="47" s="1"/>
  <c r="AK17" i="47" s="1"/>
  <c r="AN12" i="47"/>
  <c r="AN13" i="47" s="1"/>
  <c r="AN14" i="47" s="1"/>
  <c r="AN16" i="47" s="1"/>
  <c r="AN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P13" i="47"/>
  <c r="P14" i="47" s="1"/>
  <c r="P16" i="47" s="1"/>
  <c r="P17" i="47" s="1"/>
  <c r="AA13" i="47"/>
  <c r="AA14" i="47" s="1"/>
  <c r="AA16" i="47" s="1"/>
  <c r="AA17" i="47" s="1"/>
  <c r="T13" i="47"/>
  <c r="T14" i="47" s="1"/>
  <c r="T16" i="47" s="1"/>
  <c r="T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L13" i="47"/>
  <c r="L14" i="47" s="1"/>
  <c r="L16" i="47" s="1"/>
  <c r="L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Q54" i="46"/>
  <c r="AR50" i="46" s="1"/>
  <c r="J38" i="46"/>
  <c r="K34" i="46" s="1"/>
  <c r="K36" i="46" s="1"/>
  <c r="K37" i="46" s="1"/>
  <c r="K38" i="46" s="1"/>
  <c r="L34" i="46" s="1"/>
  <c r="L36" i="46" s="1"/>
  <c r="L37" i="46" s="1"/>
  <c r="AN47" i="46"/>
  <c r="AO43" i="46" s="1"/>
  <c r="AJ54" i="55" l="1"/>
  <c r="AK50" i="55" s="1"/>
  <c r="AK52" i="55" s="1"/>
  <c r="AK53" i="55" s="1"/>
  <c r="AA36" i="55"/>
  <c r="AA37"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O52" i="55" s="1"/>
  <c r="AO53" i="55" s="1"/>
  <c r="AD38" i="55"/>
  <c r="AE34" i="55" s="1"/>
  <c r="AE36" i="55" s="1"/>
  <c r="AE37" i="55" s="1"/>
  <c r="AM47" i="55"/>
  <c r="AN43" i="55" s="1"/>
  <c r="AN45" i="55"/>
  <c r="AN46"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5"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U27" i="47" l="1"/>
  <c r="U26" i="47"/>
  <c r="J25" i="47"/>
  <c r="X26" i="47"/>
  <c r="M27" i="47"/>
  <c r="AA26" i="47"/>
  <c r="X27" i="47"/>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F28" i="47" s="1"/>
  <c r="F29" i="47" s="1"/>
  <c r="F31" i="47" s="1"/>
  <c r="F33" i="47" s="1"/>
  <c r="F34" i="47" s="1"/>
  <c r="F35" i="47" s="1"/>
  <c r="J27" i="47"/>
  <c r="J28" i="47" s="1"/>
  <c r="J29" i="47" s="1"/>
  <c r="J31" i="47" s="1"/>
  <c r="J33" i="47" s="1"/>
  <c r="J34" i="47" s="1"/>
  <c r="J35" i="47" s="1"/>
  <c r="AB26" i="47"/>
  <c r="AB28" i="47" s="1"/>
  <c r="AB29" i="47" s="1"/>
  <c r="AB31" i="47" s="1"/>
  <c r="AB33" i="47" s="1"/>
  <c r="AB34" i="47" s="1"/>
  <c r="AB35" i="47" s="1"/>
  <c r="P25" i="47"/>
  <c r="T26" i="47"/>
  <c r="Z26" i="47"/>
  <c r="Z25" i="47"/>
  <c r="AC25" i="47"/>
  <c r="K25" i="47"/>
  <c r="P26" i="47"/>
  <c r="G26" i="47"/>
  <c r="G28" i="47" s="1"/>
  <c r="G29" i="47" s="1"/>
  <c r="G31" i="47" s="1"/>
  <c r="G33" i="47" s="1"/>
  <c r="G34" i="47" s="1"/>
  <c r="G35" i="47" s="1"/>
  <c r="AC27" i="47"/>
  <c r="M26" i="47"/>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U28" i="47"/>
  <c r="U29" i="47" s="1"/>
  <c r="U31" i="47" s="1"/>
  <c r="U33" i="47" s="1"/>
  <c r="U34" i="47" s="1"/>
  <c r="U35" i="47" s="1"/>
  <c r="H28" i="47" l="1"/>
  <c r="H29" i="47" s="1"/>
  <c r="H31" i="47" s="1"/>
  <c r="H33" i="47" s="1"/>
  <c r="H34" i="47" s="1"/>
  <c r="H35" i="47" s="1"/>
  <c r="L28" i="47"/>
  <c r="L29" i="47" s="1"/>
  <c r="L31" i="47" s="1"/>
  <c r="L33" i="47" s="1"/>
  <c r="L34" i="47" s="1"/>
  <c r="L35" i="47" s="1"/>
  <c r="X28" i="47"/>
  <c r="X29" i="47" s="1"/>
  <c r="X31" i="47" s="1"/>
  <c r="X33" i="47" s="1"/>
  <c r="X34" i="47" s="1"/>
  <c r="X35" i="47" s="1"/>
  <c r="Z28" i="47"/>
  <c r="Z29" i="47" s="1"/>
  <c r="Z31" i="47" s="1"/>
  <c r="Z33" i="47" s="1"/>
  <c r="Z34" i="47" s="1"/>
  <c r="Z35" i="47" s="1"/>
  <c r="M28" i="47"/>
  <c r="M29" i="47" s="1"/>
  <c r="M31" i="47" s="1"/>
  <c r="M33" i="47" s="1"/>
  <c r="M34" i="47" s="1"/>
  <c r="M35" i="47" s="1"/>
  <c r="W28" i="47"/>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<sst xmlns="http://schemas.openxmlformats.org/spreadsheetml/2006/main" count="1524" uniqueCount="278">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</sst>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3" sqref="C3"/>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f>2%*(1-50%)</f>
        <v>0.01</v>
      </c>
    </row>
    <row r="3" spans="2:3" x14ac:dyDescent="0.2">
      <c r="B3" s="40" t="s">
        <v>217</v>
      </c>
      <c r="C3" s="43"/>
    </row>
    <row r="4" spans="2:3" x14ac:dyDescent="0.2">
      <c r="B4" s="45" t="s">
        <v>63</v>
      </c>
      <c r="C4" s="46">
        <v>0.03</v>
      </c>
    </row>
    <row r="5" spans="2:3" x14ac:dyDescent="0.2">
      <c r="B5" s="47" t="s">
        <v>65</v>
      </c>
      <c r="C5" s="48">
        <f>C4-C2</f>
        <v>1.9999999999999997E-2</v>
      </c>
    </row>
    <row r="6" spans="2:3" x14ac:dyDescent="0.2">
      <c r="B6" s="47" t="s">
        <v>64</v>
      </c>
      <c r="C6" s="48">
        <v>0.06</v>
      </c>
    </row>
    <row r="7" spans="2:3" x14ac:dyDescent="0.2">
      <c r="B7" s="47" t="s">
        <v>175</v>
      </c>
      <c r="C7" s="48">
        <f>C6-C2</f>
        <v>4.9999999999999996E-2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0.01</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73596.049504950483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44352.364335028346</v>
      </c>
      <c r="O3" s="60" cm="1">
        <f t="array" ref="O3">INDEX($H$3:$H$18,ROWS($H$3:$H$18)+ROW($H$3)-ROW())</f>
        <v>36965.72433477857</v>
      </c>
      <c r="Q3" s="63">
        <f>Table11[[#This Row],[GrossMonthlyInflationAdjustedP2]]*0.2</f>
        <v>8870.4728670056702</v>
      </c>
    </row>
    <row r="4" spans="1:17" x14ac:dyDescent="0.2">
      <c r="A4" s="16"/>
      <c r="B4" s="14" t="s">
        <v>65</v>
      </c>
      <c r="C4" s="15">
        <f>Income!I4</f>
        <v>1.9999999999999997E-2</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45239.411621728912</v>
      </c>
      <c r="O4" s="60" cm="1">
        <f t="array" ref="O4">INDEX($H$3:$H$18,ROWS($H$3:$H$18)+ROW($H$3)-ROW())</f>
        <v>38074.696064821925</v>
      </c>
      <c r="Q4" s="63">
        <f>Table11[[#This Row],[GrossMonthlyInflationAdjustedP2]]*0.2</f>
        <v>9047.8823243457828</v>
      </c>
    </row>
    <row r="5" spans="1:17" x14ac:dyDescent="0.2">
      <c r="A5" s="16"/>
      <c r="B5" s="14" t="s">
        <v>64</v>
      </c>
      <c r="C5" s="15">
        <f>Income!I5</f>
        <v>0.06</v>
      </c>
      <c r="G5" s="35">
        <f>(G4/(1+$C$4))-IF(TableIncomeCalculations11[[#This Row],[Inverse]]="Y",G4*$C$6,0)</f>
        <v>67130.575721066896</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46144.199854163489</v>
      </c>
      <c r="O5" s="60" cm="1">
        <f t="array" ref="O5">INDEX($H$3:$H$18,ROWS($H$3:$H$18)+ROW($H$3)-ROW())</f>
        <v>39216.936946766582</v>
      </c>
      <c r="Q5" s="63">
        <f>Table11[[#This Row],[GrossMonthlyInflationAdjustedP2]]*0.2</f>
        <v>9228.8399708326979</v>
      </c>
    </row>
    <row r="6" spans="1:17" x14ac:dyDescent="0.2">
      <c r="A6" s="16"/>
      <c r="B6" s="14" t="s">
        <v>175</v>
      </c>
      <c r="C6" s="15">
        <f>Income!I6</f>
        <v>4.9999999999999996E-2</v>
      </c>
      <c r="G6" s="35">
        <f>(G5/(1+$C$4))-IF(TableIncomeCalculations11[[#This Row],[Inverse]]="Y",G5*$C$6,0)</f>
        <v>65814.289922614596</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49596.505638826937</v>
      </c>
      <c r="O6" s="60" cm="1">
        <f t="array" ref="O6">INDEX($H$3:$H$18,ROWS($H$3:$H$18)+ROW($H$3)-ROW())</f>
        <v>43054.194260466407</v>
      </c>
      <c r="Q6" s="63">
        <f>Table11[[#This Row],[GrossMonthlyInflationAdjustedP2]]*0.2</f>
        <v>9919.3011277653877</v>
      </c>
    </row>
    <row r="7" spans="1:17" x14ac:dyDescent="0.2">
      <c r="A7" s="16"/>
      <c r="B7" s="14" t="s">
        <v>76</v>
      </c>
      <c r="C7" s="15">
        <f>Income!I7</f>
        <v>0.2</v>
      </c>
      <c r="G7" s="35">
        <f>(G6/(1+$C$4))-IF(TableIncomeCalculations11[[#This Row],[Inverse]]="Y",G6*$C$6,0)</f>
        <v>64523.813649622149</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50588.43575160348</v>
      </c>
      <c r="O7" s="60" cm="1">
        <f t="array" ref="O7">INDEX($H$3:$H$18,ROWS($H$3:$H$18)+ROW($H$3)-ROW())</f>
        <v>44345.820088280401</v>
      </c>
      <c r="Q7" s="63">
        <f>Table11[[#This Row],[GrossMonthlyInflationAdjustedP2]]*0.2</f>
        <v>10117.687150320697</v>
      </c>
    </row>
    <row r="8" spans="1:17" x14ac:dyDescent="0.2">
      <c r="A8" s="16"/>
      <c r="C8" s="17"/>
      <c r="G8" s="35">
        <f>(G7/(1+$C$4))-IF(TableIncomeCalculations11[[#This Row],[Inverse]]="Y",G7*$C$6,0)</f>
        <v>60032.450150481782</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51600.20446663555</v>
      </c>
      <c r="O8" s="60" cm="1">
        <f t="array" ref="O8">INDEX($H$3:$H$18,ROWS($H$3:$H$18)+ROW($H$3)-ROW())</f>
        <v>45676.194690928816</v>
      </c>
      <c r="Q8" s="63">
        <f>Table11[[#This Row],[GrossMonthlyInflationAdjustedP2]]*0.2</f>
        <v>10320.04089332711</v>
      </c>
    </row>
    <row r="9" spans="1:17" x14ac:dyDescent="0.2">
      <c r="A9" s="16"/>
      <c r="G9" s="35">
        <f>(G8/(1+$C$4))-IF(TableIncomeCalculations11[[#This Row],[Inverse]]="Y",G8*$C$6,0)</f>
        <v>58855.34328478606</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52632.20855596826</v>
      </c>
      <c r="O9" s="60" cm="1">
        <f t="array" ref="O9">INDEX($H$3:$H$18,ROWS($H$3:$H$18)+ROW($H$3)-ROW())</f>
        <v>47046.480531656685</v>
      </c>
      <c r="Q9" s="63">
        <f>Table11[[#This Row],[GrossMonthlyInflationAdjustedP2]]*0.2</f>
        <v>10526.441711193653</v>
      </c>
    </row>
    <row r="10" spans="1:17" x14ac:dyDescent="0.2">
      <c r="A10" s="16"/>
      <c r="G10" s="35">
        <f>(G9/(1+$C$4))-IF(TableIncomeCalculations11[[#This Row],[Inverse]]="Y",G9*$C$6,0)</f>
        <v>57701.316945868683</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56569.918574381059</v>
      </c>
      <c r="O10" s="60" cm="1">
        <f t="array" ref="O10">INDEX($H$3:$H$18,ROWS($H$3:$H$18)+ROW($H$3)-ROW())</f>
        <v>51649.834734178628</v>
      </c>
      <c r="Q10" s="63">
        <f>Table11[[#This Row],[GrossMonthlyInflationAdjustedP2]]*0.2</f>
        <v>11313.983714876213</v>
      </c>
    </row>
    <row r="11" spans="1:17" x14ac:dyDescent="0.2">
      <c r="A11" s="16"/>
      <c r="G11" s="35">
        <f>(G10/(1+$C$4))-IF(TableIncomeCalculations11[[#This Row],[Inverse]]="Y",G10*$C$6,0)</f>
        <v>56569.918574381059</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57701.316945868683</v>
      </c>
      <c r="O11" s="60" cm="1">
        <f t="array" ref="O11">INDEX($H$3:$H$18,ROWS($H$3:$H$18)+ROW($H$3)-ROW())</f>
        <v>53199.329776203987</v>
      </c>
      <c r="Q11" s="63">
        <f>Table11[[#This Row],[GrossMonthlyInflationAdjustedP2]]*0.2</f>
        <v>11540.263389173737</v>
      </c>
    </row>
    <row r="12" spans="1:17" x14ac:dyDescent="0.2">
      <c r="A12" s="16"/>
      <c r="G12" s="35">
        <f>(G11/(1+$C$4))-IF(TableIncomeCalculations11[[#This Row],[Inverse]]="Y",G11*$C$6,0)</f>
        <v>52632.20855596826</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58855.34328478606</v>
      </c>
      <c r="O12" s="60" cm="1">
        <f t="array" ref="O12">INDEX($H$3:$H$18,ROWS($H$3:$H$18)+ROW($H$3)-ROW())</f>
        <v>54795.309669490111</v>
      </c>
      <c r="Q12" s="63">
        <f>Table11[[#This Row],[GrossMonthlyInflationAdjustedP2]]*0.2</f>
        <v>11771.068656957214</v>
      </c>
    </row>
    <row r="13" spans="1:17" x14ac:dyDescent="0.2">
      <c r="A13" s="16"/>
      <c r="G13" s="35">
        <f>(G12/(1+$C$4))-IF(TableIncomeCalculations11[[#This Row],[Inverse]]="Y",G12*$C$6,0)</f>
        <v>51600.20446663555</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60032.450150481782</v>
      </c>
      <c r="O13" s="60" cm="1">
        <f t="array" ref="O13">INDEX($H$3:$H$18,ROWS($H$3:$H$18)+ROW($H$3)-ROW())</f>
        <v>56439.168959574818</v>
      </c>
      <c r="Q13" s="63">
        <f>Table11[[#This Row],[GrossMonthlyInflationAdjustedP2]]*0.2</f>
        <v>12006.490030096356</v>
      </c>
    </row>
    <row r="14" spans="1:17" x14ac:dyDescent="0.2">
      <c r="A14" s="16"/>
      <c r="G14" s="35">
        <f>(G13/(1+$C$4))-IF(TableIncomeCalculations11[[#This Row],[Inverse]]="Y",G13*$C$6,0)</f>
        <v>50588.43575160348</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64523.813649622149</v>
      </c>
      <c r="O14" s="60" cm="1">
        <f t="array" ref="O14">INDEX($H$3:$H$18,ROWS($H$3:$H$18)+ROW($H$3)-ROW())</f>
        <v>61961.56899207212</v>
      </c>
      <c r="Q14" s="63">
        <f>Table11[[#This Row],[GrossMonthlyInflationAdjustedP2]]*0.2</f>
        <v>12904.76272992443</v>
      </c>
    </row>
    <row r="15" spans="1:17" x14ac:dyDescent="0.2">
      <c r="A15" s="16"/>
      <c r="G15" s="35">
        <f>(G14/(1+$C$4))-IF(TableIncomeCalculations11[[#This Row],[Inverse]]="Y",G14*$C$6,0)</f>
        <v>49596.505638826937</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65814.289922614596</v>
      </c>
      <c r="O15" s="60" cm="1">
        <f t="array" ref="O15">INDEX($H$3:$H$18,ROWS($H$3:$H$18)+ROW($H$3)-ROW())</f>
        <v>63820.416061834287</v>
      </c>
      <c r="Q15" s="63">
        <f>Table11[[#This Row],[GrossMonthlyInflationAdjustedP2]]*0.2</f>
        <v>13162.85798452292</v>
      </c>
    </row>
    <row r="16" spans="1:17" x14ac:dyDescent="0.2">
      <c r="A16" s="16"/>
      <c r="G16" s="35">
        <f>(G15/(1+$C$4))-IF(TableIncomeCalculations11[[#This Row],[Inverse]]="Y",G15*$C$6,0)</f>
        <v>46144.199854163489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67130.575721066896</v>
      </c>
      <c r="O16" s="60" cm="1">
        <f t="array" ref="O16">INDEX($H$3:$H$18,ROWS($H$3:$H$18)+ROW($H$3)-ROW())</f>
        <v>65735.028543689317</v>
      </c>
      <c r="Q16" s="63">
        <f>Table11[[#This Row],[GrossMonthlyInflationAdjustedP2]]*0.2</f>
        <v>13426.11514421338</v>
      </c>
    </row>
    <row r="17" spans="1:17" x14ac:dyDescent="0.2">
      <c r="A17" s="16"/>
      <c r="G17" s="35">
        <f>(G16/(1+$C$4))-IF(TableIncomeCalculations11[[#This Row],[Inverse]]="Y",G16*$C$6,0)</f>
        <v>45239.411621728912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44352.364335028346</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73596.049504950483</v>
      </c>
      <c r="O18" s="60" cm="1">
        <f t="array" ref="O18">INDEX($H$3:$H$18,ROWS($H$3:$H$18)+ROW($H$3)-ROW())</f>
        <v>74332.009999999995</v>
      </c>
      <c r="Q18" s="63">
        <f>Table11[[#This Row],[GrossMonthlyInflationAdjustedP2]]*0.2</f>
        <v>14719.209900990098</v>
      </c>
    </row>
    <row r="19" spans="1:17" x14ac:dyDescent="0.2">
      <c r="A19" s="16"/>
      <c r="M19" s="62"/>
    </row>
    <row r="20" spans="1:17" x14ac:dyDescent="0.2">
      <c r="A20" s="16"/>
    </row>
    <row r="21" spans="1:17" x14ac:dyDescent="0.2">
      <c r="A21" s="16"/>
      <c r="Q21" s="63">
        <f>SUM(Q3:Q18)</f>
        <v>183306.01553769247</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0.01</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285808.77008807927</v>
      </c>
      <c r="D3" s="37">
        <f>(TableIncomeCalculations[[#This Row],[NetMonthlySalaryP2]]*12)</f>
        <v>467195.63721908128</v>
      </c>
      <c r="E3" s="36">
        <f>TableIncome[[#This Row],[SalaryP1]]*$I$7</f>
        <v>57161.754017615858</v>
      </c>
      <c r="F3" s="36">
        <f>TableIncome[[#This Row],[SalaryP2]]*$I$7</f>
        <v>93439.127443816265</v>
      </c>
      <c r="G3" s="16"/>
      <c r="H3" s="14" t="s">
        <v>63</v>
      </c>
      <c r="I3" s="15" cm="1">
        <f t="array" ref="I3:I7">'Salary Variables'!$C$4:$C$8</f>
        <v>0.03</v>
      </c>
      <c r="K3" s="57">
        <f>(TableIncome[[#This Row],[SalaryP1]]-TableIncome[[#This Row],[InvestmentP1]])/12</f>
        <v>19053.91800587195</v>
      </c>
      <c r="L3" s="57">
        <f>(TableIncome[[#This Row],[SalaryP2]]-TableIncome[[#This Row],[InvestmentP2]])/12</f>
        <v>31146.375814605417</v>
      </c>
      <c r="M3" s="34">
        <f>'Net Salary P1'!BI2</f>
        <v>23817.397507339938</v>
      </c>
      <c r="N3" s="35">
        <f>'Net Salary P2'!BI2</f>
        <v>38932.969768256771</v>
      </c>
      <c r="O3" s="35">
        <f>TableIncomeCalculations[[#This Row],[GrossMonthlySalaryP1]]/(1+I2)</f>
        <v>43851.485148514854</v>
      </c>
      <c r="P3" s="31">
        <f>TableIncomeCalculations[[#This Row],[GrossMonthlySalaryP2]]/(1+I2)</f>
        <v>73596.049504950483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291602.77139992086</v>
      </c>
      <c r="D4" s="37">
        <f>(TableIncomeCalculations[[#This Row],[NetMonthlySalaryP2]]*12)</f>
        <v>474604.09699354274</v>
      </c>
      <c r="E4" s="36">
        <f>TableIncome[[#This Row],[SalaryP1]]*$I$7</f>
        <v>58320.554279984179</v>
      </c>
      <c r="F4" s="36">
        <f>TableIncome[[#This Row],[SalaryP2]]*$I$7</f>
        <v>94920.819398708554</v>
      </c>
      <c r="G4" s="16"/>
      <c r="H4" s="14" t="s">
        <v>65</v>
      </c>
      <c r="I4" s="15">
        <v>1.9999999999999997E-2</v>
      </c>
      <c r="K4" s="57">
        <f>(TableIncome[[#This Row],[SalaryP1]]-TableIncome[[#This Row],[InvestmentP1]])/12</f>
        <v>19440.184759994725</v>
      </c>
      <c r="L4" s="57">
        <f>(TableIncome[[#This Row],[SalaryP2]]-TableIncome[[#This Row],[InvestmentP2]])/12</f>
        <v>31640.27313290285</v>
      </c>
      <c r="M4" s="34">
        <f>'Net Salary P1'!BI3</f>
        <v>24300.230949993405</v>
      </c>
      <c r="N4" s="35">
        <f>'Net Salary P2'!BI3</f>
        <v>39550.341416128562</v>
      </c>
      <c r="O4" s="35">
        <f>IF(_xlfn.XLOOKUP(TableIncome[[#This Row],[Year]],Loop!C:C,Loop!D:D)&lt;75,(O3*(1+$I$4))+IF(TableIncomeCalculations[[#This Row],[SwitchP1]]="Y",O3*$I$6,0),0)</f>
        <v>44728.514851485153</v>
      </c>
      <c r="P4" s="35">
        <f>IF(_xlfn.XLOOKUP(TableIncome[[#This Row],[Year]],Loop!C:C,Loop!E:E)&lt;75,(P3*(1+$I$4))+IF(TableIncomeCalculations[[#This Row],[SwitchP2]]="Y",P3*$I$6,0),0)</f>
        <v>75067.970495049492</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312287.35608319531</v>
      </c>
      <c r="D5" s="37">
        <f>(TableIncomeCalculations[[#This Row],[NetMonthlySalaryP2]]*12)</f>
        <v>501052.29838837078</v>
      </c>
      <c r="E5" s="36">
        <f>TableIncome[[#This Row],[SalaryP1]]*$I$7</f>
        <v>62457.471216639067</v>
      </c>
      <c r="F5" s="36">
        <f>TableIncome[[#This Row],[SalaryP2]]*$I$7</f>
        <v>100210.45967767417</v>
      </c>
      <c r="G5" s="16"/>
      <c r="H5" s="14" t="s">
        <v>64</v>
      </c>
      <c r="I5" s="15">
        <v>0.06</v>
      </c>
      <c r="K5" s="57">
        <f>(TableIncome[[#This Row],[SalaryP1]]-TableIncome[[#This Row],[InvestmentP1]])/12</f>
        <v>20819.15707221302</v>
      </c>
      <c r="L5" s="57">
        <f>(TableIncome[[#This Row],[SalaryP2]]-TableIncome[[#This Row],[InvestmentP2]])/12</f>
        <v>33403.486559224715</v>
      </c>
      <c r="M5" s="34">
        <f>'Net Salary P1'!BI4</f>
        <v>26023.946340266277</v>
      </c>
      <c r="N5" s="35">
        <f>'Net Salary P2'!BI4</f>
        <v>41754.358199030896</v>
      </c>
      <c r="O5" s="35">
        <f>IF(_xlfn.XLOOKUP(TableIncome[[#This Row],[Year]],Loop!C:C,Loop!D:D)&lt;75,(O4*(1+$I$4))+IF(TableIncomeCalculations[[#This Row],[SwitchP1]]="Y",O4*$I$6,0),0)</f>
        <v>47859.510891089114</v>
      </c>
      <c r="P5" s="35">
        <f>IF(_xlfn.XLOOKUP(TableIncome[[#This Row],[Year]],Loop!C:C,Loop!E:E)&lt;75,(P4*(1+$I$4))+IF(TableIncomeCalculations[[#This Row],[SwitchP2]]="Y",P4*$I$6,0),0)</f>
        <v>80322.728429702955</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318610.92911493924</v>
      </c>
      <c r="D6" s="37">
        <f>(TableIncomeCalculations[[#This Row],[NetMonthlySalaryP2]]*12)</f>
        <v>509137.89138621814</v>
      </c>
      <c r="E6" s="36">
        <f>TableIncome[[#This Row],[SalaryP1]]*$I$7</f>
        <v>63722.185822987849</v>
      </c>
      <c r="F6" s="36">
        <f>TableIncome[[#This Row],[SalaryP2]]*$I$7</f>
        <v>101827.57827724364</v>
      </c>
      <c r="G6" s="16"/>
      <c r="H6" s="14" t="s">
        <v>175</v>
      </c>
      <c r="I6" s="15">
        <v>4.9999999999999996E-2</v>
      </c>
      <c r="K6" s="57">
        <f>(TableIncome[[#This Row],[SalaryP1]]-TableIncome[[#This Row],[InvestmentP1]])/12</f>
        <v>21240.728607662615</v>
      </c>
      <c r="L6" s="57">
        <f>(TableIncome[[#This Row],[SalaryP2]]-TableIncome[[#This Row],[InvestmentP2]])/12</f>
        <v>33942.52609241454</v>
      </c>
      <c r="M6" s="34">
        <f>'Net Salary P1'!BI5</f>
        <v>26550.91075957827</v>
      </c>
      <c r="N6" s="35">
        <f>'Net Salary P2'!BI5</f>
        <v>42428.157615518176</v>
      </c>
      <c r="O6" s="35">
        <f>IF(_xlfn.XLOOKUP(TableIncome[[#This Row],[Year]],Loop!C:C,Loop!D:D)&lt;75,(O5*(1+$I$4))+IF(TableIncomeCalculations[[#This Row],[SwitchP1]]="Y",O5*$I$6,0),0)</f>
        <v>48816.7011089109</v>
      </c>
      <c r="P6" s="35">
        <f>IF(_xlfn.XLOOKUP(TableIncome[[#This Row],[Year]],Loop!C:C,Loop!E:E)&lt;75,(P5*(1+$I$4))+IF(TableIncomeCalculations[[#This Row],[SwitchP2]]="Y",P5*$I$6,0),0)</f>
        <v>81929.182998297008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325060.97360731801</v>
      </c>
      <c r="D7" s="37">
        <f>(TableIncomeCalculations[[#This Row],[NetMonthlySalaryP2]]*12)</f>
        <v>517385.19624402258</v>
      </c>
      <c r="E7" s="36">
        <f>TableIncome[[#This Row],[SalaryP1]]*$I$7</f>
        <v>65012.194721463602</v>
      </c>
      <c r="F7" s="36">
        <f>TableIncome[[#This Row],[SalaryP2]]*$I$7</f>
        <v>103477.03924880452</v>
      </c>
      <c r="G7" s="16"/>
      <c r="H7" s="14" t="s">
        <v>76</v>
      </c>
      <c r="I7" s="15">
        <v>0.2</v>
      </c>
      <c r="K7" s="57">
        <f>(TableIncome[[#This Row],[SalaryP1]]-TableIncome[[#This Row],[InvestmentP1]])/12</f>
        <v>21670.731573821202</v>
      </c>
      <c r="L7" s="57">
        <f>(TableIncome[[#This Row],[SalaryP2]]-TableIncome[[#This Row],[InvestmentP2]])/12</f>
        <v>34492.34641626817</v>
      </c>
      <c r="M7" s="34">
        <f>'Net Salary P1'!BI6</f>
        <v>27088.4144672765</v>
      </c>
      <c r="N7" s="35">
        <f>'Net Salary P2'!BI6</f>
        <v>43115.433020335215</v>
      </c>
      <c r="O7" s="35">
        <f>IF(_xlfn.XLOOKUP(TableIncome[[#This Row],[Year]],Loop!C:C,Loop!D:D)&lt;75,(O6*(1+$I$4))+IF(TableIncomeCalculations[[#This Row],[SwitchP1]]="Y",O6*$I$6,0),0)</f>
        <v>49793.03513108912</v>
      </c>
      <c r="P7" s="35">
        <f>IF(_xlfn.XLOOKUP(TableIncome[[#This Row],[Year]],Loop!C:C,Loop!E:E)&lt;75,(P6*(1+$I$4))+IF(TableIncomeCalculations[[#This Row],[SwitchP2]]="Y",P6*$I$6,0),0)</f>
        <v>83567.766658262946</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331640.01898954442</v>
      </c>
      <c r="D8" s="37">
        <f>(TableIncomeCalculations[[#This Row],[NetMonthlySalaryP2]]*12)</f>
        <v>525797.44719898305</v>
      </c>
      <c r="E8" s="36">
        <f>TableIncome[[#This Row],[SalaryP1]]*$I$7</f>
        <v>66328.003797908881</v>
      </c>
      <c r="F8" s="36">
        <f>TableIncome[[#This Row],[SalaryP2]]*$I$7</f>
        <v>105159.48943979661</v>
      </c>
      <c r="G8" s="16"/>
      <c r="I8" s="17"/>
      <c r="K8" s="57">
        <f>(TableIncome[[#This Row],[SalaryP1]]-TableIncome[[#This Row],[InvestmentP1]])/12</f>
        <v>22109.334599302962</v>
      </c>
      <c r="L8" s="57">
        <f>(TableIncome[[#This Row],[SalaryP2]]-TableIncome[[#This Row],[InvestmentP2]])/12</f>
        <v>35053.163146598868</v>
      </c>
      <c r="M8" s="34">
        <f>'Net Salary P1'!BI7</f>
        <v>27636.668249128703</v>
      </c>
      <c r="N8" s="35">
        <f>'Net Salary P2'!BI7</f>
        <v>43816.453933248587</v>
      </c>
      <c r="O8" s="35">
        <f>IF(_xlfn.XLOOKUP(TableIncome[[#This Row],[Year]],Loop!C:C,Loop!D:D)&lt;75,(O7*(1+$I$4))+IF(TableIncomeCalculations[[#This Row],[SwitchP1]]="Y",O7*$I$6,0),0)</f>
        <v>50788.895833710907</v>
      </c>
      <c r="P8" s="35">
        <f>IF(_xlfn.XLOOKUP(TableIncome[[#This Row],[Year]],Loop!C:C,Loop!E:E)&lt;75,(P7*(1+$I$4))+IF(TableIncomeCalculations[[#This Row],[SwitchP2]]="Y",P7*$I$6,0),0)</f>
        <v>85239.121991428212</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355127.21100409247</v>
      </c>
      <c r="D9" s="37">
        <f>(TableIncomeCalculations[[#This Row],[NetMonthlySalaryP2]]*12)</f>
        <v>555829.18310819182</v>
      </c>
      <c r="E9" s="36">
        <f>TableIncome[[#This Row],[SalaryP1]]*$I$7</f>
        <v>71025.442200818492</v>
      </c>
      <c r="F9" s="36">
        <f>TableIncome[[#This Row],[SalaryP2]]*$I$7</f>
        <v>111165.83662163837</v>
      </c>
      <c r="G9" s="16"/>
      <c r="K9" s="57">
        <f>(TableIncome[[#This Row],[SalaryP1]]-TableIncome[[#This Row],[InvestmentP1]])/12</f>
        <v>23675.147400272832</v>
      </c>
      <c r="L9" s="57">
        <f>(TableIncome[[#This Row],[SalaryP2]]-TableIncome[[#This Row],[InvestmentP2]])/12</f>
        <v>37055.278873879455</v>
      </c>
      <c r="M9" s="34">
        <f>'Net Salary P1'!BI8</f>
        <v>29593.934250341041</v>
      </c>
      <c r="N9" s="35">
        <f>'Net Salary P2'!BI8</f>
        <v>46319.098592349321</v>
      </c>
      <c r="O9" s="35">
        <f>IF(_xlfn.XLOOKUP(TableIncome[[#This Row],[Year]],Loop!C:C,Loop!D:D)&lt;75,(O8*(1+$I$4))+IF(TableIncomeCalculations[[#This Row],[SwitchP1]]="Y",O8*$I$6,0),0)</f>
        <v>54344.118542070668</v>
      </c>
      <c r="P9" s="35">
        <f>IF(_xlfn.XLOOKUP(TableIncome[[#This Row],[Year]],Loop!C:C,Loop!E:E)&lt;75,(P8*(1+$I$4))+IF(TableIncomeCalculations[[#This Row],[SwitchP2]]="Y",P8*$I$6,0),0)</f>
        <v>91205.860530828184</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362307.58113425435</v>
      </c>
      <c r="D10" s="37">
        <f>(TableIncomeCalculations[[#This Row],[NetMonthlySalaryP2]]*12)</f>
        <v>565010.31380043563</v>
      </c>
      <c r="E10" s="36">
        <f>TableIncome[[#This Row],[SalaryP1]]*$I$7</f>
        <v>72461.516226850872</v>
      </c>
      <c r="F10" s="36">
        <f>TableIncome[[#This Row],[SalaryP2]]*$I$7</f>
        <v>113002.06276008714</v>
      </c>
      <c r="G10" s="16"/>
      <c r="H10" s="28"/>
      <c r="K10" s="57">
        <f>(TableIncome[[#This Row],[SalaryP1]]-TableIncome[[#This Row],[InvestmentP1]])/12</f>
        <v>24153.838742283624</v>
      </c>
      <c r="L10" s="57">
        <f>(TableIncome[[#This Row],[SalaryP2]]-TableIncome[[#This Row],[InvestmentP2]])/12</f>
        <v>37667.354253362377</v>
      </c>
      <c r="M10" s="34">
        <f>'Net Salary P1'!BI9</f>
        <v>30192.29842785453</v>
      </c>
      <c r="N10" s="35">
        <f>'Net Salary P2'!BI9</f>
        <v>47084.192816702969</v>
      </c>
      <c r="O10" s="35">
        <f>IF(_xlfn.XLOOKUP(TableIncome[[#This Row],[Year]],Loop!C:C,Loop!D:D)&lt;75,(O9*(1+$I$4))+IF(TableIncomeCalculations[[#This Row],[SwitchP1]]="Y",O9*$I$6,0),0)</f>
        <v>55431.000912912081</v>
      </c>
      <c r="P10" s="35">
        <f>IF(_xlfn.XLOOKUP(TableIncome[[#This Row],[Year]],Loop!C:C,Loop!E:E)&lt;75,(P9*(1+$I$4))+IF(TableIncomeCalculations[[#This Row],[SwitchP2]]="Y",P9*$I$6,0),0)</f>
        <v>93029.977741444745</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369631.55866701948</v>
      </c>
      <c r="D11" s="37">
        <f>(TableIncomeCalculations[[#This Row],[NetMonthlySalaryP2]]*12)</f>
        <v>574375.06710652425</v>
      </c>
      <c r="E11" s="36">
        <f>TableIncome[[#This Row],[SalaryP1]]*$I$7</f>
        <v>73926.311733403898</v>
      </c>
      <c r="F11" s="36">
        <f>TableIncome[[#This Row],[SalaryP2]]*$I$7</f>
        <v>114875.01342130486</v>
      </c>
      <c r="G11" s="16"/>
      <c r="K11" s="57">
        <f>(TableIncome[[#This Row],[SalaryP1]]-TableIncome[[#This Row],[InvestmentP1]])/12</f>
        <v>24642.103911134633</v>
      </c>
      <c r="L11" s="57">
        <f>(TableIncome[[#This Row],[SalaryP2]]-TableIncome[[#This Row],[InvestmentP2]])/12</f>
        <v>38291.671140434948</v>
      </c>
      <c r="M11" s="34">
        <f>'Net Salary P1'!BI10</f>
        <v>30802.629888918291</v>
      </c>
      <c r="N11" s="35">
        <f>'Net Salary P2'!BI10</f>
        <v>47864.588925543685</v>
      </c>
      <c r="O11" s="35">
        <f>IF(_xlfn.XLOOKUP(TableIncome[[#This Row],[Year]],Loop!C:C,Loop!D:D)&lt;75,(O10*(1+$I$4))+IF(TableIncomeCalculations[[#This Row],[SwitchP1]]="Y",O10*$I$6,0),0)</f>
        <v>56539.620931170321</v>
      </c>
      <c r="P11" s="35">
        <f>IF(_xlfn.XLOOKUP(TableIncome[[#This Row],[Year]],Loop!C:C,Loop!E:E)&lt;75,(P10*(1+$I$4))+IF(TableIncomeCalculations[[#This Row],[SwitchP2]]="Y",P10*$I$6,0),0)</f>
        <v>94890.577296273637</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377102.01575043984</v>
      </c>
      <c r="D12" s="37">
        <f>(TableIncomeCalculations[[#This Row],[NetMonthlySalaryP2]]*12)</f>
        <v>583927.11547873472</v>
      </c>
      <c r="E12" s="36">
        <f>TableIncome[[#This Row],[SalaryP1]]*$I$7</f>
        <v>75420.403150087965</v>
      </c>
      <c r="F12" s="36">
        <f>TableIncome[[#This Row],[SalaryP2]]*$I$7</f>
        <v>116785.42309574696</v>
      </c>
      <c r="G12" s="16"/>
      <c r="K12" s="57">
        <f>(TableIncome[[#This Row],[SalaryP1]]-TableIncome[[#This Row],[InvestmentP1]])/12</f>
        <v>25140.134383362656</v>
      </c>
      <c r="L12" s="57">
        <f>(TableIncome[[#This Row],[SalaryP2]]-TableIncome[[#This Row],[InvestmentP2]])/12</f>
        <v>38928.474365248978</v>
      </c>
      <c r="M12" s="34">
        <f>'Net Salary P1'!BI11</f>
        <v>31425.167979203321</v>
      </c>
      <c r="N12" s="35">
        <f>'Net Salary P2'!BI11</f>
        <v>48660.592956561224</v>
      </c>
      <c r="O12" s="35">
        <f>IF(_xlfn.XLOOKUP(TableIncome[[#This Row],[Year]],Loop!C:C,Loop!D:D)&lt;75,(O11*(1+$I$4))+IF(TableIncomeCalculations[[#This Row],[SwitchP1]]="Y",O11*$I$6,0),0)</f>
        <v>57670.413349793729</v>
      </c>
      <c r="P12" s="35">
        <f>IF(_xlfn.XLOOKUP(TableIncome[[#This Row],[Year]],Loop!C:C,Loop!E:E)&lt;75,(P11*(1+$I$4))+IF(TableIncomeCalculations[[#This Row],[SwitchP2]]="Y",P11*$I$6,0),0)</f>
        <v>96788.388842199114</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403771.54753825057</v>
      </c>
      <c r="D13" s="37">
        <f>(TableIncomeCalculations[[#This Row],[NetMonthlySalaryP2]]*12)</f>
        <v>618027.92816752614</v>
      </c>
      <c r="E13" s="36">
        <f>TableIncome[[#This Row],[SalaryP1]]*$I$7</f>
        <v>80754.309507650119</v>
      </c>
      <c r="F13" s="36">
        <f>TableIncome[[#This Row],[SalaryP2]]*$I$7</f>
        <v>123605.58563350524</v>
      </c>
      <c r="G13" s="16"/>
      <c r="K13" s="57">
        <f>(TableIncome[[#This Row],[SalaryP1]]-TableIncome[[#This Row],[InvestmentP1]])/12</f>
        <v>26918.103169216705</v>
      </c>
      <c r="L13" s="57">
        <f>(TableIncome[[#This Row],[SalaryP2]]-TableIncome[[#This Row],[InvestmentP2]])/12</f>
        <v>41201.861877835072</v>
      </c>
      <c r="M13" s="34">
        <f>'Net Salary P1'!BI12</f>
        <v>33647.628961520881</v>
      </c>
      <c r="N13" s="35">
        <f>'Net Salary P2'!BI12</f>
        <v>51502.327347293845</v>
      </c>
      <c r="O13" s="35">
        <f>IF(_xlfn.XLOOKUP(TableIncome[[#This Row],[Year]],Loop!C:C,Loop!D:D)&lt;75,(O12*(1+$I$4))+IF(TableIncomeCalculations[[#This Row],[SwitchP1]]="Y",O12*$I$6,0),0)</f>
        <v>61707.342284279286</v>
      </c>
      <c r="P13" s="35">
        <f>IF(_xlfn.XLOOKUP(TableIncome[[#This Row],[Year]],Loop!C:C,Loop!E:E)&lt;75,(P12*(1+$I$4))+IF(TableIncomeCalculations[[#This Row],[SwitchP2]]="Y",P12*$I$6,0),0)</f>
        <v>103563.57606115306</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411924.80439909559</v>
      </c>
      <c r="D14" s="37">
        <f>(TableIncomeCalculations[[#This Row],[NetMonthlySalaryP2]]*12)</f>
        <v>628453.03376095695</v>
      </c>
      <c r="E14" s="36">
        <f>TableIncome[[#This Row],[SalaryP1]]*$I$7</f>
        <v>82384.960879819118</v>
      </c>
      <c r="F14" s="36">
        <f>TableIncome[[#This Row],[SalaryP2]]*$I$7</f>
        <v>125690.60675219139</v>
      </c>
      <c r="G14" s="16"/>
      <c r="K14" s="57">
        <f>(TableIncome[[#This Row],[SalaryP1]]-TableIncome[[#This Row],[InvestmentP1]])/12</f>
        <v>27461.653626606374</v>
      </c>
      <c r="L14" s="57">
        <f>(TableIncome[[#This Row],[SalaryP2]]-TableIncome[[#This Row],[InvestmentP2]])/12</f>
        <v>41896.868917397129</v>
      </c>
      <c r="M14" s="34">
        <f>'Net Salary P1'!BI13</f>
        <v>34327.067033257968</v>
      </c>
      <c r="N14" s="35">
        <f>'Net Salary P2'!BI13</f>
        <v>52371.086146746413</v>
      </c>
      <c r="O14" s="35">
        <f>IF(_xlfn.XLOOKUP(TableIncome[[#This Row],[Year]],Loop!C:C,Loop!D:D)&lt;75,(O13*(1+$I$4))+IF(TableIncomeCalculations[[#This Row],[SwitchP1]]="Y",O13*$I$6,0),0)</f>
        <v>62941.489129964873</v>
      </c>
      <c r="P14" s="35">
        <f>IF(_xlfn.XLOOKUP(TableIncome[[#This Row],[Year]],Loop!C:C,Loop!E:E)&lt;75,(P13*(1+$I$4))+IF(TableIncomeCalculations[[#This Row],[SwitchP2]]="Y",P13*$I$6,0),0)</f>
        <v>105634.84758237613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419905.12868391158</v>
      </c>
      <c r="D15" s="37">
        <f>(TableIncomeCalculations[[#This Row],[NetMonthlySalaryP2]]*12)</f>
        <v>639086.641466256</v>
      </c>
      <c r="E15" s="36">
        <f>TableIncome[[#This Row],[SalaryP1]]*$I$7</f>
        <v>83981.025736782321</v>
      </c>
      <c r="F15" s="36">
        <f>TableIncome[[#This Row],[SalaryP2]]*$I$7</f>
        <v>127817.32829325121</v>
      </c>
      <c r="G15" s="16"/>
      <c r="K15" s="57">
        <f>(TableIncome[[#This Row],[SalaryP1]]-TableIncome[[#This Row],[InvestmentP1]])/12</f>
        <v>27993.675245594106</v>
      </c>
      <c r="L15" s="57">
        <f>(TableIncome[[#This Row],[SalaryP2]]-TableIncome[[#This Row],[InvestmentP2]])/12</f>
        <v>42605.7760977504</v>
      </c>
      <c r="M15" s="34">
        <f>'Net Salary P1'!BI14</f>
        <v>34992.094056992632</v>
      </c>
      <c r="N15" s="35">
        <f>'Net Salary P2'!BI14</f>
        <v>53257.220122188002</v>
      </c>
      <c r="O15" s="35">
        <f>IF(_xlfn.XLOOKUP(TableIncome[[#This Row],[Year]],Loop!C:C,Loop!D:D)&lt;75,(O14*(1+$I$4))+IF(TableIncomeCalculations[[#This Row],[SwitchP1]]="Y",O14*$I$6,0),0)</f>
        <v>64200.318912564173</v>
      </c>
      <c r="P15" s="35">
        <f>IF(_xlfn.XLOOKUP(TableIncome[[#This Row],[Year]],Loop!C:C,Loop!E:E)&lt;75,(P14*(1+$I$4))+IF(TableIncomeCalculations[[#This Row],[SwitchP2]]="Y",P14*$I$6,0),0)</f>
        <v>107747.54453402365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442524.40229706536</v>
      </c>
      <c r="D16" s="37">
        <f>(TableIncomeCalculations[[#This Row],[NetMonthlySalaryP2]]*12)</f>
        <v>677048.62097417389</v>
      </c>
      <c r="E16" s="36">
        <f>TableIncome[[#This Row],[SalaryP1]]*$I$7</f>
        <v>88504.880459413078</v>
      </c>
      <c r="F16" s="36">
        <f>TableIncome[[#This Row],[SalaryP2]]*$I$7</f>
        <v>135409.72419483479</v>
      </c>
      <c r="G16" s="16"/>
      <c r="K16" s="57">
        <f>(TableIncome[[#This Row],[SalaryP1]]-TableIncome[[#This Row],[InvestmentP1]])/12</f>
        <v>29501.626819804358</v>
      </c>
      <c r="L16" s="57">
        <f>(TableIncome[[#This Row],[SalaryP2]]-TableIncome[[#This Row],[InvestmentP2]])/12</f>
        <v>45136.574731611589</v>
      </c>
      <c r="M16" s="34">
        <f>'Net Salary P1'!BI15</f>
        <v>36877.033524755447</v>
      </c>
      <c r="N16" s="35">
        <f>'Net Salary P2'!BI15</f>
        <v>56420.718414514493</v>
      </c>
      <c r="O16" s="35">
        <f>IF(_xlfn.XLOOKUP(TableIncome[[#This Row],[Year]],Loop!C:C,Loop!D:D)&lt;75,(O15*(1+$I$4))+IF(TableIncomeCalculations[[#This Row],[SwitchP1]]="Y",O15*$I$6,0),0)</f>
        <v>68694.341236443666</v>
      </c>
      <c r="P16" s="35">
        <f>IF(_xlfn.XLOOKUP(TableIncome[[#This Row],[Year]],Loop!C:C,Loop!E:E)&lt;75,(P15*(1+$I$4))+IF(TableIncomeCalculations[[#This Row],[SwitchP2]]="Y",P15*$I$6,0),0)</f>
        <v>115289.8726514053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449439.43737308669</v>
      </c>
      <c r="D17" s="37">
        <f>(TableIncomeCalculations[[#This Row],[NetMonthlySalaryP2]]*12)</f>
        <v>688654.14042373723</v>
      </c>
      <c r="E17" s="36">
        <f>TableIncome[[#This Row],[SalaryP1]]*$I$7</f>
        <v>89887.887474617339</v>
      </c>
      <c r="F17" s="36">
        <f>TableIncome[[#This Row],[SalaryP2]]*$I$7</f>
        <v>137730.82808474745</v>
      </c>
      <c r="G17" s="16"/>
      <c r="K17" s="57">
        <f>(TableIncome[[#This Row],[SalaryP1]]-TableIncome[[#This Row],[InvestmentP1]])/12</f>
        <v>29962.629158205778</v>
      </c>
      <c r="L17" s="57">
        <f>(TableIncome[[#This Row],[SalaryP2]]-TableIncome[[#This Row],[InvestmentP2]])/12</f>
        <v>45910.276028249151</v>
      </c>
      <c r="M17" s="34">
        <f>'Net Salary P1'!BI16</f>
        <v>37453.286447757222</v>
      </c>
      <c r="N17" s="35">
        <f>'Net Salary P2'!BI16</f>
        <v>57387.845035311439</v>
      </c>
      <c r="O17" s="35">
        <f>IF(_xlfn.XLOOKUP(TableIncome[[#This Row],[Year]],Loop!C:C,Loop!D:D)&lt;75,(O16*(1+$I$4))+IF(TableIncomeCalculations[[#This Row],[SwitchP1]]="Y",O16*$I$6,0),0)</f>
        <v>70068.228061172544</v>
      </c>
      <c r="P17" s="35">
        <f>IF(_xlfn.XLOOKUP(TableIncome[[#This Row],[Year]],Loop!C:C,Loop!E:E)&lt;75,(P16*(1+$I$4))+IF(TableIncomeCalculations[[#This Row],[SwitchP2]]="Y",P16*$I$6,0),0)</f>
        <v>117595.6701044334</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456492.77315062843</v>
      </c>
      <c r="D18" s="37">
        <f>(TableIncomeCalculations[[#This Row],[NetMonthlySalaryP2]]*12)</f>
        <v>700491.77026229212</v>
      </c>
      <c r="E18" s="36">
        <f>TableIncome[[#This Row],[SalaryP1]]*$I$7</f>
        <v>91298.554630125698</v>
      </c>
      <c r="F18" s="36">
        <f>TableIncome[[#This Row],[SalaryP2]]*$I$7</f>
        <v>140098.35405245842</v>
      </c>
      <c r="G18" s="16"/>
      <c r="K18" s="57">
        <f>(TableIncome[[#This Row],[SalaryP1]]-TableIncome[[#This Row],[InvestmentP1]])/12</f>
        <v>30432.851543375229</v>
      </c>
      <c r="L18" s="57">
        <f>(TableIncome[[#This Row],[SalaryP2]]-TableIncome[[#This Row],[InvestmentP2]])/12</f>
        <v>46699.451350819472</v>
      </c>
      <c r="M18" s="34">
        <f>'Net Salary P1'!BI17</f>
        <v>38041.064429219034</v>
      </c>
      <c r="N18" s="35">
        <f>'Net Salary P2'!BI17</f>
        <v>58374.314188524346</v>
      </c>
      <c r="O18" s="35">
        <f>IF(_xlfn.XLOOKUP(TableIncome[[#This Row],[Year]],Loop!C:C,Loop!D:D)&lt;75,(O17*(1+$I$4))+IF(TableIncomeCalculations[[#This Row],[SwitchP1]]="Y",O17*$I$6,0),0)</f>
        <v>71469.592622395998</v>
      </c>
      <c r="P18" s="35">
        <f>IF(_xlfn.XLOOKUP(TableIncome[[#This Row],[Year]],Loop!C:C,Loop!E:E)&lt;75,(P17*(1+$I$4))+IF(TableIncomeCalculations[[#This Row],[SwitchP2]]="Y",P17*$I$6,0),0)</f>
        <v>119947.58350652207</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463687.17564372101</v>
      </c>
      <c r="D19" s="37">
        <f>(TableIncomeCalculations[[#This Row],[NetMonthlySalaryP2]]*12)</f>
        <v>712566.15269761789</v>
      </c>
      <c r="E19" s="36">
        <f>TableIncome[[#This Row],[SalaryP1]]*$I$7</f>
        <v>92737.435128744211</v>
      </c>
      <c r="F19" s="36">
        <f>TableIncome[[#This Row],[SalaryP2]]*$I$7</f>
        <v>142513.23053952359</v>
      </c>
      <c r="G19" s="16"/>
      <c r="K19" s="57">
        <f>(TableIncome[[#This Row],[SalaryP1]]-TableIncome[[#This Row],[InvestmentP1]])/12</f>
        <v>30912.478376248066</v>
      </c>
      <c r="L19" s="57">
        <f>(TableIncome[[#This Row],[SalaryP2]]-TableIncome[[#This Row],[InvestmentP2]])/12</f>
        <v>47504.410179841194</v>
      </c>
      <c r="M19" s="34">
        <f>'Net Salary P1'!BI18</f>
        <v>38640.597970310082</v>
      </c>
      <c r="N19" s="35">
        <f>'Net Salary P2'!BI18</f>
        <v>59380.512724801491</v>
      </c>
      <c r="O19" s="35">
        <f>IF(_xlfn.XLOOKUP(TableIncome[[#This Row],[Year]],Loop!C:C,Loop!D:D)&lt;75,(O18*(1+$I$4))+IF(TableIncomeCalculations[[#This Row],[SwitchP1]]="Y",O18*$I$6,0),0)</f>
        <v>72898.984474843921</v>
      </c>
      <c r="P19" s="35">
        <f>IF(_xlfn.XLOOKUP(TableIncome[[#This Row],[Year]],Loop!C:C,Loop!E:E)&lt;75,(P18*(1+$I$4))+IF(TableIncomeCalculations[[#This Row],[SwitchP2]]="Y",P18*$I$6,0),0)</f>
        <v>122346.53517665251</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471025.46618667548</v>
      </c>
      <c r="D20" s="37">
        <f>(TableIncomeCalculations[[#This Row],[NetMonthlySalaryP2]]*12)</f>
        <v>724882.02278165019</v>
      </c>
      <c r="E20" s="36">
        <f>TableIncome[[#This Row],[SalaryP1]]*$I$7</f>
        <v>94205.093237335095</v>
      </c>
      <c r="F20" s="36">
        <f>TableIncome[[#This Row],[SalaryP2]]*$I$7</f>
        <v>144976.40455633003</v>
      </c>
      <c r="G20" s="16"/>
      <c r="K20" s="57">
        <f>(TableIncome[[#This Row],[SalaryP1]]-TableIncome[[#This Row],[InvestmentP1]])/12</f>
        <v>31401.697745778365</v>
      </c>
      <c r="L20" s="57">
        <f>(TableIncome[[#This Row],[SalaryP2]]-TableIncome[[#This Row],[InvestmentP2]])/12</f>
        <v>48325.468185443344</v>
      </c>
      <c r="M20" s="34">
        <f>'Net Salary P1'!BI19</f>
        <v>39252.122182222956</v>
      </c>
      <c r="N20" s="35">
        <f>'Net Salary P2'!BI19</f>
        <v>60406.83523180418</v>
      </c>
      <c r="O20" s="35">
        <f>IF(_xlfn.XLOOKUP(TableIncome[[#This Row],[Year]],Loop!C:C,Loop!D:D)&lt;75,(O19*(1+$I$4))+IF(TableIncomeCalculations[[#This Row],[SwitchP1]]="Y",O19*$I$6,0),0)</f>
        <v>74356.964164340796</v>
      </c>
      <c r="P20" s="35">
        <f>IF(_xlfn.XLOOKUP(TableIncome[[#This Row],[Year]],Loop!C:C,Loop!E:E)&lt;75,(P19*(1+$I$4))+IF(TableIncomeCalculations[[#This Row],[SwitchP2]]="Y",P19*$I$6,0),0)</f>
        <v>124793.46588018557</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497223.16342502285</v>
      </c>
      <c r="D21" s="37">
        <f>(TableIncomeCalculations[[#This Row],[NetMonthlySalaryP2]]*12)</f>
        <v>768849.67898164585</v>
      </c>
      <c r="E21" s="36">
        <f>TableIncome[[#This Row],[SalaryP1]]*$I$7</f>
        <v>99444.632685004573</v>
      </c>
      <c r="F21" s="36">
        <f>TableIncome[[#This Row],[SalaryP2]]*$I$7</f>
        <v>153769.93579632917</v>
      </c>
      <c r="G21" s="16"/>
      <c r="K21" s="57">
        <f>(TableIncome[[#This Row],[SalaryP1]]-TableIncome[[#This Row],[InvestmentP1]])/12</f>
        <v>33148.210895001524</v>
      </c>
      <c r="L21" s="57">
        <f>(TableIncome[[#This Row],[SalaryP2]]-TableIncome[[#This Row],[InvestmentP2]])/12</f>
        <v>51256.645265443054</v>
      </c>
      <c r="M21" s="34">
        <f>'Net Salary P1'!BI20</f>
        <v>41435.263618751902</v>
      </c>
      <c r="N21" s="35">
        <f>'Net Salary P2'!BI20</f>
        <v>64070.806581803823</v>
      </c>
      <c r="O21" s="35">
        <f>IF(_xlfn.XLOOKUP(TableIncome[[#This Row],[Year]],Loop!C:C,Loop!D:D)&lt;75,(O20*(1+$I$4))+IF(TableIncomeCalculations[[#This Row],[SwitchP1]]="Y",O20*$I$6,0),0)</f>
        <v>79561.951655844648</v>
      </c>
      <c r="P21" s="35">
        <f>IF(_xlfn.XLOOKUP(TableIncome[[#This Row],[Year]],Loop!C:C,Loop!E:E)&lt;75,(P20*(1+$I$4))+IF(TableIncomeCalculations[[#This Row],[SwitchP2]]="Y",P20*$I$6,0),0)</f>
        <v>133529.00849179857</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505232.17372360325</v>
      </c>
      <c r="D22" s="37">
        <f>(TableIncomeCalculations[[#This Row],[NetMonthlySalaryP2]]*12)</f>
        <v>782291.21959135868</v>
      </c>
      <c r="E22" s="36">
        <f>TableIncome[[#This Row],[SalaryP1]]*$I$7</f>
        <v>101046.43474472065</v>
      </c>
      <c r="F22" s="36">
        <f>TableIncome[[#This Row],[SalaryP2]]*$I$7</f>
        <v>156458.24391827174</v>
      </c>
      <c r="G22" s="16"/>
      <c r="K22" s="57">
        <f>(TableIncome[[#This Row],[SalaryP1]]-TableIncome[[#This Row],[InvestmentP1]])/12</f>
        <v>33682.144914906887</v>
      </c>
      <c r="L22" s="57">
        <f>(TableIncome[[#This Row],[SalaryP2]]-TableIncome[[#This Row],[InvestmentP2]])/12</f>
        <v>52152.747972757243</v>
      </c>
      <c r="M22" s="34">
        <f>'Net Salary P1'!BI21</f>
        <v>42102.681143633607</v>
      </c>
      <c r="N22" s="35">
        <f>'Net Salary P2'!BI21</f>
        <v>65190.934965946559</v>
      </c>
      <c r="O22" s="35">
        <f>IF(_xlfn.XLOOKUP(TableIncome[[#This Row],[Year]],Loop!C:C,Loop!D:D)&lt;75,(O21*(1+$I$4))+IF(TableIncomeCalculations[[#This Row],[SwitchP1]]="Y",O21*$I$6,0),0)</f>
        <v>81153.190688961549</v>
      </c>
      <c r="P22" s="35">
        <f>IF(_xlfn.XLOOKUP(TableIncome[[#This Row],[Year]],Loop!C:C,Loop!E:E)&lt;75,(P21*(1+$I$4))+IF(TableIncomeCalculations[[#This Row],[SwitchP2]]="Y",P21*$I$6,0),0)</f>
        <v>136199.58866163454</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513401.36422815535</v>
      </c>
      <c r="D23" s="37">
        <f>(TableIncomeCalculations[[#This Row],[NetMonthlySalaryP2]]*12)</f>
        <v>796001.59101326601</v>
      </c>
      <c r="E23" s="36">
        <f>TableIncome[[#This Row],[SalaryP1]]*$I$7</f>
        <v>102680.27284563107</v>
      </c>
      <c r="F23" s="36">
        <f>TableIncome[[#This Row],[SalaryP2]]*$I$7</f>
        <v>159200.3182026532</v>
      </c>
      <c r="G23" s="16"/>
      <c r="K23" s="57">
        <f>(TableIncome[[#This Row],[SalaryP1]]-TableIncome[[#This Row],[InvestmentP1]])/12</f>
        <v>34226.757615210357</v>
      </c>
      <c r="L23" s="57">
        <f>(TableIncome[[#This Row],[SalaryP2]]-TableIncome[[#This Row],[InvestmentP2]])/12</f>
        <v>53066.772734217731</v>
      </c>
      <c r="M23" s="34">
        <f>'Net Salary P1'!BI22</f>
        <v>42783.447019012943</v>
      </c>
      <c r="N23" s="35">
        <f>'Net Salary P2'!BI22</f>
        <v>66333.465917772162</v>
      </c>
      <c r="O23" s="35">
        <f>IF(_xlfn.XLOOKUP(TableIncome[[#This Row],[Year]],Loop!C:C,Loop!D:D)&lt;75,(O22*(1+$I$4))+IF(TableIncomeCalculations[[#This Row],[SwitchP1]]="Y",O22*$I$6,0),0)</f>
        <v>82776.254502740776</v>
      </c>
      <c r="P23" s="35">
        <f>IF(_xlfn.XLOOKUP(TableIncome[[#This Row],[Year]],Loop!C:C,Loop!E:E)&lt;75,(P22*(1+$I$4))+IF(TableIncomeCalculations[[#This Row],[SwitchP2]]="Y",P22*$I$6,0),0)</f>
        <v>138923.58043486724</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521733.93854279839</v>
      </c>
      <c r="D24" s="37">
        <f>(TableIncomeCalculations[[#This Row],[NetMonthlySalaryP2]]*12)</f>
        <v>809986.16986361123</v>
      </c>
      <c r="E24" s="36">
        <f>TableIncome[[#This Row],[SalaryP1]]*$I$7</f>
        <v>104346.78770855968</v>
      </c>
      <c r="F24" s="36">
        <f>TableIncome[[#This Row],[SalaryP2]]*$I$7</f>
        <v>161997.23397272226</v>
      </c>
      <c r="G24" s="16"/>
      <c r="K24" s="57">
        <f>(TableIncome[[#This Row],[SalaryP1]]-TableIncome[[#This Row],[InvestmentP1]])/12</f>
        <v>34782.262569519895</v>
      </c>
      <c r="L24" s="57">
        <f>(TableIncome[[#This Row],[SalaryP2]]-TableIncome[[#This Row],[InvestmentP2]])/12</f>
        <v>53999.077990907419</v>
      </c>
      <c r="M24" s="34">
        <f>'Net Salary P1'!BI23</f>
        <v>43477.828211899869</v>
      </c>
      <c r="N24" s="35">
        <f>'Net Salary P2'!BI23</f>
        <v>67498.847488634274</v>
      </c>
      <c r="O24" s="35">
        <f>IF(_xlfn.XLOOKUP(TableIncome[[#This Row],[Year]],Loop!C:C,Loop!D:D)&lt;75,(O23*(1+$I$4))+IF(TableIncomeCalculations[[#This Row],[SwitchP1]]="Y",O23*$I$6,0),0)</f>
        <v>84431.779592795589</v>
      </c>
      <c r="P24" s="35">
        <f>IF(_xlfn.XLOOKUP(TableIncome[[#This Row],[Year]],Loop!C:C,Loop!E:E)&lt;75,(P23*(1+$I$4))+IF(TableIncomeCalculations[[#This Row],[SwitchP2]]="Y",P23*$I$6,0),0)</f>
        <v>141702.05204356459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551481.2288460742</v>
      </c>
      <c r="D25" s="37">
        <f>(TableIncomeCalculations[[#This Row],[NetMonthlySalaryP2]]*12)</f>
        <v>859911.11635934399</v>
      </c>
      <c r="E25" s="36">
        <f>TableIncome[[#This Row],[SalaryP1]]*$I$7</f>
        <v>110296.24576921485</v>
      </c>
      <c r="F25" s="36">
        <f>TableIncome[[#This Row],[SalaryP2]]*$I$7</f>
        <v>171982.2232718688</v>
      </c>
      <c r="G25" s="16"/>
      <c r="K25" s="57">
        <f>(TableIncome[[#This Row],[SalaryP1]]-TableIncome[[#This Row],[InvestmentP1]])/12</f>
        <v>36765.415256404951</v>
      </c>
      <c r="L25" s="57">
        <f>(TableIncome[[#This Row],[SalaryP2]]-TableIncome[[#This Row],[InvestmentP2]])/12</f>
        <v>57327.407757289599</v>
      </c>
      <c r="M25" s="34">
        <f>'Net Salary P1'!BI24</f>
        <v>45956.769070506183</v>
      </c>
      <c r="N25" s="35">
        <f>'Net Salary P2'!BI24</f>
        <v>71659.259696612004</v>
      </c>
      <c r="O25" s="35">
        <f>IF(_xlfn.XLOOKUP(TableIncome[[#This Row],[Year]],Loop!C:C,Loop!D:D)&lt;75,(O24*(1+$I$4))+IF(TableIncomeCalculations[[#This Row],[SwitchP1]]="Y",O24*$I$6,0),0)</f>
        <v>90342.004164291284</v>
      </c>
      <c r="P25" s="35">
        <f>IF(_xlfn.XLOOKUP(TableIncome[[#This Row],[Year]],Loop!C:C,Loop!E:E)&lt;75,(P24*(1+$I$4))+IF(TableIncomeCalculations[[#This Row],[SwitchP2]]="Y",P24*$I$6,0),0)</f>
        <v>151621.19568661411</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560575.40045307577</v>
      </c>
      <c r="D26" s="37">
        <f>(TableIncomeCalculations[[#This Row],[NetMonthlySalaryP2]]*12)</f>
        <v>875173.88571661105</v>
      </c>
      <c r="E26" s="36">
        <f>TableIncome[[#This Row],[SalaryP1]]*$I$7</f>
        <v>112115.08009061516</v>
      </c>
      <c r="F26" s="36">
        <f>TableIncome[[#This Row],[SalaryP2]]*$I$7</f>
        <v>175034.77714332222</v>
      </c>
      <c r="G26" s="16"/>
      <c r="K26" s="57">
        <f>(TableIncome[[#This Row],[SalaryP1]]-TableIncome[[#This Row],[InvestmentP1]])/12</f>
        <v>37371.693363538383</v>
      </c>
      <c r="L26" s="57">
        <f>(TableIncome[[#This Row],[SalaryP2]]-TableIncome[[#This Row],[InvestmentP2]])/12</f>
        <v>58344.925714440738</v>
      </c>
      <c r="M26" s="34">
        <f>'Net Salary P1'!BI25</f>
        <v>46714.616704422981</v>
      </c>
      <c r="N26" s="35">
        <f>'Net Salary P2'!BI25</f>
        <v>72931.157143050921</v>
      </c>
      <c r="O26" s="35">
        <f>IF(_xlfn.XLOOKUP(TableIncome[[#This Row],[Year]],Loop!C:C,Loop!D:D)&lt;75,(O25*(1+$I$4))+IF(TableIncomeCalculations[[#This Row],[SwitchP1]]="Y",O25*$I$6,0),0)</f>
        <v>92148.844247577115</v>
      </c>
      <c r="P26" s="35">
        <f>IF(_xlfn.XLOOKUP(TableIncome[[#This Row],[Year]],Loop!C:C,Loop!E:E)&lt;75,(P25*(1+$I$4))+IF(TableIncomeCalculations[[#This Row],[SwitchP2]]="Y",P25*$I$6,0),0)</f>
        <v>154653.6196003464</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569851.45549221733</v>
      </c>
      <c r="D27" s="37">
        <f>(TableIncomeCalculations[[#This Row],[NetMonthlySalaryP2]]*12)</f>
        <v>890741.91046102322</v>
      </c>
      <c r="E27" s="36">
        <f>TableIncome[[#This Row],[SalaryP1]]*$I$7</f>
        <v>113970.29109844347</v>
      </c>
      <c r="F27" s="36">
        <f>TableIncome[[#This Row],[SalaryP2]]*$I$7</f>
        <v>178148.38209220464</v>
      </c>
      <c r="G27" s="16"/>
      <c r="K27" s="57">
        <f>(TableIncome[[#This Row],[SalaryP1]]-TableIncome[[#This Row],[InvestmentP1]])/12</f>
        <v>37990.09703281449</v>
      </c>
      <c r="L27" s="57">
        <f>(TableIncome[[#This Row],[SalaryP2]]-TableIncome[[#This Row],[InvestmentP2]])/12</f>
        <v>59382.794030734884</v>
      </c>
      <c r="M27" s="34">
        <f>'Net Salary P1'!BI26</f>
        <v>47487.621291018113</v>
      </c>
      <c r="N27" s="35">
        <f>'Net Salary P2'!BI26</f>
        <v>74228.492538418606</v>
      </c>
      <c r="O27" s="35">
        <f>IF(_xlfn.XLOOKUP(TableIncome[[#This Row],[Year]],Loop!C:C,Loop!D:D)&lt;75,(O26*(1+$I$4))+IF(TableIncomeCalculations[[#This Row],[SwitchP1]]="Y",O26*$I$6,0),0)</f>
        <v>93991.821132528654</v>
      </c>
      <c r="P27" s="35">
        <f>IF(_xlfn.XLOOKUP(TableIncome[[#This Row],[Year]],Loop!C:C,Loop!E:E)&lt;75,(P26*(1+$I$4))+IF(TableIncomeCalculations[[#This Row],[SwitchP2]]="Y",P26*$I$6,0),0)</f>
        <v>157746.69199235333</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579313.03163214168</v>
      </c>
      <c r="D28" s="37">
        <f>(TableIncomeCalculations[[#This Row],[NetMonthlySalaryP2]]*12)</f>
        <v>906621.29570032377</v>
      </c>
      <c r="E28" s="36">
        <f>TableIncome[[#This Row],[SalaryP1]]*$I$7</f>
        <v>115862.60632642834</v>
      </c>
      <c r="F28" s="36">
        <f>TableIncome[[#This Row],[SalaryP2]]*$I$7</f>
        <v>181324.25914006477</v>
      </c>
      <c r="G28" s="16"/>
      <c r="K28" s="57">
        <f>(TableIncome[[#This Row],[SalaryP1]]-TableIncome[[#This Row],[InvestmentP1]])/12</f>
        <v>38620.868775476112</v>
      </c>
      <c r="L28" s="57">
        <f>(TableIncome[[#This Row],[SalaryP2]]-TableIncome[[#This Row],[InvestmentP2]])/12</f>
        <v>60441.419713354924</v>
      </c>
      <c r="M28" s="34">
        <f>'Net Salary P1'!BI27</f>
        <v>48276.085969345142</v>
      </c>
      <c r="N28" s="35">
        <f>'Net Salary P2'!BI27</f>
        <v>75551.774641693642</v>
      </c>
      <c r="O28" s="35">
        <f>IF(_xlfn.XLOOKUP(TableIncome[[#This Row],[Year]],Loop!C:C,Loop!D:D)&lt;75,(O27*(1+$I$4))+IF(TableIncomeCalculations[[#This Row],[SwitchP1]]="Y",O27*$I$6,0),0)</f>
        <v>95871.657555179234</v>
      </c>
      <c r="P28" s="35">
        <f>IF(_xlfn.XLOOKUP(TableIncome[[#This Row],[Year]],Loop!C:C,Loop!E:E)&lt;75,(P27*(1+$I$4))+IF(TableIncomeCalculations[[#This Row],[SwitchP2]]="Y",P27*$I$6,0),0)</f>
        <v>160901.6258322004</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588963.83929486456</v>
      </c>
      <c r="D29" s="37">
        <f>(TableIncomeCalculations[[#This Row],[NetMonthlySalaryP2]]*12)</f>
        <v>922818.26864441042</v>
      </c>
      <c r="E29" s="36">
        <f>TableIncome[[#This Row],[SalaryP1]]*$I$7</f>
        <v>117792.76785897292</v>
      </c>
      <c r="F29" s="36">
        <f>TableIncome[[#This Row],[SalaryP2]]*$I$7</f>
        <v>184563.65372888208</v>
      </c>
      <c r="G29" s="16"/>
      <c r="K29" s="57">
        <f>(TableIncome[[#This Row],[SalaryP1]]-TableIncome[[#This Row],[InvestmentP1]])/12</f>
        <v>39264.25595299097</v>
      </c>
      <c r="L29" s="57">
        <f>(TableIncome[[#This Row],[SalaryP2]]-TableIncome[[#This Row],[InvestmentP2]])/12</f>
        <v>61521.217909627361</v>
      </c>
      <c r="M29" s="34">
        <f>'Net Salary P1'!BI28</f>
        <v>49080.319941238711</v>
      </c>
      <c r="N29" s="35">
        <f>'Net Salary P2'!BI28</f>
        <v>76901.522387034202</v>
      </c>
      <c r="O29" s="35">
        <f>IF(_xlfn.XLOOKUP(TableIncome[[#This Row],[Year]],Loop!C:C,Loop!D:D)&lt;75,(O28*(1+$I$4))+IF(TableIncomeCalculations[[#This Row],[SwitchP1]]="Y",O28*$I$6,0),0)</f>
        <v>97789.090706282819</v>
      </c>
      <c r="P29" s="35">
        <f>IF(_xlfn.XLOOKUP(TableIncome[[#This Row],[Year]],Loop!C:C,Loop!E:E)&lt;75,(P28*(1+$I$4))+IF(TableIncomeCalculations[[#This Row],[SwitchP2]]="Y",P28*$I$6,0),0)</f>
        <v>164119.65834884442</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598807.66311084176</v>
      </c>
      <c r="D30" s="37">
        <f>(TableIncomeCalculations[[#This Row],[NetMonthlySalaryP2]]*12)</f>
        <v>939339.18104737857</v>
      </c>
      <c r="E30" s="36">
        <f>TableIncome[[#This Row],[SalaryP1]]*$I$7</f>
        <v>119761.53262216836</v>
      </c>
      <c r="F30" s="36">
        <f>TableIncome[[#This Row],[SalaryP2]]*$I$7</f>
        <v>187867.83620947573</v>
      </c>
      <c r="G30" s="16"/>
      <c r="K30" s="57">
        <f>(TableIncome[[#This Row],[SalaryP1]]-TableIncome[[#This Row],[InvestmentP1]])/12</f>
        <v>39920.510874056119</v>
      </c>
      <c r="L30" s="57">
        <f>(TableIncome[[#This Row],[SalaryP2]]-TableIncome[[#This Row],[InvestmentP2]])/12</f>
        <v>62622.612069825234</v>
      </c>
      <c r="M30" s="34">
        <f>'Net Salary P1'!BI29</f>
        <v>49900.638592570147</v>
      </c>
      <c r="N30" s="35">
        <f>'Net Salary P2'!BI29</f>
        <v>78278.265087281543</v>
      </c>
      <c r="O30" s="35">
        <f>IF(_xlfn.XLOOKUP(TableIncome[[#This Row],[Year]],Loop!C:C,Loop!D:D)&lt;75,(O29*(1+$I$4))+IF(TableIncomeCalculations[[#This Row],[SwitchP1]]="Y",O29*$I$6,0),0)</f>
        <v>99744.872520408477</v>
      </c>
      <c r="P30" s="35">
        <f>IF(_xlfn.XLOOKUP(TableIncome[[#This Row],[Year]],Loop!C:C,Loop!E:E)&lt;75,(P29*(1+$I$4))+IF(TableIncomeCalculations[[#This Row],[SwitchP2]]="Y",P29*$I$6,0),0)</f>
        <v>167402.05151582131</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608848.36340313859</v>
      </c>
      <c r="D31" s="37">
        <f>(TableIncomeCalculations[[#This Row],[NetMonthlySalaryP2]]*12)</f>
        <v>956190.51169840619</v>
      </c>
      <c r="E31" s="36">
        <f>TableIncome[[#This Row],[SalaryP1]]*$I$7</f>
        <v>121769.67268062773</v>
      </c>
      <c r="F31" s="36">
        <f>TableIncome[[#This Row],[SalaryP2]]*$I$7</f>
        <v>191238.10233968124</v>
      </c>
      <c r="G31" s="16"/>
      <c r="K31" s="57">
        <f>(TableIncome[[#This Row],[SalaryP1]]-TableIncome[[#This Row],[InvestmentP1]])/12</f>
        <v>40589.890893542572</v>
      </c>
      <c r="L31" s="57">
        <f>(TableIncome[[#This Row],[SalaryP2]]-TableIncome[[#This Row],[InvestmentP2]])/12</f>
        <v>63746.034113227077</v>
      </c>
      <c r="M31" s="34">
        <f>'Net Salary P1'!BI30</f>
        <v>50737.363616928218</v>
      </c>
      <c r="N31" s="35">
        <f>'Net Salary P2'!BI30</f>
        <v>79682.542641533844</v>
      </c>
      <c r="O31" s="35">
        <f>IF(_xlfn.XLOOKUP(TableIncome[[#This Row],[Year]],Loop!C:C,Loop!D:D)&lt;75,(O30*(1+$I$4))+IF(TableIncomeCalculations[[#This Row],[SwitchP1]]="Y",O30*$I$6,0),0)</f>
        <v>101739.76997081665</v>
      </c>
      <c r="P31" s="35">
        <f>IF(_xlfn.XLOOKUP(TableIncome[[#This Row],[Year]],Loop!C:C,Loop!E:E)&lt;75,(P30*(1+$I$4))+IF(TableIncomeCalculations[[#This Row],[SwitchP2]]="Y",P30*$I$6,0),0)</f>
        <v>170750.09254613775</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619089.87770128157</v>
      </c>
      <c r="D32" s="37">
        <f>(TableIncomeCalculations[[#This Row],[NetMonthlySalaryP2]]*12)</f>
        <v>973378.86896245438</v>
      </c>
      <c r="E32" s="36">
        <f>TableIncome[[#This Row],[SalaryP1]]*$I$7</f>
        <v>123817.97554025632</v>
      </c>
      <c r="F32" s="36">
        <f>TableIncome[[#This Row],[SalaryP2]]*$I$7</f>
        <v>194675.77379249089</v>
      </c>
      <c r="G32" s="16"/>
      <c r="K32" s="57">
        <f>(TableIncome[[#This Row],[SalaryP1]]-TableIncome[[#This Row],[InvestmentP1]])/12</f>
        <v>41272.65851341877</v>
      </c>
      <c r="L32" s="57">
        <f>(TableIncome[[#This Row],[SalaryP2]]-TableIncome[[#This Row],[InvestmentP2]])/12</f>
        <v>64891.92459749696</v>
      </c>
      <c r="M32" s="34">
        <f>'Net Salary P1'!BI31</f>
        <v>51590.823141773464</v>
      </c>
      <c r="N32" s="35">
        <f>'Net Salary P2'!BI31</f>
        <v>81114.905746871198</v>
      </c>
      <c r="O32" s="35">
        <f>IF(_xlfn.XLOOKUP(TableIncome[[#This Row],[Year]],Loop!C:C,Loop!D:D)&lt;75,(O31*(1+$I$4))+IF(TableIncomeCalculations[[#This Row],[SwitchP1]]="Y",O31*$I$6,0),0)</f>
        <v>103774.56537023299</v>
      </c>
      <c r="P32" s="35">
        <f>IF(_xlfn.XLOOKUP(TableIncome[[#This Row],[Year]],Loop!C:C,Loop!E:E)&lt;75,(P31*(1+$I$4))+IF(TableIncomeCalculations[[#This Row],[SwitchP2]]="Y",P31*$I$6,0),0)</f>
        <v>174165.09439706051</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629536.22228538711</v>
      </c>
      <c r="D33" s="37">
        <f>(TableIncomeCalculations[[#This Row],[NetMonthlySalaryP2]]*12)</f>
        <v>990910.99337178352</v>
      </c>
      <c r="E33" s="36">
        <f>TableIncome[[#This Row],[SalaryP1]]*$I$7</f>
        <v>125907.24445707742</v>
      </c>
      <c r="F33" s="36">
        <f>TableIncome[[#This Row],[SalaryP2]]*$I$7</f>
        <v>198182.19867435671</v>
      </c>
      <c r="G33" s="16"/>
      <c r="K33" s="57">
        <f>(TableIncome[[#This Row],[SalaryP1]]-TableIncome[[#This Row],[InvestmentP1]])/12</f>
        <v>41969.081485692477</v>
      </c>
      <c r="L33" s="57">
        <f>(TableIncome[[#This Row],[SalaryP2]]-TableIncome[[#This Row],[InvestmentP2]])/12</f>
        <v>66060.732891452237</v>
      </c>
      <c r="M33" s="34">
        <f>'Net Salary P1'!BI32</f>
        <v>52461.351857115595</v>
      </c>
      <c r="N33" s="35">
        <f>'Net Salary P2'!BI32</f>
        <v>82575.916114315289</v>
      </c>
      <c r="O33" s="35">
        <f>IF(_xlfn.XLOOKUP(TableIncome[[#This Row],[Year]],Loop!C:C,Loop!D:D)&lt;75,(O32*(1+$I$4))+IF(TableIncomeCalculations[[#This Row],[SwitchP1]]="Y",O32*$I$6,0),0)</f>
        <v>105850.05667763765</v>
      </c>
      <c r="P33" s="35">
        <f>IF(_xlfn.XLOOKUP(TableIncome[[#This Row],[Year]],Loop!C:C,Loop!E:E)&lt;75,(P32*(1+$I$4))+IF(TableIncomeCalculations[[#This Row],[SwitchP2]]="Y",P32*$I$6,0),0)</f>
        <v>177648.39628500174</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640191.49376117485</v>
      </c>
      <c r="D34" s="37">
        <f>(TableIncomeCalculations[[#This Row],[NetMonthlySalaryP2]]*12)</f>
        <v>1008793.7602692991</v>
      </c>
      <c r="E34" s="36">
        <f>TableIncome[[#This Row],[SalaryP1]]*$I$7</f>
        <v>128038.29875223497</v>
      </c>
      <c r="F34" s="36">
        <f>TableIncome[[#This Row],[SalaryP2]]*$I$7</f>
        <v>201758.75205385985</v>
      </c>
      <c r="G34" s="16"/>
      <c r="K34" s="57">
        <f>(TableIncome[[#This Row],[SalaryP1]]-TableIncome[[#This Row],[InvestmentP1]])/12</f>
        <v>42679.432917411657</v>
      </c>
      <c r="L34" s="57">
        <f>(TableIncome[[#This Row],[SalaryP2]]-TableIncome[[#This Row],[InvestmentP2]])/12</f>
        <v>67252.917351286611</v>
      </c>
      <c r="M34" s="34">
        <f>'Net Salary P1'!BI33</f>
        <v>53349.291146764568</v>
      </c>
      <c r="N34" s="35">
        <f>'Net Salary P2'!BI33</f>
        <v>84066.146689108267</v>
      </c>
      <c r="O34" s="35">
        <f>IF(_xlfn.XLOOKUP(TableIncome[[#This Row],[Year]],Loop!C:C,Loop!D:D)&lt;75,(O33*(1+$I$4))+IF(TableIncomeCalculations[[#This Row],[SwitchP1]]="Y",O33*$I$6,0),0)</f>
        <v>107967.0578111904</v>
      </c>
      <c r="P34" s="35">
        <f>IF(_xlfn.XLOOKUP(TableIncome[[#This Row],[Year]],Loop!C:C,Loop!E:E)&lt;75,(P33*(1+$I$4))+IF(TableIncomeCalculations[[#This Row],[SwitchP2]]="Y",P33*$I$6,0),0)</f>
        <v>181201.36421070178</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651059.87066647829</v>
      </c>
      <c r="D35" s="37">
        <f>(TableIncomeCalculations[[#This Row],[NetMonthlySalaryP2]]*12)</f>
        <v>1027034.182504765</v>
      </c>
      <c r="E35" s="36">
        <f>TableIncome[[#This Row],[SalaryP1]]*$I$7</f>
        <v>130211.97413329566</v>
      </c>
      <c r="F35" s="36">
        <f>TableIncome[[#This Row],[SalaryP2]]*$I$7</f>
        <v>205406.83650095301</v>
      </c>
      <c r="G35" s="16"/>
      <c r="K35" s="57">
        <f>(TableIncome[[#This Row],[SalaryP1]]-TableIncome[[#This Row],[InvestmentP1]])/12</f>
        <v>43403.991377765218</v>
      </c>
      <c r="L35" s="57">
        <f>(TableIncome[[#This Row],[SalaryP2]]-TableIncome[[#This Row],[InvestmentP2]])/12</f>
        <v>68468.94550031767</v>
      </c>
      <c r="M35" s="34">
        <f>'Net Salary P1'!BI34</f>
        <v>54254.989222206525</v>
      </c>
      <c r="N35" s="35">
        <f>'Net Salary P2'!BI34</f>
        <v>85586.181875397087</v>
      </c>
      <c r="O35" s="35">
        <f>IF(_xlfn.XLOOKUP(TableIncome[[#This Row],[Year]],Loop!C:C,Loop!D:D)&lt;75,(O34*(1+$I$4))+IF(TableIncomeCalculations[[#This Row],[SwitchP1]]="Y",O34*$I$6,0),0)</f>
        <v>110126.39896741421</v>
      </c>
      <c r="P35" s="35">
        <f>IF(_xlfn.XLOOKUP(TableIncome[[#This Row],[Year]],Loop!C:C,Loop!E:E)&lt;75,(P34*(1+$I$4))+IF(TableIncomeCalculations[[#This Row],[SwitchP2]]="Y",P34*$I$6,0),0)</f>
        <v>184825.39149491582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662145.61510988791</v>
      </c>
      <c r="D36" s="37">
        <f>(TableIncomeCalculations[[#This Row],[NetMonthlySalaryP2]]*12)</f>
        <v>1045639.4131849408</v>
      </c>
      <c r="E36" s="36">
        <f>TableIncome[[#This Row],[SalaryP1]]*$I$7</f>
        <v>132429.12302197758</v>
      </c>
      <c r="F36" s="36">
        <f>TableIncome[[#This Row],[SalaryP2]]*$I$7</f>
        <v>209127.88263698819</v>
      </c>
      <c r="G36" s="16"/>
      <c r="K36" s="57">
        <f>(TableIncome[[#This Row],[SalaryP1]]-TableIncome[[#This Row],[InvestmentP1]])/12</f>
        <v>44143.041007325861</v>
      </c>
      <c r="L36" s="57">
        <f>(TableIncome[[#This Row],[SalaryP2]]-TableIncome[[#This Row],[InvestmentP2]])/12</f>
        <v>69709.294212329391</v>
      </c>
      <c r="M36" s="34">
        <f>'Net Salary P1'!BI35</f>
        <v>55178.801259157328</v>
      </c>
      <c r="N36" s="35">
        <f>'Net Salary P2'!BI35</f>
        <v>87136.617765411735</v>
      </c>
      <c r="O36" s="35">
        <f>IF(_xlfn.XLOOKUP(TableIncome[[#This Row],[Year]],Loop!C:C,Loop!D:D)&lt;75,(O35*(1+$I$4))+IF(TableIncomeCalculations[[#This Row],[SwitchP1]]="Y",O35*$I$6,0),0)</f>
        <v>112328.9269467625</v>
      </c>
      <c r="P36" s="35">
        <f>IF(_xlfn.XLOOKUP(TableIncome[[#This Row],[Year]],Loop!C:C,Loop!E:E)&lt;75,(P35*(1+$I$4))+IF(TableIncomeCalculations[[#This Row],[SwitchP2]]="Y",P35*$I$6,0),0)</f>
        <v>188521.89932481415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673453.07444216567</v>
      </c>
      <c r="D37" s="37">
        <f>(TableIncomeCalculations[[#This Row],[NetMonthlySalaryP2]]*12)</f>
        <v>1064616.7484787193</v>
      </c>
      <c r="E37" s="36">
        <f>TableIncome[[#This Row],[SalaryP1]]*$I$7</f>
        <v>134690.61488843313</v>
      </c>
      <c r="F37" s="36">
        <f>TableIncome[[#This Row],[SalaryP2]]*$I$7</f>
        <v>212923.34969574388</v>
      </c>
      <c r="G37" s="16"/>
      <c r="K37" s="57">
        <f>(TableIncome[[#This Row],[SalaryP1]]-TableIncome[[#This Row],[InvestmentP1]])/12</f>
        <v>44896.871629477711</v>
      </c>
      <c r="L37" s="57">
        <f>(TableIncome[[#This Row],[SalaryP2]]-TableIncome[[#This Row],[InvestmentP2]])/12</f>
        <v>70974.449898581282</v>
      </c>
      <c r="M37" s="34">
        <f>'Net Salary P1'!BI36</f>
        <v>56121.089536847139</v>
      </c>
      <c r="N37" s="35">
        <f>'Net Salary P2'!BI36</f>
        <v>88718.06237322661</v>
      </c>
      <c r="O37" s="35">
        <f>IF(_xlfn.XLOOKUP(TableIncome[[#This Row],[Year]],Loop!C:C,Loop!D:D)&lt;75,(O36*(1+$I$4))+IF(TableIncomeCalculations[[#This Row],[SwitchP1]]="Y",O36*$I$6,0),0)</f>
        <v>114575.50548569775</v>
      </c>
      <c r="P37" s="35">
        <f>IF(_xlfn.XLOOKUP(TableIncome[[#This Row],[Year]],Loop!C:C,Loop!E:E)&lt;75,(P36*(1+$I$4))+IF(TableIncomeCalculations[[#This Row],[SwitchP2]]="Y",P36*$I$6,0),0)</f>
        <v>192292.33731131043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713820.70425839734</v>
      </c>
      <c r="D38" s="37">
        <f>(TableIncomeCalculations[[#This Row],[NetMonthlySalaryP2]]*12)</f>
        <v>0</v>
      </c>
      <c r="E38" s="36">
        <f>TableIncome[[#This Row],[SalaryP1]]*$I$7</f>
        <v>142764.14085167946</v>
      </c>
      <c r="F38" s="36">
        <f>TableIncome[[#This Row],[SalaryP2]]*$I$7</f>
        <v>0</v>
      </c>
      <c r="G38" s="16"/>
      <c r="K38" s="57">
        <f>(TableIncome[[#This Row],[SalaryP1]]-TableIncome[[#This Row],[InvestmentP1]])/12</f>
        <v>47588.046950559823</v>
      </c>
      <c r="L38" s="57">
        <f>(TableIncome[[#This Row],[SalaryP2]]-TableIncome[[#This Row],[InvestmentP2]])/12</f>
        <v>0</v>
      </c>
      <c r="M38" s="34">
        <f>'Net Salary P1'!BI37</f>
        <v>59485.058688199781</v>
      </c>
      <c r="N38" s="35">
        <f>'Net Salary P2'!BI37</f>
        <v>0</v>
      </c>
      <c r="O38" s="35">
        <f>IF(_xlfn.XLOOKUP(TableIncome[[#This Row],[Year]],Loop!C:C,Loop!D:D)&lt;75,(O37*(1+$I$4))+IF(TableIncomeCalculations[[#This Row],[SwitchP1]]="Y",O37*$I$6,0),0)</f>
        <v>122595.79086969659</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726161.66537364526</v>
      </c>
      <c r="D39" s="37">
        <f>(TableIncomeCalculations[[#This Row],[NetMonthlySalaryP2]]*12)</f>
        <v>0</v>
      </c>
      <c r="E39" s="36">
        <f>TableIncome[[#This Row],[SalaryP1]]*$I$7</f>
        <v>145232.33307472905</v>
      </c>
      <c r="F39" s="36">
        <f>TableIncome[[#This Row],[SalaryP2]]*$I$7</f>
        <v>0</v>
      </c>
      <c r="G39" s="16"/>
      <c r="K39" s="57">
        <f>(TableIncome[[#This Row],[SalaryP1]]-TableIncome[[#This Row],[InvestmentP1]])/12</f>
        <v>48410.777691576346</v>
      </c>
      <c r="L39" s="57">
        <f>(TableIncome[[#This Row],[SalaryP2]]-TableIncome[[#This Row],[InvestmentP2]])/12</f>
        <v>0</v>
      </c>
      <c r="M39" s="34">
        <f>'Net Salary P1'!BI38</f>
        <v>60513.472114470438</v>
      </c>
      <c r="N39" s="35">
        <f>'Net Salary P2'!BI38</f>
        <v>0</v>
      </c>
      <c r="O39" s="35">
        <f>IF(_xlfn.XLOOKUP(TableIncome[[#This Row],[Year]],Loop!C:C,Loop!D:D)&lt;75,(O38*(1+$I$4))+IF(TableIncomeCalculations[[#This Row],[SwitchP1]]="Y",O38*$I$6,0),0)</f>
        <v>125047.70668709053</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738749.44571119815</v>
      </c>
      <c r="D40" s="37">
        <f>(TableIncomeCalculations[[#This Row],[NetMonthlySalaryP2]]*12)</f>
        <v>0</v>
      </c>
      <c r="E40" s="36">
        <f>TableIncome[[#This Row],[SalaryP1]]*$I$7</f>
        <v>147749.88914223964</v>
      </c>
      <c r="F40" s="36">
        <f>TableIncome[[#This Row],[SalaryP2]]*$I$7</f>
        <v>0</v>
      </c>
      <c r="G40" s="16"/>
      <c r="K40" s="57">
        <f>(TableIncome[[#This Row],[SalaryP1]]-TableIncome[[#This Row],[InvestmentP1]])/12</f>
        <v>49249.963047413214</v>
      </c>
      <c r="L40" s="57">
        <f>(TableIncome[[#This Row],[SalaryP2]]-TableIncome[[#This Row],[InvestmentP2]])/12</f>
        <v>0</v>
      </c>
      <c r="M40" s="34">
        <f>'Net Salary P1'!BI39</f>
        <v>61562.45380926651</v>
      </c>
      <c r="N40" s="35">
        <f>'Net Salary P2'!BI39</f>
        <v>0</v>
      </c>
      <c r="O40" s="35">
        <f>IF(_xlfn.XLOOKUP(TableIncome[[#This Row],[Year]],Loop!C:C,Loop!D:D)&lt;75,(O39*(1+$I$4))+IF(TableIncomeCalculations[[#This Row],[SwitchP1]]="Y",O39*$I$6,0),0)</f>
        <v>127548.66082083235</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751588.98165550211</v>
      </c>
      <c r="D41" s="37">
        <f>(TableIncomeCalculations[[#This Row],[NetMonthlySalaryP2]]*12)</f>
        <v>0</v>
      </c>
      <c r="E41" s="36">
        <f>TableIncome[[#This Row],[SalaryP1]]*$I$7</f>
        <v>150317.79633110043</v>
      </c>
      <c r="F41" s="36">
        <f>TableIncome[[#This Row],[SalaryP2]]*$I$7</f>
        <v>0</v>
      </c>
      <c r="G41" s="16"/>
      <c r="K41" s="57">
        <f>(TableIncome[[#This Row],[SalaryP1]]-TableIncome[[#This Row],[InvestmentP1]])/12</f>
        <v>50105.932110366812</v>
      </c>
      <c r="L41" s="57">
        <f>(TableIncome[[#This Row],[SalaryP2]]-TableIncome[[#This Row],[InvestmentP2]])/12</f>
        <v>0</v>
      </c>
      <c r="M41" s="34">
        <f>'Net Salary P1'!BI40</f>
        <v>62632.415137958509</v>
      </c>
      <c r="N41" s="35">
        <f>'Net Salary P2'!BI40</f>
        <v>0</v>
      </c>
      <c r="O41" s="35">
        <f>IF(_xlfn.XLOOKUP(TableIncome[[#This Row],[Year]],Loop!C:C,Loop!D:D)&lt;75,(O40*(1+$I$4))+IF(TableIncomeCalculations[[#This Row],[SwitchP1]]="Y",O40*$I$6,0),0)</f>
        <v>130099.63403724899</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764685.30831869226</v>
      </c>
      <c r="D42" s="37">
        <f>(TableIncomeCalculations[[#This Row],[NetMonthlySalaryP2]]*12)</f>
        <v>0</v>
      </c>
      <c r="E42" s="36">
        <f>TableIncome[[#This Row],[SalaryP1]]*$I$7</f>
        <v>152937.06166373845</v>
      </c>
      <c r="F42" s="36">
        <f>TableIncome[[#This Row],[SalaryP2]]*$I$7</f>
        <v>0</v>
      </c>
      <c r="G42" s="16"/>
      <c r="K42" s="57">
        <f>(TableIncome[[#This Row],[SalaryP1]]-TableIncome[[#This Row],[InvestmentP1]])/12</f>
        <v>50979.020554579482</v>
      </c>
      <c r="L42" s="57">
        <f>(TableIncome[[#This Row],[SalaryP2]]-TableIncome[[#This Row],[InvestmentP2]])/12</f>
        <v>0</v>
      </c>
      <c r="M42" s="34">
        <f>'Net Salary P1'!BI41</f>
        <v>63723.775693224357</v>
      </c>
      <c r="N42" s="35">
        <f>'Net Salary P2'!BI41</f>
        <v>0</v>
      </c>
      <c r="O42" s="35">
        <f>IF(_xlfn.XLOOKUP(TableIncome[[#This Row],[Year]],Loop!C:C,Loop!D:D)&lt;75,(O41*(1+$I$4))+IF(TableIncomeCalculations[[#This Row],[SwitchP1]]="Y",O41*$I$6,0),0)</f>
        <v>132701.62671799399</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778043.56151514617</v>
      </c>
      <c r="D43" s="37">
        <f>(TableIncomeCalculations[[#This Row],[NetMonthlySalaryP2]]*12)</f>
        <v>0</v>
      </c>
      <c r="E43" s="36">
        <f>TableIncome[[#This Row],[SalaryP1]]*$I$7</f>
        <v>155608.71230302923</v>
      </c>
      <c r="F43" s="36">
        <f>TableIncome[[#This Row],[SalaryP2]]*$I$7</f>
        <v>0</v>
      </c>
      <c r="G43" s="16"/>
      <c r="K43" s="57">
        <f>(TableIncome[[#This Row],[SalaryP1]]-TableIncome[[#This Row],[InvestmentP1]])/12</f>
        <v>51869.570767676407</v>
      </c>
      <c r="L43" s="57">
        <f>(TableIncome[[#This Row],[SalaryP2]]-TableIncome[[#This Row],[InvestmentP2]])/12</f>
        <v>0</v>
      </c>
      <c r="M43" s="34">
        <f>'Net Salary P1'!BI42</f>
        <v>64836.963459595514</v>
      </c>
      <c r="N43" s="35">
        <f>'Net Salary P2'!BI42</f>
        <v>0</v>
      </c>
      <c r="O43" s="35">
        <f>IF(_xlfn.XLOOKUP(TableIncome[[#This Row],[Year]],Loop!C:C,Loop!D:D)&lt;75,(O42*(1+$I$4))+IF(TableIncomeCalculations[[#This Row],[SwitchP1]]="Y",O42*$I$6,0),0)</f>
        <v>135355.65925235389</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791668.97977552912</v>
      </c>
      <c r="D44" s="37">
        <f>(TableIncomeCalculations[[#This Row],[NetMonthlySalaryP2]]*12)</f>
        <v>0</v>
      </c>
      <c r="E44" s="36">
        <f>TableIncome[[#This Row],[SalaryP1]]*$I$7</f>
        <v>158333.79595510583</v>
      </c>
      <c r="F44" s="36">
        <f>TableIncome[[#This Row],[SalaryP2]]*$I$7</f>
        <v>0</v>
      </c>
      <c r="G44" s="16"/>
      <c r="K44" s="57">
        <f>(TableIncome[[#This Row],[SalaryP1]]-TableIncome[[#This Row],[InvestmentP1]])/12</f>
        <v>52777.931985035277</v>
      </c>
      <c r="L44" s="57">
        <f>(TableIncome[[#This Row],[SalaryP2]]-TableIncome[[#This Row],[InvestmentP2]])/12</f>
        <v>0</v>
      </c>
      <c r="M44" s="34">
        <f>'Net Salary P1'!BI43</f>
        <v>65972.414981294089</v>
      </c>
      <c r="N44" s="35">
        <f>'Net Salary P2'!BI43</f>
        <v>0</v>
      </c>
      <c r="O44" s="35">
        <f>IF(_xlfn.XLOOKUP(TableIncome[[#This Row],[Year]],Loop!C:C,Loop!D:D)&lt;75,(O43*(1+$I$4))+IF(TableIncomeCalculations[[#This Row],[SwitchP1]]="Y",O43*$I$6,0),0)</f>
        <v>138062.77243740097</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805566.90640111966</v>
      </c>
      <c r="D45" s="37">
        <f>(TableIncomeCalculations[[#This Row],[NetMonthlySalaryP2]]*12)</f>
        <v>0</v>
      </c>
      <c r="E45" s="36">
        <f>TableIncome[[#This Row],[SalaryP1]]*$I$7</f>
        <v>161113.38128022396</v>
      </c>
      <c r="F45" s="36">
        <f>TableIncome[[#This Row],[SalaryP2]]*$I$7</f>
        <v>0</v>
      </c>
      <c r="G45" s="16"/>
      <c r="K45" s="57">
        <f>(TableIncome[[#This Row],[SalaryP1]]-TableIncome[[#This Row],[InvestmentP1]])/12</f>
        <v>53704.460426741309</v>
      </c>
      <c r="L45" s="57">
        <f>(TableIncome[[#This Row],[SalaryP2]]-TableIncome[[#This Row],[InvestmentP2]])/12</f>
        <v>0</v>
      </c>
      <c r="M45" s="34">
        <f>'Net Salary P1'!BI44</f>
        <v>67130.575533426643</v>
      </c>
      <c r="N45" s="35">
        <f>'Net Salary P2'!BI44</f>
        <v>0</v>
      </c>
      <c r="O45" s="35">
        <f>IF(_xlfn.XLOOKUP(TableIncome[[#This Row],[Year]],Loop!C:C,Loop!D:D)&lt;75,(O44*(1+$I$4))+IF(TableIncomeCalculations[[#This Row],[SwitchP1]]="Y",O44*$I$6,0),0)</f>
        <v>140824.02788614898</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819742.79155922215</v>
      </c>
      <c r="D46" s="37">
        <f>(TableIncomeCalculations[[#This Row],[NetMonthlySalaryP2]]*12)</f>
        <v>0</v>
      </c>
      <c r="E46" s="36">
        <f>TableIncome[[#This Row],[SalaryP1]]*$I$7</f>
        <v>163948.55831184445</v>
      </c>
      <c r="F46" s="36">
        <f>TableIncome[[#This Row],[SalaryP2]]*$I$7</f>
        <v>0</v>
      </c>
      <c r="G46" s="16"/>
      <c r="K46" s="57">
        <f>(TableIncome[[#This Row],[SalaryP1]]-TableIncome[[#This Row],[InvestmentP1]])/12</f>
        <v>54649.519437281473</v>
      </c>
      <c r="L46" s="57">
        <f>(TableIncome[[#This Row],[SalaryP2]]-TableIncome[[#This Row],[InvestmentP2]])/12</f>
        <v>0</v>
      </c>
      <c r="M46" s="34">
        <f>'Net Salary P1'!BI45</f>
        <v>68311.899296601841</v>
      </c>
      <c r="N46" s="35">
        <f>'Net Salary P2'!BI45</f>
        <v>0</v>
      </c>
      <c r="O46" s="35">
        <f>IF(_xlfn.XLOOKUP(TableIncome[[#This Row],[Year]],Loop!C:C,Loop!D:D)&lt;75,(O45*(1+$I$4))+IF(TableIncomeCalculations[[#This Row],[SwitchP1]]="Y",O45*$I$6,0),0)</f>
        <v>143640.50844387195</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834202.19442048646</v>
      </c>
      <c r="D47" s="37">
        <f>(TableIncomeCalculations[[#This Row],[NetMonthlySalaryP2]]*12)</f>
        <v>0</v>
      </c>
      <c r="E47" s="36">
        <f>TableIncome[[#This Row],[SalaryP1]]*$I$7</f>
        <v>166840.4388840973</v>
      </c>
      <c r="F47" s="36">
        <f>TableIncome[[#This Row],[SalaryP2]]*$I$7</f>
        <v>0</v>
      </c>
      <c r="G47" s="16"/>
      <c r="K47" s="57">
        <f>(TableIncome[[#This Row],[SalaryP1]]-TableIncome[[#This Row],[InvestmentP1]])/12</f>
        <v>55613.47962803243</v>
      </c>
      <c r="L47" s="57">
        <f>(TableIncome[[#This Row],[SalaryP2]]-TableIncome[[#This Row],[InvestmentP2]])/12</f>
        <v>0</v>
      </c>
      <c r="M47" s="34">
        <f>'Net Salary P1'!BI46</f>
        <v>69516.849535040543</v>
      </c>
      <c r="N47" s="35">
        <f>'Net Salary P2'!BI46</f>
        <v>0</v>
      </c>
      <c r="O47" s="35">
        <f>IF(_xlfn.XLOOKUP(TableIncome[[#This Row],[Year]],Loop!C:C,Loop!D:D)&lt;75,(O46*(1+$I$4))+IF(TableIncomeCalculations[[#This Row],[SwitchP1]]="Y",O46*$I$6,0),0)</f>
        <v>146513.3186127494</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848950.78533897642</v>
      </c>
      <c r="D48" s="37">
        <f>(TableIncomeCalculations[[#This Row],[NetMonthlySalaryP2]]*12)</f>
        <v>0</v>
      </c>
      <c r="E48" s="36">
        <f>TableIncome[[#This Row],[SalaryP1]]*$I$7</f>
        <v>169790.15706779528</v>
      </c>
      <c r="F48" s="36">
        <f>TableIncome[[#This Row],[SalaryP2]]*$I$7</f>
        <v>0</v>
      </c>
      <c r="G48" s="16"/>
      <c r="K48" s="57">
        <f>(TableIncome[[#This Row],[SalaryP1]]-TableIncome[[#This Row],[InvestmentP1]])/12</f>
        <v>56596.71902259843</v>
      </c>
      <c r="L48" s="57">
        <f>(TableIncome[[#This Row],[SalaryP2]]-TableIncome[[#This Row],[InvestmentP2]])/12</f>
        <v>0</v>
      </c>
      <c r="M48" s="34">
        <f>'Net Salary P1'!BI47</f>
        <v>70745.89877824804</v>
      </c>
      <c r="N48" s="35">
        <f>'Net Salary P2'!BI47</f>
        <v>0</v>
      </c>
      <c r="O48" s="35">
        <f>IF(_xlfn.XLOOKUP(TableIncome[[#This Row],[Year]],Loop!C:C,Loop!D:D)&lt;75,(O47*(1+$I$4))+IF(TableIncomeCalculations[[#This Row],[SwitchP1]]="Y",O47*$I$6,0),0)</f>
        <v>149443.58498500439</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863994.34807583573</v>
      </c>
      <c r="D49" s="37">
        <f>(TableIncomeCalculations[[#This Row],[NetMonthlySalaryP2]]*12)</f>
        <v>0</v>
      </c>
      <c r="E49" s="36">
        <f>TableIncome[[#This Row],[SalaryP1]]*$I$7</f>
        <v>172798.86961516715</v>
      </c>
      <c r="F49" s="36">
        <f>TableIncome[[#This Row],[SalaryP2]]*$I$7</f>
        <v>0</v>
      </c>
      <c r="K49" s="57">
        <f>(TableIncome[[#This Row],[SalaryP1]]-TableIncome[[#This Row],[InvestmentP1]])/12</f>
        <v>57599.623205055716</v>
      </c>
      <c r="L49" s="57">
        <f>(TableIncome[[#This Row],[SalaryP2]]-TableIncome[[#This Row],[InvestmentP2]])/12</f>
        <v>0</v>
      </c>
      <c r="M49" s="34">
        <f>'Net Salary P1'!BI48</f>
        <v>71999.529006319644</v>
      </c>
      <c r="N49" s="34">
        <f>'Net Salary P2'!BI48</f>
        <v>0</v>
      </c>
      <c r="O49" s="35">
        <f>IF(_xlfn.XLOOKUP(TableIncome[[#This Row],[Year]],Loop!C:C,Loop!D:D)&lt;75,(O48*(1+$I$4))+IF(TableIncomeCalculations[[#This Row],[SwitchP1]]="Y",O48*$I$6,0),0)</f>
        <v>152432.45668470449</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879338.78206743265</v>
      </c>
      <c r="D50" s="37">
        <f>(TableIncomeCalculations[[#This Row],[NetMonthlySalaryP2]]*12)</f>
        <v>0</v>
      </c>
      <c r="E50" s="36">
        <f>TableIncome[[#This Row],[SalaryP1]]*$I$7</f>
        <v>175867.75641348655</v>
      </c>
      <c r="F50" s="36">
        <f>TableIncome[[#This Row],[SalaryP2]]*$I$7</f>
        <v>0</v>
      </c>
      <c r="K50" s="57">
        <f>(TableIncome[[#This Row],[SalaryP1]]-TableIncome[[#This Row],[InvestmentP1]])/12</f>
        <v>58622.585471162172</v>
      </c>
      <c r="L50" s="57">
        <f>(TableIncome[[#This Row],[SalaryP2]]-TableIncome[[#This Row],[InvestmentP2]])/12</f>
        <v>0</v>
      </c>
      <c r="M50" s="34">
        <f>'Net Salary P1'!BI49</f>
        <v>73278.231838952721</v>
      </c>
      <c r="N50" s="34">
        <f>'Net Salary P2'!BI49</f>
        <v>0</v>
      </c>
      <c r="O50" s="35">
        <f>IF(_xlfn.XLOOKUP(TableIncome[[#This Row],[Year]],Loop!C:C,Loop!D:D)&lt;75,(O49*(1+$I$4))+IF(TableIncomeCalculations[[#This Row],[SwitchP1]]="Y",O49*$I$6,0),0)</f>
        <v>155481.10581839859</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894990.10473886132</v>
      </c>
      <c r="D51" s="37">
        <f>(TableIncomeCalculations[[#This Row],[NetMonthlySalaryP2]]*12)</f>
        <v>0</v>
      </c>
      <c r="E51" s="36">
        <f>TableIncome[[#This Row],[SalaryP1]]*$I$7</f>
        <v>178998.02094777228</v>
      </c>
      <c r="F51" s="36">
        <f>TableIncome[[#This Row],[SalaryP2]]*$I$7</f>
        <v>0</v>
      </c>
      <c r="K51" s="57">
        <f>(TableIncome[[#This Row],[SalaryP1]]-TableIncome[[#This Row],[InvestmentP1]])/12</f>
        <v>59666.006982590749</v>
      </c>
      <c r="L51" s="57">
        <f>(TableIncome[[#This Row],[SalaryP2]]-TableIncome[[#This Row],[InvestmentP2]])/12</f>
        <v>0</v>
      </c>
      <c r="M51" s="34">
        <f>'Net Salary P1'!BI50</f>
        <v>74582.508728238448</v>
      </c>
      <c r="N51" s="34">
        <f>'Net Salary P2'!BI50</f>
        <v>0</v>
      </c>
      <c r="O51" s="35">
        <f>IF(_xlfn.XLOOKUP(TableIncome[[#This Row],[Year]],Loop!C:C,Loop!D:D)&lt;75,(O50*(1+$I$4))+IF(TableIncomeCalculations[[#This Row],[SwitchP1]]="Y",O50*$I$6,0),0)</f>
        <v>158590.72793476656</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910954.45386371855</v>
      </c>
      <c r="D52" s="37">
        <f>(TableIncomeCalculations[[#This Row],[NetMonthlySalaryP2]]*12)</f>
        <v>0</v>
      </c>
      <c r="E52" s="36">
        <f>TableIncome[[#This Row],[SalaryP1]]*$I$7</f>
        <v>182190.89077274373</v>
      </c>
      <c r="F52" s="36">
        <f>TableIncome[[#This Row],[SalaryP2]]*$I$7</f>
        <v>0</v>
      </c>
      <c r="K52" s="57">
        <f>(TableIncome[[#This Row],[SalaryP1]]-TableIncome[[#This Row],[InvestmentP1]])/12</f>
        <v>60730.296924247901</v>
      </c>
      <c r="L52" s="57">
        <f>(TableIncome[[#This Row],[SalaryP2]]-TableIncome[[#This Row],[InvestmentP2]])/12</f>
        <v>0</v>
      </c>
      <c r="M52" s="34">
        <f>'Net Salary P1'!BI51</f>
        <v>75912.871155309884</v>
      </c>
      <c r="N52" s="34">
        <f>'Net Salary P2'!BI51</f>
        <v>0</v>
      </c>
      <c r="O52" s="35">
        <f>IF(_xlfn.XLOOKUP(TableIncome[[#This Row],[Year]],Loop!C:C,Loop!D:D)&lt;75,(O51*(1+$I$4))+IF(TableIncomeCalculations[[#This Row],[SwitchP1]]="Y",O51*$I$6,0),0)</f>
        <v>161762.54249346189</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43851.485148514854</v>
      </c>
      <c r="C2" s="28">
        <v>44728.514851485153</v>
      </c>
      <c r="D2" s="28">
        <v>47859.510891089114</v>
      </c>
      <c r="E2" s="28">
        <v>48816.7011089109</v>
      </c>
      <c r="F2" s="28">
        <v>49793.03513108912</v>
      </c>
      <c r="G2" s="28">
        <v>50788.895833710907</v>
      </c>
      <c r="H2" s="28">
        <v>54344.118542070668</v>
      </c>
      <c r="I2" s="28">
        <v>55431.000912912081</v>
      </c>
      <c r="J2" s="28">
        <v>56539.620931170321</v>
      </c>
      <c r="K2" s="28">
        <v>57670.413349793729</v>
      </c>
      <c r="L2" s="28">
        <v>61707.342284279286</v>
      </c>
      <c r="M2" s="28">
        <v>62941.489129964873</v>
      </c>
      <c r="N2" s="28">
        <v>64200.318912564173</v>
      </c>
      <c r="O2" s="28">
        <v>68694.341236443666</v>
      </c>
      <c r="P2" s="28">
        <v>70068.228061172544</v>
      </c>
      <c r="Q2" s="28">
        <v>71469.592622395998</v>
      </c>
      <c r="R2" s="28">
        <v>72898.984474843921</v>
      </c>
      <c r="S2" s="28">
        <v>74356.964164340796</v>
      </c>
      <c r="T2" s="28">
        <v>79561.951655844648</v>
      </c>
      <c r="U2" s="28">
        <v>81153.190688961549</v>
      </c>
      <c r="V2" s="28">
        <v>82776.254502740776</v>
      </c>
      <c r="W2" s="28">
        <v>84431.779592795589</v>
      </c>
      <c r="X2" s="28">
        <v>90342.004164291284</v>
      </c>
      <c r="Y2" s="28">
        <v>92148.844247577115</v>
      </c>
      <c r="Z2" s="28">
        <v>93991.821132528654</v>
      </c>
      <c r="AA2" s="28">
        <v>95871.657555179234</v>
      </c>
      <c r="AB2" s="28">
        <v>97789.090706282819</v>
      </c>
      <c r="AC2" s="28">
        <v>99744.872520408477</v>
      </c>
      <c r="AD2" s="28">
        <v>101739.76997081665</v>
      </c>
      <c r="AE2" s="28">
        <v>103774.56537023299</v>
      </c>
      <c r="AF2" s="28">
        <v>105850.05667763765</v>
      </c>
      <c r="AG2" s="28">
        <v>107967.0578111904</v>
      </c>
      <c r="AH2" s="28">
        <v>110126.39896741421</v>
      </c>
      <c r="AI2" s="28">
        <v>112328.9269467625</v>
      </c>
      <c r="AJ2" s="28">
        <v>114575.50548569775</v>
      </c>
      <c r="AK2" s="28">
        <v>122595.79086969659</v>
      </c>
      <c r="AL2" s="28">
        <v>125047.70668709053</v>
      </c>
      <c r="AM2" s="28">
        <v>127548.66082083235</v>
      </c>
      <c r="AN2" s="28">
        <v>130099.63403724899</v>
      </c>
      <c r="AO2" s="28">
        <v>132701.62671799399</v>
      </c>
      <c r="AP2" s="28">
        <v>135355.65925235389</v>
      </c>
      <c r="AQ2" s="28">
        <v>138062.77243740097</v>
      </c>
      <c r="AR2" s="28">
        <v>140824.02788614898</v>
      </c>
      <c r="AS2" s="28">
        <v>143640.50844387195</v>
      </c>
      <c r="AT2" s="28">
        <v>146513.3186127494</v>
      </c>
      <c r="AU2" s="2">
        <v>149443.58498500439</v>
      </c>
      <c r="AV2" s="2">
        <v>152432.45668470449</v>
      </c>
      <c r="AW2" s="2">
        <v>155481.10581839859</v>
      </c>
      <c r="AX2" s="2">
        <v>158590.72793476656</v>
      </c>
      <c r="AY2" s="2">
        <v>161762.54249346189</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2192.5742574257429</v>
      </c>
      <c r="C4" s="28">
        <f t="shared" ref="C4:AT4" si="0">C3*C2</f>
        <v>2236.4257425742576</v>
      </c>
      <c r="D4" s="28">
        <f t="shared" si="0"/>
        <v>2392.9755445544556</v>
      </c>
      <c r="E4" s="28">
        <f t="shared" si="0"/>
        <v>2440.8350554455451</v>
      </c>
      <c r="F4" s="28">
        <f t="shared" si="0"/>
        <v>2489.6517565544564</v>
      </c>
      <c r="G4" s="28">
        <f t="shared" si="0"/>
        <v>2539.4447916855456</v>
      </c>
      <c r="H4" s="28">
        <f t="shared" si="0"/>
        <v>2717.2059271035337</v>
      </c>
      <c r="I4" s="28">
        <f t="shared" si="0"/>
        <v>2771.5500456456043</v>
      </c>
      <c r="J4" s="28">
        <f t="shared" si="0"/>
        <v>2826.981046558516</v>
      </c>
      <c r="K4" s="28">
        <f t="shared" si="0"/>
        <v>2883.5206674896867</v>
      </c>
      <c r="L4" s="28">
        <f t="shared" si="0"/>
        <v>3085.3671142139647</v>
      </c>
      <c r="M4" s="28">
        <f t="shared" si="0"/>
        <v>3147.0744564982438</v>
      </c>
      <c r="N4" s="28">
        <f t="shared" si="0"/>
        <v>3210.015945628209</v>
      </c>
      <c r="O4" s="28">
        <f t="shared" si="0"/>
        <v>3434.7170618221835</v>
      </c>
      <c r="P4" s="28">
        <f t="shared" si="0"/>
        <v>3503.4114030586275</v>
      </c>
      <c r="Q4" s="28">
        <f t="shared" si="0"/>
        <v>3573.4796311198002</v>
      </c>
      <c r="R4" s="28">
        <f t="shared" si="0"/>
        <v>3644.9492237421964</v>
      </c>
      <c r="S4" s="28">
        <f t="shared" si="0"/>
        <v>3717.8482082170399</v>
      </c>
      <c r="T4" s="28">
        <f t="shared" si="0"/>
        <v>3978.0975827922325</v>
      </c>
      <c r="U4" s="28">
        <f t="shared" si="0"/>
        <v>4057.6595344480775</v>
      </c>
      <c r="V4" s="28">
        <f t="shared" si="0"/>
        <v>4138.8127251370388</v>
      </c>
      <c r="W4" s="28">
        <f t="shared" si="0"/>
        <v>4221.5889796397796</v>
      </c>
      <c r="X4" s="28">
        <f t="shared" si="0"/>
        <v>4517.1002082145642</v>
      </c>
      <c r="Y4" s="28">
        <f t="shared" si="0"/>
        <v>4607.4422123788563</v>
      </c>
      <c r="Z4" s="28">
        <f t="shared" si="0"/>
        <v>4699.5910566264329</v>
      </c>
      <c r="AA4" s="28">
        <f t="shared" si="0"/>
        <v>4793.5828777589622</v>
      </c>
      <c r="AB4" s="28">
        <f t="shared" si="0"/>
        <v>4889.4545353141411</v>
      </c>
      <c r="AC4" s="28">
        <f t="shared" si="0"/>
        <v>4987.243626020424</v>
      </c>
      <c r="AD4" s="28">
        <f t="shared" si="0"/>
        <v>5086.9884985408326</v>
      </c>
      <c r="AE4" s="28">
        <f t="shared" si="0"/>
        <v>5188.7282685116497</v>
      </c>
      <c r="AF4" s="28">
        <f t="shared" si="0"/>
        <v>5292.5028338818829</v>
      </c>
      <c r="AG4" s="28">
        <f t="shared" si="0"/>
        <v>5398.3528905595203</v>
      </c>
      <c r="AH4" s="28">
        <f t="shared" si="0"/>
        <v>5506.3199483707103</v>
      </c>
      <c r="AI4" s="28">
        <f t="shared" si="0"/>
        <v>5616.4463473381256</v>
      </c>
      <c r="AJ4" s="28">
        <f t="shared" si="0"/>
        <v>5728.7752742848879</v>
      </c>
      <c r="AK4" s="28">
        <f t="shared" si="0"/>
        <v>6129.7895434848297</v>
      </c>
      <c r="AL4" s="28">
        <f t="shared" si="0"/>
        <v>6252.385334354527</v>
      </c>
      <c r="AM4" s="28">
        <f t="shared" si="0"/>
        <v>6377.4330410416178</v>
      </c>
      <c r="AN4" s="28">
        <f t="shared" si="0"/>
        <v>6504.9817018624499</v>
      </c>
      <c r="AO4" s="28">
        <f t="shared" si="0"/>
        <v>6635.0813358997002</v>
      </c>
      <c r="AP4" s="28">
        <f t="shared" si="0"/>
        <v>6767.7829626176945</v>
      </c>
      <c r="AQ4" s="28">
        <f t="shared" si="0"/>
        <v>6903.1386218700491</v>
      </c>
      <c r="AR4" s="28">
        <f t="shared" si="0"/>
        <v>7041.2013943074489</v>
      </c>
      <c r="AS4" s="28">
        <f t="shared" si="0"/>
        <v>7182.0254221935975</v>
      </c>
      <c r="AT4" s="28">
        <f t="shared" si="0"/>
        <v>7325.6659306374704</v>
      </c>
      <c r="AU4" s="28">
        <f t="shared" ref="AU4:AY4" si="1">AU3*AU2</f>
        <v>7472.17924925022</v>
      </c>
      <c r="AV4" s="28">
        <f t="shared" si="1"/>
        <v>7621.6228342352251</v>
      </c>
      <c r="AW4" s="28">
        <f t="shared" si="1"/>
        <v>7774.0552909199296</v>
      </c>
      <c r="AX4" s="28">
        <f t="shared" si="1"/>
        <v>7929.5363967383282</v>
      </c>
      <c r="AY4" s="28">
        <f t="shared" si="1"/>
        <v>8088.1271246730948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4385.1485148514857</v>
      </c>
      <c r="C6" s="28">
        <f t="shared" ref="C6:AT6" si="2">C4*2</f>
        <v>4472.8514851485152</v>
      </c>
      <c r="D6" s="28">
        <f t="shared" si="2"/>
        <v>4785.9510891089112</v>
      </c>
      <c r="E6" s="28">
        <f t="shared" si="2"/>
        <v>4881.6701108910902</v>
      </c>
      <c r="F6" s="28">
        <f t="shared" si="2"/>
        <v>4979.3035131089127</v>
      </c>
      <c r="G6" s="28">
        <f t="shared" si="2"/>
        <v>5078.8895833710912</v>
      </c>
      <c r="H6" s="28">
        <f t="shared" si="2"/>
        <v>5434.4118542070673</v>
      </c>
      <c r="I6" s="28">
        <f t="shared" si="2"/>
        <v>5543.1000912912086</v>
      </c>
      <c r="J6" s="28">
        <f t="shared" si="2"/>
        <v>5653.9620931170321</v>
      </c>
      <c r="K6" s="28">
        <f t="shared" si="2"/>
        <v>5767.0413349793735</v>
      </c>
      <c r="L6" s="28">
        <f t="shared" si="2"/>
        <v>6170.7342284279293</v>
      </c>
      <c r="M6" s="28">
        <f t="shared" si="2"/>
        <v>6294.1489129964875</v>
      </c>
      <c r="N6" s="28">
        <f t="shared" si="2"/>
        <v>6420.031891256418</v>
      </c>
      <c r="O6" s="28">
        <f t="shared" si="2"/>
        <v>6869.434123644367</v>
      </c>
      <c r="P6" s="28">
        <f t="shared" si="2"/>
        <v>7006.8228061172549</v>
      </c>
      <c r="Q6" s="28">
        <f t="shared" si="2"/>
        <v>7146.9592622396003</v>
      </c>
      <c r="R6" s="28">
        <f t="shared" si="2"/>
        <v>7289.8984474843928</v>
      </c>
      <c r="S6" s="28">
        <f t="shared" si="2"/>
        <v>7435.6964164340798</v>
      </c>
      <c r="T6" s="28">
        <f t="shared" si="2"/>
        <v>7956.195165584465</v>
      </c>
      <c r="U6" s="28">
        <f t="shared" si="2"/>
        <v>8115.3190688961549</v>
      </c>
      <c r="V6" s="28">
        <f t="shared" si="2"/>
        <v>8277.6254502740776</v>
      </c>
      <c r="W6" s="28">
        <f t="shared" si="2"/>
        <v>8443.1779592795592</v>
      </c>
      <c r="X6" s="28">
        <f t="shared" si="2"/>
        <v>9034.2004164291284</v>
      </c>
      <c r="Y6" s="28">
        <f t="shared" si="2"/>
        <v>9214.8844247577126</v>
      </c>
      <c r="Z6" s="28">
        <f t="shared" si="2"/>
        <v>9399.1821132528657</v>
      </c>
      <c r="AA6" s="28">
        <f t="shared" si="2"/>
        <v>9587.1657555179245</v>
      </c>
      <c r="AB6" s="28">
        <f t="shared" si="2"/>
        <v>9778.9090706282823</v>
      </c>
      <c r="AC6" s="28">
        <f t="shared" si="2"/>
        <v>9974.487252040848</v>
      </c>
      <c r="AD6" s="28">
        <f t="shared" si="2"/>
        <v>10173.976997081665</v>
      </c>
      <c r="AE6" s="28">
        <f t="shared" si="2"/>
        <v>10377.456537023299</v>
      </c>
      <c r="AF6" s="28">
        <f t="shared" si="2"/>
        <v>10585.005667763766</v>
      </c>
      <c r="AG6" s="28">
        <f t="shared" si="2"/>
        <v>10796.705781119041</v>
      </c>
      <c r="AH6" s="28">
        <f t="shared" si="2"/>
        <v>11012.639896741421</v>
      </c>
      <c r="AI6" s="28">
        <f t="shared" si="2"/>
        <v>11232.892694676251</v>
      </c>
      <c r="AJ6" s="28">
        <f t="shared" si="2"/>
        <v>11457.550548569776</v>
      </c>
      <c r="AK6" s="28">
        <f t="shared" si="2"/>
        <v>12259.579086969659</v>
      </c>
      <c r="AL6" s="28">
        <f t="shared" si="2"/>
        <v>12504.770668709054</v>
      </c>
      <c r="AM6" s="28">
        <f t="shared" si="2"/>
        <v>12754.866082083236</v>
      </c>
      <c r="AN6" s="28">
        <f t="shared" si="2"/>
        <v>13009.9634037249</v>
      </c>
      <c r="AO6" s="28">
        <f t="shared" si="2"/>
        <v>13270.1626717994</v>
      </c>
      <c r="AP6" s="28">
        <f t="shared" si="2"/>
        <v>13535.565925235389</v>
      </c>
      <c r="AQ6" s="28">
        <f t="shared" si="2"/>
        <v>13806.277243740098</v>
      </c>
      <c r="AR6" s="28">
        <f t="shared" si="2"/>
        <v>14082.402788614898</v>
      </c>
      <c r="AS6" s="28">
        <f t="shared" si="2"/>
        <v>14364.050844387195</v>
      </c>
      <c r="AT6" s="28">
        <f t="shared" si="2"/>
        <v>14651.331861274941</v>
      </c>
      <c r="AU6" s="28">
        <f t="shared" ref="AU6:AY6" si="3">AU4*2</f>
        <v>14944.35849850044</v>
      </c>
      <c r="AV6" s="28">
        <f t="shared" si="3"/>
        <v>15243.24566847045</v>
      </c>
      <c r="AW6" s="28">
        <f t="shared" si="3"/>
        <v>15548.110581839859</v>
      </c>
      <c r="AX6" s="28">
        <f t="shared" si="3"/>
        <v>15859.072793476656</v>
      </c>
      <c r="AY6" s="28">
        <f t="shared" si="3"/>
        <v>16176.25424934619</v>
      </c>
    </row>
    <row r="7" spans="1:51" x14ac:dyDescent="0.2">
      <c r="A7" s="2" t="s">
        <v>180</v>
      </c>
      <c r="B7" s="29">
        <f>SUM(B6,B4)</f>
        <v>6577.7227722772286</v>
      </c>
      <c r="C7" s="29">
        <f t="shared" ref="C7:AT7" si="4">SUM(C6,C4)</f>
        <v>6709.2772277227723</v>
      </c>
      <c r="D7" s="29">
        <f t="shared" si="4"/>
        <v>7178.9266336633664</v>
      </c>
      <c r="E7" s="29">
        <f t="shared" si="4"/>
        <v>7322.5051663366357</v>
      </c>
      <c r="F7" s="29">
        <f t="shared" si="4"/>
        <v>7468.9552696633691</v>
      </c>
      <c r="G7" s="29">
        <f t="shared" si="4"/>
        <v>7618.3343750566364</v>
      </c>
      <c r="H7" s="29">
        <f t="shared" si="4"/>
        <v>8151.6177813106005</v>
      </c>
      <c r="I7" s="29">
        <f t="shared" si="4"/>
        <v>8314.6501369368125</v>
      </c>
      <c r="J7" s="29">
        <f t="shared" si="4"/>
        <v>8480.9431396755481</v>
      </c>
      <c r="K7" s="29">
        <f t="shared" si="4"/>
        <v>8650.5620024690597</v>
      </c>
      <c r="L7" s="29">
        <f t="shared" si="4"/>
        <v>9256.101342641894</v>
      </c>
      <c r="M7" s="29">
        <f t="shared" si="4"/>
        <v>9441.2233694947317</v>
      </c>
      <c r="N7" s="29">
        <f t="shared" si="4"/>
        <v>9630.047836884627</v>
      </c>
      <c r="O7" s="29">
        <f t="shared" si="4"/>
        <v>10304.151185466551</v>
      </c>
      <c r="P7" s="29">
        <f t="shared" si="4"/>
        <v>10510.234209175882</v>
      </c>
      <c r="Q7" s="29">
        <f t="shared" si="4"/>
        <v>10720.4388933594</v>
      </c>
      <c r="R7" s="29">
        <f t="shared" si="4"/>
        <v>10934.847671226589</v>
      </c>
      <c r="S7" s="29">
        <f t="shared" si="4"/>
        <v>11153.54462465112</v>
      </c>
      <c r="T7" s="29">
        <f t="shared" si="4"/>
        <v>11934.292748376698</v>
      </c>
      <c r="U7" s="29">
        <f t="shared" si="4"/>
        <v>12172.978603344232</v>
      </c>
      <c r="V7" s="29">
        <f t="shared" si="4"/>
        <v>12416.438175411116</v>
      </c>
      <c r="W7" s="29">
        <f t="shared" si="4"/>
        <v>12664.76693891934</v>
      </c>
      <c r="X7" s="29">
        <f t="shared" si="4"/>
        <v>13551.300624643693</v>
      </c>
      <c r="Y7" s="29">
        <f t="shared" si="4"/>
        <v>13822.326637136568</v>
      </c>
      <c r="Z7" s="29">
        <f t="shared" si="4"/>
        <v>14098.7731698793</v>
      </c>
      <c r="AA7" s="29">
        <f t="shared" si="4"/>
        <v>14380.748633276886</v>
      </c>
      <c r="AB7" s="29">
        <f t="shared" si="4"/>
        <v>14668.363605942424</v>
      </c>
      <c r="AC7" s="29">
        <f t="shared" si="4"/>
        <v>14961.730878061273</v>
      </c>
      <c r="AD7" s="29">
        <f t="shared" si="4"/>
        <v>15260.965495622499</v>
      </c>
      <c r="AE7" s="29">
        <f t="shared" si="4"/>
        <v>15566.184805534949</v>
      </c>
      <c r="AF7" s="29">
        <f t="shared" si="4"/>
        <v>15877.508501645649</v>
      </c>
      <c r="AG7" s="29">
        <f t="shared" si="4"/>
        <v>16195.058671678562</v>
      </c>
      <c r="AH7" s="29">
        <f t="shared" si="4"/>
        <v>16518.959845112131</v>
      </c>
      <c r="AI7" s="29">
        <f t="shared" si="4"/>
        <v>16849.339042014377</v>
      </c>
      <c r="AJ7" s="29">
        <f t="shared" si="4"/>
        <v>17186.325822854662</v>
      </c>
      <c r="AK7" s="29">
        <f t="shared" si="4"/>
        <v>18389.36863045449</v>
      </c>
      <c r="AL7" s="29">
        <f t="shared" si="4"/>
        <v>18757.156003063581</v>
      </c>
      <c r="AM7" s="29">
        <f t="shared" si="4"/>
        <v>19132.299123124852</v>
      </c>
      <c r="AN7" s="29">
        <f t="shared" si="4"/>
        <v>19514.945105587351</v>
      </c>
      <c r="AO7" s="29">
        <f t="shared" si="4"/>
        <v>19905.244007699101</v>
      </c>
      <c r="AP7" s="29">
        <f t="shared" si="4"/>
        <v>20303.348887853084</v>
      </c>
      <c r="AQ7" s="29">
        <f t="shared" si="4"/>
        <v>20709.415865610146</v>
      </c>
      <c r="AR7" s="29">
        <f t="shared" si="4"/>
        <v>21123.604182922347</v>
      </c>
      <c r="AS7" s="29">
        <f t="shared" si="4"/>
        <v>21546.076266580792</v>
      </c>
      <c r="AT7" s="29">
        <f t="shared" si="4"/>
        <v>21976.99779191241</v>
      </c>
      <c r="AU7" s="29">
        <f t="shared" ref="AU7:AY7" si="5">SUM(AU6,AU4)</f>
        <v>22416.537747750659</v>
      </c>
      <c r="AV7" s="29">
        <f t="shared" si="5"/>
        <v>22864.868502705674</v>
      </c>
      <c r="AW7" s="29">
        <f t="shared" si="5"/>
        <v>23322.16587275979</v>
      </c>
      <c r="AX7" s="29">
        <f t="shared" si="5"/>
        <v>23788.609190214986</v>
      </c>
      <c r="AY7" s="29">
        <f t="shared" si="5"/>
        <v>24264.381374019285</v>
      </c>
    </row>
    <row r="8" spans="1:51" x14ac:dyDescent="0.2">
      <c r="A8" s="2" t="s">
        <v>181</v>
      </c>
      <c r="B8" s="28">
        <f>B7*12</f>
        <v>78932.67326732674</v>
      </c>
      <c r="C8" s="28">
        <f t="shared" ref="C8:AT8" si="6">C7*12</f>
        <v>80511.326732673275</v>
      </c>
      <c r="D8" s="28">
        <f t="shared" si="6"/>
        <v>86147.119603960396</v>
      </c>
      <c r="E8" s="28">
        <f t="shared" si="6"/>
        <v>87870.061996039629</v>
      </c>
      <c r="F8" s="28">
        <f t="shared" si="6"/>
        <v>89627.463235960429</v>
      </c>
      <c r="G8" s="28">
        <f t="shared" si="6"/>
        <v>91420.012500679644</v>
      </c>
      <c r="H8" s="28">
        <f t="shared" si="6"/>
        <v>97819.413375727207</v>
      </c>
      <c r="I8" s="28">
        <f t="shared" si="6"/>
        <v>99775.80164324175</v>
      </c>
      <c r="J8" s="28">
        <f t="shared" si="6"/>
        <v>101771.31767610658</v>
      </c>
      <c r="K8" s="28">
        <f t="shared" si="6"/>
        <v>103806.74402962872</v>
      </c>
      <c r="L8" s="28">
        <f t="shared" si="6"/>
        <v>111073.21611170273</v>
      </c>
      <c r="M8" s="28">
        <f t="shared" si="6"/>
        <v>113294.68043393678</v>
      </c>
      <c r="N8" s="28">
        <f t="shared" si="6"/>
        <v>115560.57404261552</v>
      </c>
      <c r="O8" s="28">
        <f t="shared" si="6"/>
        <v>123649.81422559862</v>
      </c>
      <c r="P8" s="28">
        <f t="shared" si="6"/>
        <v>126122.81051011058</v>
      </c>
      <c r="Q8" s="28">
        <f t="shared" si="6"/>
        <v>128645.26672031279</v>
      </c>
      <c r="R8" s="28">
        <f t="shared" si="6"/>
        <v>131218.17205471906</v>
      </c>
      <c r="S8" s="28">
        <f t="shared" si="6"/>
        <v>133842.53549581344</v>
      </c>
      <c r="T8" s="28">
        <f t="shared" si="6"/>
        <v>143211.51298052038</v>
      </c>
      <c r="U8" s="28">
        <f t="shared" si="6"/>
        <v>146075.74324013077</v>
      </c>
      <c r="V8" s="28">
        <f t="shared" si="6"/>
        <v>148997.2581049334</v>
      </c>
      <c r="W8" s="28">
        <f t="shared" si="6"/>
        <v>151977.20326703208</v>
      </c>
      <c r="X8" s="28">
        <f t="shared" si="6"/>
        <v>162615.60749572431</v>
      </c>
      <c r="Y8" s="28">
        <f t="shared" si="6"/>
        <v>165867.91964563882</v>
      </c>
      <c r="Z8" s="28">
        <f t="shared" si="6"/>
        <v>169185.27803855159</v>
      </c>
      <c r="AA8" s="28">
        <f t="shared" si="6"/>
        <v>172568.98359932262</v>
      </c>
      <c r="AB8" s="28">
        <f t="shared" si="6"/>
        <v>176020.36327130909</v>
      </c>
      <c r="AC8" s="28">
        <f t="shared" si="6"/>
        <v>179540.77053673528</v>
      </c>
      <c r="AD8" s="28">
        <f t="shared" si="6"/>
        <v>183131.58594746998</v>
      </c>
      <c r="AE8" s="28">
        <f t="shared" si="6"/>
        <v>186794.2176664194</v>
      </c>
      <c r="AF8" s="28">
        <f t="shared" si="6"/>
        <v>190530.10201974778</v>
      </c>
      <c r="AG8" s="28">
        <f t="shared" si="6"/>
        <v>194340.70406014274</v>
      </c>
      <c r="AH8" s="28">
        <f t="shared" si="6"/>
        <v>198227.51814134559</v>
      </c>
      <c r="AI8" s="28">
        <f t="shared" si="6"/>
        <v>202192.06850417252</v>
      </c>
      <c r="AJ8" s="28">
        <f t="shared" si="6"/>
        <v>206235.90987425594</v>
      </c>
      <c r="AK8" s="28">
        <f t="shared" si="6"/>
        <v>220672.42356545388</v>
      </c>
      <c r="AL8" s="28">
        <f t="shared" si="6"/>
        <v>225085.87203676297</v>
      </c>
      <c r="AM8" s="28">
        <f t="shared" si="6"/>
        <v>229587.58947749823</v>
      </c>
      <c r="AN8" s="28">
        <f t="shared" si="6"/>
        <v>234179.34126704821</v>
      </c>
      <c r="AO8" s="28">
        <f t="shared" si="6"/>
        <v>238862.92809238919</v>
      </c>
      <c r="AP8" s="28">
        <f t="shared" si="6"/>
        <v>243640.18665423701</v>
      </c>
      <c r="AQ8" s="28">
        <f t="shared" si="6"/>
        <v>248512.99038732174</v>
      </c>
      <c r="AR8" s="28">
        <f t="shared" si="6"/>
        <v>253483.25019506816</v>
      </c>
      <c r="AS8" s="28">
        <f t="shared" si="6"/>
        <v>258552.91519896951</v>
      </c>
      <c r="AT8" s="28">
        <f t="shared" si="6"/>
        <v>263723.97350294894</v>
      </c>
      <c r="AU8" s="28">
        <f t="shared" ref="AU8:AY8" si="7">AU7*12</f>
        <v>268998.45297300792</v>
      </c>
      <c r="AV8" s="28">
        <f t="shared" si="7"/>
        <v>274378.42203246808</v>
      </c>
      <c r="AW8" s="28">
        <f t="shared" si="7"/>
        <v>279865.99047311745</v>
      </c>
      <c r="AX8" s="28">
        <f t="shared" si="7"/>
        <v>285463.31028257986</v>
      </c>
      <c r="AY8" s="28">
        <f t="shared" si="7"/>
        <v>291172.57648823143</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15368490.323128738</v>
      </c>
    </row>
    <row r="17" spans="1:4" x14ac:dyDescent="0.2">
      <c r="A17" s="2" t="s">
        <v>184</v>
      </c>
      <c r="B17" s="28">
        <f>B16/25</f>
        <v>614739.6129251495</v>
      </c>
      <c r="C17" s="2" t="s">
        <v>182</v>
      </c>
    </row>
    <row r="18" spans="1:4" x14ac:dyDescent="0.2">
      <c r="A18" s="2" t="s">
        <v>183</v>
      </c>
      <c r="B18" s="30">
        <f>B17/12</f>
        <v>51228.301077095792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0.01</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78932.67326732674</v>
      </c>
      <c r="C34" s="26">
        <f t="shared" ref="C34:AT34" si="8">B38+C8</f>
        <v>161449.67922772278</v>
      </c>
      <c r="D34" s="26">
        <f t="shared" si="8"/>
        <v>251699.2351808596</v>
      </c>
      <c r="E34" s="26">
        <f t="shared" si="8"/>
        <v>345964.97474284488</v>
      </c>
      <c r="F34" s="26">
        <f t="shared" si="8"/>
        <v>444383.40798702103</v>
      </c>
      <c r="G34" s="26">
        <f t="shared" si="8"/>
        <v>547095.20288465079</v>
      </c>
      <c r="H34" s="26">
        <f t="shared" si="8"/>
        <v>658816.30536567699</v>
      </c>
      <c r="I34" s="26">
        <f t="shared" si="8"/>
        <v>775332.62932826066</v>
      </c>
      <c r="J34" s="26">
        <f t="shared" si="8"/>
        <v>896805.14911559829</v>
      </c>
      <c r="K34" s="26">
        <f t="shared" si="8"/>
        <v>1023399.7119842543</v>
      </c>
      <c r="L34" s="26">
        <f t="shared" si="8"/>
        <v>1160477.5147774769</v>
      </c>
      <c r="M34" s="26">
        <f t="shared" si="8"/>
        <v>1303259.9288619095</v>
      </c>
      <c r="N34" s="26">
        <f t="shared" si="8"/>
        <v>1451936.3376969062</v>
      </c>
      <c r="O34" s="26">
        <f t="shared" si="8"/>
        <v>1612479.8542633832</v>
      </c>
      <c r="P34" s="26">
        <f t="shared" si="8"/>
        <v>1779575.7778703263</v>
      </c>
      <c r="Q34" s="26">
        <f t="shared" si="8"/>
        <v>1953440.0651063242</v>
      </c>
      <c r="R34" s="26">
        <f t="shared" si="8"/>
        <v>2134295.1492153951</v>
      </c>
      <c r="S34" s="26">
        <f t="shared" si="8"/>
        <v>2322370.1244527716</v>
      </c>
      <c r="T34" s="26">
        <f t="shared" si="8"/>
        <v>2524593.0622956366</v>
      </c>
      <c r="U34" s="26">
        <f t="shared" si="8"/>
        <v>2734818.7152486993</v>
      </c>
      <c r="V34" s="26">
        <f t="shared" si="8"/>
        <v>2953307.7169081024</v>
      </c>
      <c r="W34" s="26">
        <f t="shared" si="8"/>
        <v>3180328.4692617697</v>
      </c>
      <c r="X34" s="26">
        <f t="shared" si="8"/>
        <v>3423756.2231614357</v>
      </c>
      <c r="Y34" s="26">
        <f t="shared" si="8"/>
        <v>3676621.7884376063</v>
      </c>
      <c r="Z34" s="26">
        <f t="shared" si="8"/>
        <v>3939230.0261203577</v>
      </c>
      <c r="AA34" s="26">
        <f t="shared" si="8"/>
        <v>4211894.8446833985</v>
      </c>
      <c r="AB34" s="26">
        <f t="shared" si="8"/>
        <v>4494939.4559581131</v>
      </c>
      <c r="AC34" s="26">
        <f t="shared" si="8"/>
        <v>4788696.6380707445</v>
      </c>
      <c r="AD34" s="26">
        <f t="shared" si="8"/>
        <v>5093509.0055915918</v>
      </c>
      <c r="AE34" s="26">
        <f t="shared" si="8"/>
        <v>5409729.2870900938</v>
      </c>
      <c r="AF34" s="26">
        <f t="shared" si="8"/>
        <v>5737720.6102948012</v>
      </c>
      <c r="AG34" s="26">
        <f t="shared" si="8"/>
        <v>6077856.7950625345</v>
      </c>
      <c r="AH34" s="26">
        <f t="shared" si="8"/>
        <v>6430522.6543664187</v>
      </c>
      <c r="AI34" s="26">
        <f t="shared" si="8"/>
        <v>6796114.303518042</v>
      </c>
      <c r="AJ34" s="26">
        <f t="shared" si="8"/>
        <v>7175039.4778446909</v>
      </c>
      <c r="AK34" s="26">
        <f t="shared" si="8"/>
        <v>7578029.6545421779</v>
      </c>
      <c r="AL34" s="26">
        <f t="shared" si="8"/>
        <v>7995673.2601008574</v>
      </c>
      <c r="AM34" s="26">
        <f t="shared" si="8"/>
        <v>8428430.9071175195</v>
      </c>
      <c r="AN34" s="26">
        <f t="shared" si="8"/>
        <v>8876776.6777344234</v>
      </c>
      <c r="AO34" s="26">
        <f t="shared" si="8"/>
        <v>9341198.5012080427</v>
      </c>
      <c r="AP34" s="26">
        <f t="shared" si="8"/>
        <v>9822198.5417779759</v>
      </c>
      <c r="AQ34" s="26">
        <f t="shared" si="8"/>
        <v>10320293.597111877</v>
      </c>
      <c r="AR34" s="26">
        <f t="shared" si="8"/>
        <v>10836015.507609557</v>
      </c>
      <c r="AS34" s="26">
        <f t="shared" si="8"/>
        <v>11369911.576856885</v>
      </c>
      <c r="AT34" s="26">
        <f t="shared" si="8"/>
        <v>11922545.003527768</v>
      </c>
      <c r="AU34" s="26">
        <f t="shared" ref="AU34" si="9">AT38+AU8</f>
        <v>12494495.325040417</v>
      </c>
      <c r="AV34" s="26">
        <f t="shared" ref="AV34" si="10">AU38+AV8</f>
        <v>13086358.873282162</v>
      </c>
      <c r="AW34" s="26">
        <f t="shared" ref="AW34" si="11">AV38+AW8</f>
        <v>13698749.24272538</v>
      </c>
      <c r="AX34" s="26">
        <f t="shared" ref="AX34" si="12">AW38+AX8</f>
        <v>14332297.771265613</v>
      </c>
      <c r="AY34" s="26">
        <f t="shared" ref="AY34" si="13">AX38+AY8</f>
        <v>14987654.034121705</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2367.9801980198022</v>
      </c>
      <c r="C36" s="26">
        <f>C35*C34</f>
        <v>4843.4903768316835</v>
      </c>
      <c r="D36" s="26">
        <f>D35*D34</f>
        <v>7550.9770554257875</v>
      </c>
      <c r="E36" s="26">
        <f t="shared" ref="E36:AT36" si="15">E35*E34</f>
        <v>10378.949242285345</v>
      </c>
      <c r="F36" s="26">
        <f t="shared" si="15"/>
        <v>13331.502239610631</v>
      </c>
      <c r="G36" s="26">
        <f t="shared" si="15"/>
        <v>16412.856086539523</v>
      </c>
      <c r="H36" s="26">
        <f t="shared" si="15"/>
        <v>19764.489160970308</v>
      </c>
      <c r="I36" s="26">
        <f t="shared" si="15"/>
        <v>23259.978879847818</v>
      </c>
      <c r="J36" s="26">
        <f t="shared" si="15"/>
        <v>26904.154473467948</v>
      </c>
      <c r="K36" s="26">
        <f t="shared" si="15"/>
        <v>30701.991359527627</v>
      </c>
      <c r="L36" s="26">
        <f t="shared" si="15"/>
        <v>34814.325443324306</v>
      </c>
      <c r="M36" s="26">
        <f t="shared" si="15"/>
        <v>39097.797865857283</v>
      </c>
      <c r="N36" s="26">
        <f t="shared" si="15"/>
        <v>43558.090130907185</v>
      </c>
      <c r="O36" s="26">
        <f t="shared" si="15"/>
        <v>48374.395627901496</v>
      </c>
      <c r="P36" s="26">
        <f t="shared" si="15"/>
        <v>53387.273336109785</v>
      </c>
      <c r="Q36" s="26">
        <f t="shared" si="15"/>
        <v>58603.201953189724</v>
      </c>
      <c r="R36" s="26">
        <f t="shared" si="15"/>
        <v>64028.854476461849</v>
      </c>
      <c r="S36" s="26">
        <f t="shared" si="15"/>
        <v>69671.10373358315</v>
      </c>
      <c r="T36" s="26">
        <f t="shared" si="15"/>
        <v>75737.791868869099</v>
      </c>
      <c r="U36" s="26">
        <f t="shared" si="15"/>
        <v>82044.561457460979</v>
      </c>
      <c r="V36" s="26">
        <f t="shared" si="15"/>
        <v>88599.231507243065</v>
      </c>
      <c r="W36" s="26">
        <f t="shared" si="15"/>
        <v>95409.854077853088</v>
      </c>
      <c r="X36" s="26">
        <f t="shared" si="15"/>
        <v>102712.68669484307</v>
      </c>
      <c r="Y36" s="26">
        <f t="shared" si="15"/>
        <v>110298.65365312819</v>
      </c>
      <c r="Z36" s="26">
        <f t="shared" si="15"/>
        <v>118176.90078361072</v>
      </c>
      <c r="AA36" s="26">
        <f t="shared" si="15"/>
        <v>126356.84534050195</v>
      </c>
      <c r="AB36" s="26">
        <f t="shared" si="15"/>
        <v>134848.1836787434</v>
      </c>
      <c r="AC36" s="26">
        <f t="shared" si="15"/>
        <v>143660.89914212233</v>
      </c>
      <c r="AD36" s="26">
        <f t="shared" si="15"/>
        <v>152805.27016774775</v>
      </c>
      <c r="AE36" s="26">
        <f t="shared" si="15"/>
        <v>162291.8786127028</v>
      </c>
      <c r="AF36" s="26">
        <f t="shared" si="15"/>
        <v>172131.61830884402</v>
      </c>
      <c r="AG36" s="26">
        <f t="shared" si="15"/>
        <v>182335.70385187602</v>
      </c>
      <c r="AH36" s="26">
        <f t="shared" si="15"/>
        <v>192915.67963099256</v>
      </c>
      <c r="AI36" s="26">
        <f t="shared" si="15"/>
        <v>203883.42910554126</v>
      </c>
      <c r="AJ36" s="26">
        <f t="shared" si="15"/>
        <v>215251.18433534072</v>
      </c>
      <c r="AK36" s="26">
        <f t="shared" si="15"/>
        <v>227340.88963626532</v>
      </c>
      <c r="AL36" s="26">
        <f t="shared" si="15"/>
        <v>239870.19780302572</v>
      </c>
      <c r="AM36" s="26">
        <f t="shared" si="15"/>
        <v>252852.92721352557</v>
      </c>
      <c r="AN36" s="26">
        <f t="shared" si="15"/>
        <v>266303.30033203267</v>
      </c>
      <c r="AO36" s="26">
        <f t="shared" si="15"/>
        <v>280235.95503624127</v>
      </c>
      <c r="AP36" s="26">
        <f t="shared" si="15"/>
        <v>294665.95625333925</v>
      </c>
      <c r="AQ36" s="26">
        <f t="shared" si="15"/>
        <v>309608.80791335629</v>
      </c>
      <c r="AR36" s="26">
        <f t="shared" si="15"/>
        <v>325080.46522828669</v>
      </c>
      <c r="AS36" s="26">
        <f t="shared" si="15"/>
        <v>341097.34730570653</v>
      </c>
      <c r="AT36" s="26">
        <f t="shared" si="15"/>
        <v>357676.35010583303</v>
      </c>
      <c r="AU36" s="26">
        <f t="shared" ref="AU36:AY36" si="16">AU35*AU34</f>
        <v>374834.85975121247</v>
      </c>
      <c r="AV36" s="26">
        <f t="shared" si="16"/>
        <v>392590.76619846484</v>
      </c>
      <c r="AW36" s="26">
        <f t="shared" si="16"/>
        <v>410962.47728176136</v>
      </c>
      <c r="AX36" s="26">
        <f t="shared" si="16"/>
        <v>429968.93313796836</v>
      </c>
      <c r="AY36" s="26">
        <f t="shared" si="16"/>
        <v>449629.62102365115</v>
      </c>
    </row>
    <row r="37" spans="1:51" x14ac:dyDescent="0.2">
      <c r="A37" s="2" t="s">
        <v>215</v>
      </c>
      <c r="B37" s="26">
        <f>B36*$B$27</f>
        <v>362.30097029702972</v>
      </c>
      <c r="C37" s="26">
        <f>C36*$B$27</f>
        <v>741.05402765524752</v>
      </c>
      <c r="D37" s="26">
        <f t="shared" ref="D37:AT37" si="17">D36*$B$27</f>
        <v>1155.2994894801454</v>
      </c>
      <c r="E37" s="26">
        <f t="shared" si="17"/>
        <v>1587.9792340696579</v>
      </c>
      <c r="F37" s="26">
        <f t="shared" si="17"/>
        <v>2039.7198426604264</v>
      </c>
      <c r="G37" s="26">
        <f t="shared" si="17"/>
        <v>2511.1669812405471</v>
      </c>
      <c r="H37" s="26">
        <f t="shared" si="17"/>
        <v>3023.9668416284571</v>
      </c>
      <c r="I37" s="26">
        <f t="shared" si="17"/>
        <v>3558.7767686167163</v>
      </c>
      <c r="J37" s="26">
        <f t="shared" si="17"/>
        <v>4116.3356344405956</v>
      </c>
      <c r="K37" s="26">
        <f t="shared" si="17"/>
        <v>4697.4046780077269</v>
      </c>
      <c r="L37" s="26">
        <f t="shared" si="17"/>
        <v>5326.591792828619</v>
      </c>
      <c r="M37" s="26">
        <f t="shared" si="17"/>
        <v>5981.963073476164</v>
      </c>
      <c r="N37" s="26">
        <f t="shared" si="17"/>
        <v>6664.3877900287989</v>
      </c>
      <c r="O37" s="26">
        <f t="shared" si="17"/>
        <v>7401.2825310689286</v>
      </c>
      <c r="P37" s="26">
        <f t="shared" si="17"/>
        <v>8168.2528204247974</v>
      </c>
      <c r="Q37" s="26">
        <f t="shared" si="17"/>
        <v>8966.2898988380275</v>
      </c>
      <c r="R37" s="26">
        <f t="shared" si="17"/>
        <v>9796.4147348986626</v>
      </c>
      <c r="S37" s="26">
        <f t="shared" si="17"/>
        <v>10659.678871238222</v>
      </c>
      <c r="T37" s="26">
        <f t="shared" si="17"/>
        <v>11587.882155936972</v>
      </c>
      <c r="U37" s="26">
        <f t="shared" si="17"/>
        <v>12552.81790299153</v>
      </c>
      <c r="V37" s="26">
        <f t="shared" si="17"/>
        <v>13555.682420608189</v>
      </c>
      <c r="W37" s="26">
        <f t="shared" si="17"/>
        <v>14597.707673911522</v>
      </c>
      <c r="X37" s="26">
        <f t="shared" si="17"/>
        <v>15715.04106431099</v>
      </c>
      <c r="Y37" s="26">
        <f t="shared" si="17"/>
        <v>16875.694008928611</v>
      </c>
      <c r="Z37" s="26">
        <f t="shared" si="17"/>
        <v>18081.065819892439</v>
      </c>
      <c r="AA37" s="26">
        <f t="shared" si="17"/>
        <v>19332.597337096799</v>
      </c>
      <c r="AB37" s="26">
        <f t="shared" si="17"/>
        <v>20631.772102847739</v>
      </c>
      <c r="AC37" s="26">
        <f t="shared" si="17"/>
        <v>21980.117568744718</v>
      </c>
      <c r="AD37" s="26">
        <f t="shared" si="17"/>
        <v>23379.206335665403</v>
      </c>
      <c r="AE37" s="26">
        <f t="shared" si="17"/>
        <v>24830.657427743528</v>
      </c>
      <c r="AF37" s="26">
        <f t="shared" si="17"/>
        <v>26336.137601253133</v>
      </c>
      <c r="AG37" s="26">
        <f t="shared" si="17"/>
        <v>27897.362689337031</v>
      </c>
      <c r="AH37" s="26">
        <f t="shared" si="17"/>
        <v>29516.098983541862</v>
      </c>
      <c r="AI37" s="26">
        <f t="shared" si="17"/>
        <v>31194.164653147811</v>
      </c>
      <c r="AJ37" s="26">
        <f t="shared" si="17"/>
        <v>32933.431203307126</v>
      </c>
      <c r="AK37" s="26">
        <f t="shared" si="17"/>
        <v>34783.156114348596</v>
      </c>
      <c r="AL37" s="26">
        <f t="shared" si="17"/>
        <v>36700.140263862937</v>
      </c>
      <c r="AM37" s="26">
        <f t="shared" si="17"/>
        <v>38686.497863669414</v>
      </c>
      <c r="AN37" s="26">
        <f t="shared" si="17"/>
        <v>40744.404950800999</v>
      </c>
      <c r="AO37" s="26">
        <f t="shared" si="17"/>
        <v>42876.10112054491</v>
      </c>
      <c r="AP37" s="26">
        <f t="shared" si="17"/>
        <v>45083.891306760903</v>
      </c>
      <c r="AQ37" s="26">
        <f t="shared" si="17"/>
        <v>47370.147610743508</v>
      </c>
      <c r="AR37" s="26">
        <f t="shared" si="17"/>
        <v>49737.311179927863</v>
      </c>
      <c r="AS37" s="26">
        <f t="shared" si="17"/>
        <v>52187.894137773095</v>
      </c>
      <c r="AT37" s="26">
        <f t="shared" si="17"/>
        <v>54724.481566192451</v>
      </c>
      <c r="AU37" s="26">
        <f t="shared" ref="AU37:AY37" si="18">AU36*$B$27</f>
        <v>57349.733541935508</v>
      </c>
      <c r="AV37" s="26">
        <f t="shared" si="18"/>
        <v>60066.387228365122</v>
      </c>
      <c r="AW37" s="26">
        <f t="shared" si="18"/>
        <v>62877.259024109488</v>
      </c>
      <c r="AX37" s="26">
        <f t="shared" si="18"/>
        <v>65785.246770109152</v>
      </c>
      <c r="AY37" s="26">
        <f t="shared" si="18"/>
        <v>68793.332016618631</v>
      </c>
    </row>
    <row r="38" spans="1:51" s="18" customFormat="1" x14ac:dyDescent="0.2">
      <c r="A38" s="18" t="s">
        <v>248</v>
      </c>
      <c r="B38" s="27">
        <f>B34+(B36-B37)</f>
        <v>80938.352495049505</v>
      </c>
      <c r="C38" s="27">
        <f>C34+(C36-C37)</f>
        <v>165552.1155768992</v>
      </c>
      <c r="D38" s="27">
        <f t="shared" ref="D38:AS38" si="19">D34+(D36-D37)</f>
        <v>258094.91274680523</v>
      </c>
      <c r="E38" s="27">
        <f t="shared" si="19"/>
        <v>354755.94475106057</v>
      </c>
      <c r="F38" s="27">
        <f t="shared" si="19"/>
        <v>455675.1903839712</v>
      </c>
      <c r="G38" s="27">
        <f t="shared" si="19"/>
        <v>560996.89198994974</v>
      </c>
      <c r="H38" s="27">
        <f t="shared" si="19"/>
        <v>675556.82768501888</v>
      </c>
      <c r="I38" s="27">
        <f t="shared" si="19"/>
        <v>795033.83143949171</v>
      </c>
      <c r="J38" s="27">
        <f t="shared" si="19"/>
        <v>919592.96795462561</v>
      </c>
      <c r="K38" s="27">
        <f t="shared" si="19"/>
        <v>1049404.2986657743</v>
      </c>
      <c r="L38" s="27">
        <f t="shared" si="19"/>
        <v>1189965.2484279727</v>
      </c>
      <c r="M38" s="27">
        <f t="shared" si="19"/>
        <v>1336375.7636542907</v>
      </c>
      <c r="N38" s="27">
        <f t="shared" si="19"/>
        <v>1488830.0400377845</v>
      </c>
      <c r="O38" s="27">
        <f t="shared" si="19"/>
        <v>1653452.9673602157</v>
      </c>
      <c r="P38" s="27">
        <f t="shared" si="19"/>
        <v>1824794.7983860113</v>
      </c>
      <c r="Q38" s="27">
        <f t="shared" si="19"/>
        <v>2003076.9771606759</v>
      </c>
      <c r="R38" s="27">
        <f t="shared" si="19"/>
        <v>2188527.5889569581</v>
      </c>
      <c r="S38" s="27">
        <f t="shared" si="19"/>
        <v>2381381.5493151164</v>
      </c>
      <c r="T38" s="27">
        <f t="shared" si="19"/>
        <v>2588742.9720085687</v>
      </c>
      <c r="U38" s="27">
        <f t="shared" si="19"/>
        <v>2804310.458803169</v>
      </c>
      <c r="V38" s="27">
        <f t="shared" si="19"/>
        <v>3028351.2659947374</v>
      </c>
      <c r="W38" s="27">
        <f t="shared" si="19"/>
        <v>3261140.6156657115</v>
      </c>
      <c r="X38" s="27">
        <f t="shared" si="19"/>
        <v>3510753.8687919676</v>
      </c>
      <c r="Y38" s="27">
        <f t="shared" si="19"/>
        <v>3770044.7480818061</v>
      </c>
      <c r="Z38" s="27">
        <f t="shared" si="19"/>
        <v>4039325.8610840761</v>
      </c>
      <c r="AA38" s="27">
        <f t="shared" si="19"/>
        <v>4318919.092686804</v>
      </c>
      <c r="AB38" s="27">
        <f t="shared" si="19"/>
        <v>4609155.8675340088</v>
      </c>
      <c r="AC38" s="27">
        <f t="shared" si="19"/>
        <v>4910377.419644122</v>
      </c>
      <c r="AD38" s="27">
        <f t="shared" si="19"/>
        <v>5222935.0694236746</v>
      </c>
      <c r="AE38" s="27">
        <f t="shared" si="19"/>
        <v>5547190.5082750535</v>
      </c>
      <c r="AF38" s="27">
        <f t="shared" si="19"/>
        <v>5883516.0910023917</v>
      </c>
      <c r="AG38" s="27">
        <f t="shared" si="19"/>
        <v>6232295.1362250736</v>
      </c>
      <c r="AH38" s="27">
        <f t="shared" si="19"/>
        <v>6593922.2350138696</v>
      </c>
      <c r="AI38" s="27">
        <f t="shared" si="19"/>
        <v>6968803.5679704351</v>
      </c>
      <c r="AJ38" s="27">
        <f t="shared" si="19"/>
        <v>7357357.2309767241</v>
      </c>
      <c r="AK38" s="27">
        <f t="shared" si="19"/>
        <v>7770587.3880640948</v>
      </c>
      <c r="AL38" s="27">
        <f t="shared" si="19"/>
        <v>8198843.3176400205</v>
      </c>
      <c r="AM38" s="27">
        <f t="shared" si="19"/>
        <v>8642597.336467376</v>
      </c>
      <c r="AN38" s="27">
        <f t="shared" si="19"/>
        <v>9102335.5731156543</v>
      </c>
      <c r="AO38" s="27">
        <f t="shared" si="19"/>
        <v>9578558.3551237397</v>
      </c>
      <c r="AP38" s="27">
        <f t="shared" si="19"/>
        <v>10071780.606724555</v>
      </c>
      <c r="AQ38" s="27">
        <f t="shared" si="19"/>
        <v>10582532.25741449</v>
      </c>
      <c r="AR38" s="27">
        <f t="shared" si="19"/>
        <v>11111358.661657916</v>
      </c>
      <c r="AS38" s="27">
        <f t="shared" si="19"/>
        <v>11658821.030024819</v>
      </c>
      <c r="AT38" s="27">
        <f>AT34+(AT36-AT37)</f>
        <v>12225496.872067409</v>
      </c>
      <c r="AU38" s="27">
        <f t="shared" ref="AU38:AY38" si="20">AU34+(AU36-AU37)</f>
        <v>12811980.451249694</v>
      </c>
      <c r="AV38" s="27">
        <f t="shared" si="20"/>
        <v>13418883.252252262</v>
      </c>
      <c r="AW38" s="27">
        <f t="shared" si="20"/>
        <v>14046834.460983032</v>
      </c>
      <c r="AX38" s="27">
        <f t="shared" si="20"/>
        <v>14696481.457633473</v>
      </c>
      <c r="AY38" s="27">
        <f t="shared" si="20"/>
        <v>15368490.323128738</v>
      </c>
    </row>
    <row r="40" spans="1:51" x14ac:dyDescent="0.2">
      <c r="A40" s="2" t="s">
        <v>250</v>
      </c>
      <c r="B40" s="26">
        <f>AT38</f>
        <v>12225496.872067409</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44352.364335028346</v>
      </c>
      <c r="C2" s="28">
        <v>45239.411621728912</v>
      </c>
      <c r="D2" s="28">
        <v>46144.199854163489</v>
      </c>
      <c r="E2" s="28">
        <v>49596.505638826937</v>
      </c>
      <c r="F2" s="28">
        <v>50588.43575160348</v>
      </c>
      <c r="G2" s="28">
        <v>51600.20446663555</v>
      </c>
      <c r="H2" s="28">
        <v>52632.20855596826</v>
      </c>
      <c r="I2" s="28">
        <v>56569.918574381059</v>
      </c>
      <c r="J2" s="28">
        <v>57701.316945868683</v>
      </c>
      <c r="K2" s="28">
        <v>58855.34328478606</v>
      </c>
      <c r="L2" s="28">
        <v>60032.450150481782</v>
      </c>
      <c r="M2" s="28">
        <v>64523.813649622149</v>
      </c>
      <c r="N2" s="28">
        <v>65814.289922614596</v>
      </c>
      <c r="O2" s="28">
        <v>67130.575721066896</v>
      </c>
      <c r="P2" s="28">
        <v>72152.989710735768</v>
      </c>
      <c r="Q2" s="28" cm="1">
        <f t="array" ref="Q2:AY2">TRANSPOSE(Income!P3:P37)</f>
        <v>73596.049504950483</v>
      </c>
      <c r="R2" s="28">
        <v>75067.970495049492</v>
      </c>
      <c r="S2" s="28">
        <v>80322.728429702955</v>
      </c>
      <c r="T2" s="28">
        <v>81929.182998297008</v>
      </c>
      <c r="U2" s="28">
        <v>83567.766658262946</v>
      </c>
      <c r="V2" s="28">
        <v>85239.121991428212</v>
      </c>
      <c r="W2" s="28">
        <v>91205.860530828184</v>
      </c>
      <c r="X2" s="28">
        <v>93029.977741444745</v>
      </c>
      <c r="Y2" s="28">
        <v>94890.577296273637</v>
      </c>
      <c r="Z2" s="28">
        <v>96788.388842199114</v>
      </c>
      <c r="AA2" s="28">
        <v>103563.57606115306</v>
      </c>
      <c r="AB2" s="28">
        <v>105634.84758237613</v>
      </c>
      <c r="AC2" s="28">
        <v>107747.54453402365</v>
      </c>
      <c r="AD2" s="28">
        <v>115289.8726514053</v>
      </c>
      <c r="AE2" s="28">
        <v>117595.6701044334</v>
      </c>
      <c r="AF2" s="28">
        <v>119947.58350652207</v>
      </c>
      <c r="AG2" s="28">
        <v>122346.53517665251</v>
      </c>
      <c r="AH2" s="28">
        <v>124793.46588018557</v>
      </c>
      <c r="AI2" s="28">
        <v>133529.00849179857</v>
      </c>
      <c r="AJ2" s="28">
        <v>136199.58866163454</v>
      </c>
      <c r="AK2" s="28">
        <v>138923.58043486724</v>
      </c>
      <c r="AL2" s="28">
        <v>141702.05204356459</v>
      </c>
      <c r="AM2" s="28">
        <v>151621.19568661411</v>
      </c>
      <c r="AN2" s="28">
        <v>154653.6196003464</v>
      </c>
      <c r="AO2" s="28">
        <v>157746.69199235333</v>
      </c>
      <c r="AP2" s="28">
        <v>160901.6258322004</v>
      </c>
      <c r="AQ2" s="28">
        <v>164119.65834884442</v>
      </c>
      <c r="AR2" s="28">
        <v>167402.05151582131</v>
      </c>
      <c r="AS2" s="28">
        <v>170750.09254613775</v>
      </c>
      <c r="AT2" s="28">
        <v>174165.09439706051</v>
      </c>
      <c r="AU2" s="2">
        <v>177648.39628500174</v>
      </c>
      <c r="AV2" s="2">
        <v>181201.36421070178</v>
      </c>
      <c r="AW2" s="2">
        <v>184825.39149491582</v>
      </c>
      <c r="AX2" s="2">
        <v>188521.89932481415</v>
      </c>
      <c r="AY2" s="2">
        <v>192292.33731131043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2217.6182167514175</v>
      </c>
      <c r="C4" s="28">
        <f t="shared" ref="C4:AY4" si="0">C3*C2</f>
        <v>2261.9705810864457</v>
      </c>
      <c r="D4" s="28">
        <f t="shared" si="0"/>
        <v>2307.2099927081745</v>
      </c>
      <c r="E4" s="28">
        <f t="shared" si="0"/>
        <v>2479.8252819413469</v>
      </c>
      <c r="F4" s="28">
        <f t="shared" si="0"/>
        <v>2529.4217875801742</v>
      </c>
      <c r="G4" s="28">
        <f t="shared" si="0"/>
        <v>2580.0102233317775</v>
      </c>
      <c r="H4" s="28">
        <f t="shared" si="0"/>
        <v>2631.6104277984132</v>
      </c>
      <c r="I4" s="28">
        <f t="shared" si="0"/>
        <v>2828.4959287190532</v>
      </c>
      <c r="J4" s="28">
        <f t="shared" si="0"/>
        <v>2885.0658472934342</v>
      </c>
      <c r="K4" s="28">
        <f t="shared" si="0"/>
        <v>2942.7671642393034</v>
      </c>
      <c r="L4" s="28">
        <f t="shared" si="0"/>
        <v>3001.6225075240891</v>
      </c>
      <c r="M4" s="28">
        <f t="shared" si="0"/>
        <v>3226.1906824811076</v>
      </c>
      <c r="N4" s="28">
        <f t="shared" si="0"/>
        <v>3290.7144961307299</v>
      </c>
      <c r="O4" s="28">
        <f t="shared" si="0"/>
        <v>3356.5287860533449</v>
      </c>
      <c r="P4" s="28">
        <f t="shared" si="0"/>
        <v>3607.6494855367887</v>
      </c>
      <c r="Q4" s="28">
        <f t="shared" si="0"/>
        <v>3679.8024752475244</v>
      </c>
      <c r="R4" s="28">
        <f t="shared" si="0"/>
        <v>3753.3985247524747</v>
      </c>
      <c r="S4" s="28">
        <f t="shared" si="0"/>
        <v>4016.1364214851478</v>
      </c>
      <c r="T4" s="28">
        <f t="shared" si="0"/>
        <v>4096.459149914851</v>
      </c>
      <c r="U4" s="28">
        <f t="shared" si="0"/>
        <v>4178.3883329131477</v>
      </c>
      <c r="V4" s="28">
        <f t="shared" si="0"/>
        <v>4261.956099571411</v>
      </c>
      <c r="W4" s="28">
        <f t="shared" si="0"/>
        <v>4560.2930265414097</v>
      </c>
      <c r="X4" s="28">
        <f t="shared" si="0"/>
        <v>4651.4988870722373</v>
      </c>
      <c r="Y4" s="28">
        <f t="shared" si="0"/>
        <v>4744.528864813682</v>
      </c>
      <c r="Z4" s="28">
        <f t="shared" si="0"/>
        <v>4839.4194421099555</v>
      </c>
      <c r="AA4" s="28">
        <f t="shared" si="0"/>
        <v>5178.1788030576536</v>
      </c>
      <c r="AB4" s="28">
        <f t="shared" si="0"/>
        <v>5281.7423791188066</v>
      </c>
      <c r="AC4" s="28">
        <f t="shared" si="0"/>
        <v>5387.3772267011827</v>
      </c>
      <c r="AD4" s="28">
        <f t="shared" si="0"/>
        <v>5764.4936325702656</v>
      </c>
      <c r="AE4" s="28">
        <f t="shared" si="0"/>
        <v>5879.7835052216706</v>
      </c>
      <c r="AF4" s="28">
        <f t="shared" si="0"/>
        <v>5997.3791753261039</v>
      </c>
      <c r="AG4" s="28">
        <f t="shared" si="0"/>
        <v>6117.3267588326262</v>
      </c>
      <c r="AH4" s="28">
        <f t="shared" si="0"/>
        <v>6239.6732940092788</v>
      </c>
      <c r="AI4" s="28">
        <f t="shared" si="0"/>
        <v>6676.4504245899288</v>
      </c>
      <c r="AJ4" s="28">
        <f t="shared" si="0"/>
        <v>6809.9794330817276</v>
      </c>
      <c r="AK4" s="28">
        <f t="shared" si="0"/>
        <v>6946.1790217433627</v>
      </c>
      <c r="AL4" s="28">
        <f t="shared" si="0"/>
        <v>7085.10260217823</v>
      </c>
      <c r="AM4" s="28">
        <f t="shared" si="0"/>
        <v>7581.059784330706</v>
      </c>
      <c r="AN4" s="28">
        <f t="shared" si="0"/>
        <v>7732.6809800173205</v>
      </c>
      <c r="AO4" s="28">
        <f t="shared" si="0"/>
        <v>7887.3345996176668</v>
      </c>
      <c r="AP4" s="28">
        <f t="shared" si="0"/>
        <v>8045.0812916100203</v>
      </c>
      <c r="AQ4" s="28">
        <f t="shared" si="0"/>
        <v>8205.9829174422212</v>
      </c>
      <c r="AR4" s="28">
        <f t="shared" si="0"/>
        <v>8370.1025757910666</v>
      </c>
      <c r="AS4" s="28">
        <f t="shared" si="0"/>
        <v>8537.5046273068874</v>
      </c>
      <c r="AT4" s="28">
        <f t="shared" si="0"/>
        <v>8708.2547198530265</v>
      </c>
      <c r="AU4" s="28">
        <f t="shared" si="0"/>
        <v>8882.4198142500882</v>
      </c>
      <c r="AV4" s="28">
        <f t="shared" si="0"/>
        <v>9060.0682105350897</v>
      </c>
      <c r="AW4" s="28">
        <f t="shared" si="0"/>
        <v>9241.269574745791</v>
      </c>
      <c r="AX4" s="28">
        <f t="shared" si="0"/>
        <v>9426.0949662407074</v>
      </c>
      <c r="AY4" s="28">
        <f t="shared" si="0"/>
        <v>9614.6168655655219</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4435.2364335028351</v>
      </c>
      <c r="C6" s="28">
        <f t="shared" ref="C6:AY6" si="1">C4*2</f>
        <v>4523.9411621728914</v>
      </c>
      <c r="D6" s="28">
        <f t="shared" si="1"/>
        <v>4614.4199854163489</v>
      </c>
      <c r="E6" s="28">
        <f t="shared" si="1"/>
        <v>4959.6505638826939</v>
      </c>
      <c r="F6" s="28">
        <f t="shared" si="1"/>
        <v>5058.8435751603483</v>
      </c>
      <c r="G6" s="28">
        <f t="shared" si="1"/>
        <v>5160.020446663555</v>
      </c>
      <c r="H6" s="28">
        <f t="shared" si="1"/>
        <v>5263.2208555968264</v>
      </c>
      <c r="I6" s="28">
        <f t="shared" si="1"/>
        <v>5656.9918574381063</v>
      </c>
      <c r="J6" s="28">
        <f t="shared" si="1"/>
        <v>5770.1316945868684</v>
      </c>
      <c r="K6" s="28">
        <f t="shared" si="1"/>
        <v>5885.5343284786068</v>
      </c>
      <c r="L6" s="28">
        <f t="shared" si="1"/>
        <v>6003.2450150481782</v>
      </c>
      <c r="M6" s="28">
        <f t="shared" si="1"/>
        <v>6452.3813649622152</v>
      </c>
      <c r="N6" s="28">
        <f t="shared" si="1"/>
        <v>6581.4289922614598</v>
      </c>
      <c r="O6" s="28">
        <f t="shared" si="1"/>
        <v>6713.0575721066898</v>
      </c>
      <c r="P6" s="28">
        <f t="shared" si="1"/>
        <v>7215.2989710735774</v>
      </c>
      <c r="Q6" s="28">
        <f t="shared" si="1"/>
        <v>7359.6049504950488</v>
      </c>
      <c r="R6" s="28">
        <f t="shared" si="1"/>
        <v>7506.7970495049494</v>
      </c>
      <c r="S6" s="28">
        <f t="shared" si="1"/>
        <v>8032.2728429702956</v>
      </c>
      <c r="T6" s="28">
        <f t="shared" si="1"/>
        <v>8192.9182998297019</v>
      </c>
      <c r="U6" s="28">
        <f t="shared" si="1"/>
        <v>8356.7766658262954</v>
      </c>
      <c r="V6" s="28">
        <f t="shared" si="1"/>
        <v>8523.9121991428219</v>
      </c>
      <c r="W6" s="28">
        <f t="shared" si="1"/>
        <v>9120.5860530828195</v>
      </c>
      <c r="X6" s="28">
        <f t="shared" si="1"/>
        <v>9302.9977741444745</v>
      </c>
      <c r="Y6" s="28">
        <f t="shared" si="1"/>
        <v>9489.0577296273641</v>
      </c>
      <c r="Z6" s="28">
        <f t="shared" si="1"/>
        <v>9678.8388842199111</v>
      </c>
      <c r="AA6" s="28">
        <f t="shared" si="1"/>
        <v>10356.357606115307</v>
      </c>
      <c r="AB6" s="28">
        <f t="shared" si="1"/>
        <v>10563.484758237613</v>
      </c>
      <c r="AC6" s="28">
        <f t="shared" si="1"/>
        <v>10774.754453402365</v>
      </c>
      <c r="AD6" s="28">
        <f t="shared" si="1"/>
        <v>11528.987265140531</v>
      </c>
      <c r="AE6" s="28">
        <f t="shared" si="1"/>
        <v>11759.567010443341</v>
      </c>
      <c r="AF6" s="28">
        <f t="shared" si="1"/>
        <v>11994.758350652208</v>
      </c>
      <c r="AG6" s="28">
        <f t="shared" si="1"/>
        <v>12234.653517665252</v>
      </c>
      <c r="AH6" s="28">
        <f t="shared" si="1"/>
        <v>12479.346588018558</v>
      </c>
      <c r="AI6" s="28">
        <f t="shared" si="1"/>
        <v>13352.900849179858</v>
      </c>
      <c r="AJ6" s="28">
        <f t="shared" si="1"/>
        <v>13619.958866163455</v>
      </c>
      <c r="AK6" s="28">
        <f t="shared" si="1"/>
        <v>13892.358043486725</v>
      </c>
      <c r="AL6" s="28">
        <f t="shared" si="1"/>
        <v>14170.20520435646</v>
      </c>
      <c r="AM6" s="28">
        <f t="shared" si="1"/>
        <v>15162.119568661412</v>
      </c>
      <c r="AN6" s="28">
        <f t="shared" si="1"/>
        <v>15465.361960034641</v>
      </c>
      <c r="AO6" s="28">
        <f t="shared" si="1"/>
        <v>15774.669199235334</v>
      </c>
      <c r="AP6" s="28">
        <f t="shared" si="1"/>
        <v>16090.162583220041</v>
      </c>
      <c r="AQ6" s="28">
        <f t="shared" si="1"/>
        <v>16411.965834884442</v>
      </c>
      <c r="AR6" s="28">
        <f t="shared" si="1"/>
        <v>16740.205151582133</v>
      </c>
      <c r="AS6" s="28">
        <f t="shared" si="1"/>
        <v>17075.009254613775</v>
      </c>
      <c r="AT6" s="28">
        <f t="shared" si="1"/>
        <v>17416.509439706053</v>
      </c>
      <c r="AU6" s="28">
        <f t="shared" si="1"/>
        <v>17764.839628500176</v>
      </c>
      <c r="AV6" s="28">
        <f t="shared" si="1"/>
        <v>18120.136421070179</v>
      </c>
      <c r="AW6" s="28">
        <f t="shared" si="1"/>
        <v>18482.539149491582</v>
      </c>
      <c r="AX6" s="28">
        <f t="shared" si="1"/>
        <v>18852.189932481415</v>
      </c>
      <c r="AY6" s="28">
        <f t="shared" si="1"/>
        <v>19229.233731131044</v>
      </c>
    </row>
    <row r="7" spans="1:51" x14ac:dyDescent="0.2">
      <c r="A7" s="2" t="s">
        <v>180</v>
      </c>
      <c r="B7" s="29">
        <f>SUM(B6,B4)</f>
        <v>6652.8546502542522</v>
      </c>
      <c r="C7" s="29">
        <f t="shared" ref="C7:AY7" si="2">SUM(C6,C4)</f>
        <v>6785.9117432593375</v>
      </c>
      <c r="D7" s="29">
        <f t="shared" si="2"/>
        <v>6921.6299781245234</v>
      </c>
      <c r="E7" s="29">
        <f t="shared" si="2"/>
        <v>7439.4758458240412</v>
      </c>
      <c r="F7" s="29">
        <f t="shared" si="2"/>
        <v>7588.2653627405225</v>
      </c>
      <c r="G7" s="29">
        <f t="shared" si="2"/>
        <v>7740.0306699953326</v>
      </c>
      <c r="H7" s="29">
        <f t="shared" si="2"/>
        <v>7894.8312833952396</v>
      </c>
      <c r="I7" s="29">
        <f t="shared" si="2"/>
        <v>8485.4877861571586</v>
      </c>
      <c r="J7" s="29">
        <f t="shared" si="2"/>
        <v>8655.1975418803031</v>
      </c>
      <c r="K7" s="29">
        <f t="shared" si="2"/>
        <v>8828.3014927179102</v>
      </c>
      <c r="L7" s="29">
        <f t="shared" si="2"/>
        <v>9004.8675225722673</v>
      </c>
      <c r="M7" s="29">
        <f t="shared" si="2"/>
        <v>9678.5720474433219</v>
      </c>
      <c r="N7" s="29">
        <f t="shared" si="2"/>
        <v>9872.1434883921902</v>
      </c>
      <c r="O7" s="29">
        <f t="shared" si="2"/>
        <v>10069.586358160035</v>
      </c>
      <c r="P7" s="29">
        <f t="shared" si="2"/>
        <v>10822.948456610366</v>
      </c>
      <c r="Q7" s="29">
        <f t="shared" si="2"/>
        <v>11039.407425742573</v>
      </c>
      <c r="R7" s="29">
        <f t="shared" si="2"/>
        <v>11260.195574257425</v>
      </c>
      <c r="S7" s="29">
        <f t="shared" si="2"/>
        <v>12048.409264455444</v>
      </c>
      <c r="T7" s="29">
        <f t="shared" si="2"/>
        <v>12289.377449744552</v>
      </c>
      <c r="U7" s="29">
        <f t="shared" si="2"/>
        <v>12535.164998739443</v>
      </c>
      <c r="V7" s="29">
        <f t="shared" si="2"/>
        <v>12785.868298714233</v>
      </c>
      <c r="W7" s="29">
        <f t="shared" si="2"/>
        <v>13680.879079624228</v>
      </c>
      <c r="X7" s="29">
        <f t="shared" si="2"/>
        <v>13954.496661216712</v>
      </c>
      <c r="Y7" s="29">
        <f t="shared" si="2"/>
        <v>14233.586594441047</v>
      </c>
      <c r="Z7" s="29">
        <f t="shared" si="2"/>
        <v>14518.258326329866</v>
      </c>
      <c r="AA7" s="29">
        <f t="shared" si="2"/>
        <v>15534.536409172961</v>
      </c>
      <c r="AB7" s="29">
        <f t="shared" si="2"/>
        <v>15845.22713735642</v>
      </c>
      <c r="AC7" s="29">
        <f t="shared" si="2"/>
        <v>16162.131680103548</v>
      </c>
      <c r="AD7" s="29">
        <f t="shared" si="2"/>
        <v>17293.480897710797</v>
      </c>
      <c r="AE7" s="29">
        <f t="shared" si="2"/>
        <v>17639.350515665014</v>
      </c>
      <c r="AF7" s="29">
        <f t="shared" si="2"/>
        <v>17992.137525978313</v>
      </c>
      <c r="AG7" s="29">
        <f t="shared" si="2"/>
        <v>18351.980276497878</v>
      </c>
      <c r="AH7" s="29">
        <f t="shared" si="2"/>
        <v>18719.019882027838</v>
      </c>
      <c r="AI7" s="29">
        <f t="shared" si="2"/>
        <v>20029.351273769786</v>
      </c>
      <c r="AJ7" s="29">
        <f t="shared" si="2"/>
        <v>20429.938299245183</v>
      </c>
      <c r="AK7" s="29">
        <f t="shared" si="2"/>
        <v>20838.537065230088</v>
      </c>
      <c r="AL7" s="29">
        <f t="shared" si="2"/>
        <v>21255.307806534689</v>
      </c>
      <c r="AM7" s="29">
        <f t="shared" si="2"/>
        <v>22743.17935299212</v>
      </c>
      <c r="AN7" s="29">
        <f t="shared" si="2"/>
        <v>23198.042940051961</v>
      </c>
      <c r="AO7" s="29">
        <f t="shared" si="2"/>
        <v>23662.003798853002</v>
      </c>
      <c r="AP7" s="29">
        <f t="shared" si="2"/>
        <v>24135.243874830063</v>
      </c>
      <c r="AQ7" s="29">
        <f t="shared" si="2"/>
        <v>24617.948752326665</v>
      </c>
      <c r="AR7" s="29">
        <f t="shared" si="2"/>
        <v>25110.307727373198</v>
      </c>
      <c r="AS7" s="29">
        <f t="shared" si="2"/>
        <v>25612.513881920662</v>
      </c>
      <c r="AT7" s="29">
        <f t="shared" si="2"/>
        <v>26124.764159559079</v>
      </c>
      <c r="AU7" s="29">
        <f t="shared" si="2"/>
        <v>26647.259442750263</v>
      </c>
      <c r="AV7" s="29">
        <f t="shared" si="2"/>
        <v>27180.204631605269</v>
      </c>
      <c r="AW7" s="29">
        <f t="shared" si="2"/>
        <v>27723.808724237373</v>
      </c>
      <c r="AX7" s="29">
        <f t="shared" si="2"/>
        <v>28278.284898722122</v>
      </c>
      <c r="AY7" s="29">
        <f t="shared" si="2"/>
        <v>28843.850596696568</v>
      </c>
    </row>
    <row r="8" spans="1:51" x14ac:dyDescent="0.2">
      <c r="A8" s="2" t="s">
        <v>181</v>
      </c>
      <c r="B8" s="28">
        <f>B7*12</f>
        <v>79834.255803051026</v>
      </c>
      <c r="C8" s="28">
        <f t="shared" ref="C8:AY8" si="3">C7*12</f>
        <v>81430.94091911205</v>
      </c>
      <c r="D8" s="28">
        <f t="shared" si="3"/>
        <v>83059.559737494274</v>
      </c>
      <c r="E8" s="28">
        <f t="shared" si="3"/>
        <v>89273.710149888502</v>
      </c>
      <c r="F8" s="28">
        <f t="shared" si="3"/>
        <v>91059.184352886266</v>
      </c>
      <c r="G8" s="28">
        <f t="shared" si="3"/>
        <v>92880.368039943991</v>
      </c>
      <c r="H8" s="28">
        <f t="shared" si="3"/>
        <v>94737.975400742871</v>
      </c>
      <c r="I8" s="28">
        <f t="shared" si="3"/>
        <v>101825.8534338859</v>
      </c>
      <c r="J8" s="28">
        <f t="shared" si="3"/>
        <v>103862.37050256363</v>
      </c>
      <c r="K8" s="28">
        <f t="shared" si="3"/>
        <v>105939.61791261492</v>
      </c>
      <c r="L8" s="28">
        <f t="shared" si="3"/>
        <v>108058.4102708672</v>
      </c>
      <c r="M8" s="28">
        <f t="shared" si="3"/>
        <v>116142.86456931986</v>
      </c>
      <c r="N8" s="28">
        <f t="shared" si="3"/>
        <v>118465.72186070628</v>
      </c>
      <c r="O8" s="28">
        <f t="shared" si="3"/>
        <v>120835.03629792042</v>
      </c>
      <c r="P8" s="28">
        <f t="shared" si="3"/>
        <v>129875.38147932439</v>
      </c>
      <c r="Q8" s="28">
        <f t="shared" si="3"/>
        <v>132472.88910891087</v>
      </c>
      <c r="R8" s="28">
        <f t="shared" si="3"/>
        <v>135122.34689108911</v>
      </c>
      <c r="S8" s="28">
        <f t="shared" si="3"/>
        <v>144580.91117346531</v>
      </c>
      <c r="T8" s="28">
        <f t="shared" si="3"/>
        <v>147472.52939693461</v>
      </c>
      <c r="U8" s="28">
        <f t="shared" si="3"/>
        <v>150421.97998487332</v>
      </c>
      <c r="V8" s="28">
        <f t="shared" si="3"/>
        <v>153430.4195845708</v>
      </c>
      <c r="W8" s="28">
        <f t="shared" si="3"/>
        <v>164170.54895549075</v>
      </c>
      <c r="X8" s="28">
        <f t="shared" si="3"/>
        <v>167453.95993460054</v>
      </c>
      <c r="Y8" s="28">
        <f t="shared" si="3"/>
        <v>170803.03913329256</v>
      </c>
      <c r="Z8" s="28">
        <f t="shared" si="3"/>
        <v>174219.09991595839</v>
      </c>
      <c r="AA8" s="28">
        <f t="shared" si="3"/>
        <v>186414.43691007554</v>
      </c>
      <c r="AB8" s="28">
        <f t="shared" si="3"/>
        <v>190142.72564827703</v>
      </c>
      <c r="AC8" s="28">
        <f t="shared" si="3"/>
        <v>193945.58016124257</v>
      </c>
      <c r="AD8" s="28">
        <f t="shared" si="3"/>
        <v>207521.77077252956</v>
      </c>
      <c r="AE8" s="28">
        <f t="shared" si="3"/>
        <v>211672.20618798016</v>
      </c>
      <c r="AF8" s="28">
        <f t="shared" si="3"/>
        <v>215905.65031173977</v>
      </c>
      <c r="AG8" s="28">
        <f t="shared" si="3"/>
        <v>220223.76331797452</v>
      </c>
      <c r="AH8" s="28">
        <f t="shared" si="3"/>
        <v>224628.23858433406</v>
      </c>
      <c r="AI8" s="28">
        <f t="shared" si="3"/>
        <v>240352.21528523741</v>
      </c>
      <c r="AJ8" s="28">
        <f t="shared" si="3"/>
        <v>245159.25959094218</v>
      </c>
      <c r="AK8" s="28">
        <f t="shared" si="3"/>
        <v>250062.44478276104</v>
      </c>
      <c r="AL8" s="28">
        <f t="shared" si="3"/>
        <v>255063.69367841625</v>
      </c>
      <c r="AM8" s="28">
        <f t="shared" si="3"/>
        <v>272918.15223590541</v>
      </c>
      <c r="AN8" s="28">
        <f t="shared" si="3"/>
        <v>278376.51528062351</v>
      </c>
      <c r="AO8" s="28">
        <f t="shared" si="3"/>
        <v>283944.04558623605</v>
      </c>
      <c r="AP8" s="28">
        <f t="shared" si="3"/>
        <v>289622.92649796075</v>
      </c>
      <c r="AQ8" s="28">
        <f t="shared" si="3"/>
        <v>295415.38502792001</v>
      </c>
      <c r="AR8" s="28">
        <f t="shared" si="3"/>
        <v>301323.69272847835</v>
      </c>
      <c r="AS8" s="28">
        <f t="shared" si="3"/>
        <v>307350.16658304795</v>
      </c>
      <c r="AT8" s="28">
        <f t="shared" si="3"/>
        <v>313497.16991470894</v>
      </c>
      <c r="AU8" s="28">
        <f t="shared" si="3"/>
        <v>319767.11331300315</v>
      </c>
      <c r="AV8" s="28">
        <f t="shared" si="3"/>
        <v>326162.45557926322</v>
      </c>
      <c r="AW8" s="28">
        <f t="shared" si="3"/>
        <v>332685.70469084848</v>
      </c>
      <c r="AX8" s="28">
        <f t="shared" si="3"/>
        <v>339339.41878466547</v>
      </c>
      <c r="AY8" s="28">
        <f t="shared" si="3"/>
        <v>346126.20716035878</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16766887.822868252</v>
      </c>
    </row>
    <row r="17" spans="1:4" x14ac:dyDescent="0.2">
      <c r="A17" s="2" t="s">
        <v>184</v>
      </c>
      <c r="B17" s="28">
        <f>B16/25</f>
        <v>670675.51291473012</v>
      </c>
      <c r="C17" s="2" t="s">
        <v>182</v>
      </c>
    </row>
    <row r="18" spans="1:4" x14ac:dyDescent="0.2">
      <c r="A18" s="2" t="s">
        <v>183</v>
      </c>
      <c r="B18" s="30">
        <f>B17/12</f>
        <v>55889.626076227512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0.01</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79834.255803051026</v>
      </c>
      <c r="C34" s="26">
        <f t="shared" ref="C34:AY34" si="4">B38+C8</f>
        <v>163293.78516211861</v>
      </c>
      <c r="D34" s="26">
        <f t="shared" si="4"/>
        <v>250502.63998058232</v>
      </c>
      <c r="E34" s="26">
        <f t="shared" si="4"/>
        <v>346141.62221237738</v>
      </c>
      <c r="F34" s="26">
        <f t="shared" si="4"/>
        <v>445996.26518568018</v>
      </c>
      <c r="G34" s="26">
        <f t="shared" si="4"/>
        <v>550209.39832399227</v>
      </c>
      <c r="H34" s="26">
        <f t="shared" si="4"/>
        <v>658928.19453614776</v>
      </c>
      <c r="I34" s="26">
        <f t="shared" si="4"/>
        <v>777497.41339319712</v>
      </c>
      <c r="J34" s="26">
        <f t="shared" si="4"/>
        <v>901115.99317008187</v>
      </c>
      <c r="K34" s="26">
        <f t="shared" si="4"/>
        <v>1029952.9684691486</v>
      </c>
      <c r="L34" s="26">
        <f t="shared" si="4"/>
        <v>1164182.4836688167</v>
      </c>
      <c r="M34" s="26">
        <f t="shared" si="4"/>
        <v>1309907.2251481612</v>
      </c>
      <c r="N34" s="26">
        <f t="shared" si="4"/>
        <v>1461657.6895998823</v>
      </c>
      <c r="O34" s="26">
        <f t="shared" si="4"/>
        <v>1619633.4477905359</v>
      </c>
      <c r="P34" s="26">
        <f t="shared" si="4"/>
        <v>1790663.7151782177</v>
      </c>
      <c r="Q34" s="26">
        <f t="shared" si="4"/>
        <v>1968637.3692898073</v>
      </c>
      <c r="R34" s="26">
        <f t="shared" si="4"/>
        <v>2153782.7917345501</v>
      </c>
      <c r="S34" s="26">
        <f t="shared" si="4"/>
        <v>2353091.3236459903</v>
      </c>
      <c r="T34" s="26">
        <f t="shared" si="4"/>
        <v>2560355.9035767694</v>
      </c>
      <c r="U34" s="26">
        <f t="shared" si="4"/>
        <v>2775836.5270715286</v>
      </c>
      <c r="V34" s="26">
        <f t="shared" si="4"/>
        <v>2999800.9528089869</v>
      </c>
      <c r="W34" s="26">
        <f t="shared" si="4"/>
        <v>3240196.4439753541</v>
      </c>
      <c r="X34" s="26">
        <f t="shared" si="4"/>
        <v>3489983.7955513685</v>
      </c>
      <c r="Y34" s="26">
        <f t="shared" si="4"/>
        <v>3749467.3229296212</v>
      </c>
      <c r="Z34" s="26">
        <f t="shared" si="4"/>
        <v>4018960.3875212213</v>
      </c>
      <c r="AA34" s="26">
        <f t="shared" si="4"/>
        <v>4307496.607878211</v>
      </c>
      <c r="AB34" s="26">
        <f t="shared" si="4"/>
        <v>4607092.8223326737</v>
      </c>
      <c r="AC34" s="26">
        <f t="shared" si="4"/>
        <v>4918104.6311093895</v>
      </c>
      <c r="AD34" s="26">
        <f t="shared" si="4"/>
        <v>5250595.4405584084</v>
      </c>
      <c r="AE34" s="26">
        <f t="shared" si="4"/>
        <v>5595685.2768909782</v>
      </c>
      <c r="AF34" s="26">
        <f t="shared" si="4"/>
        <v>5953777.2900885185</v>
      </c>
      <c r="AG34" s="26">
        <f t="shared" si="4"/>
        <v>6325286.5343476422</v>
      </c>
      <c r="AH34" s="26">
        <f t="shared" si="4"/>
        <v>6710640.3037697496</v>
      </c>
      <c r="AI34" s="26">
        <f t="shared" si="4"/>
        <v>7121509.8891737759</v>
      </c>
      <c r="AJ34" s="26">
        <f t="shared" si="4"/>
        <v>7547626.7150486242</v>
      </c>
      <c r="AK34" s="26">
        <f t="shared" si="4"/>
        <v>7989474.3546607709</v>
      </c>
      <c r="AL34" s="26">
        <f t="shared" si="4"/>
        <v>8447550.5916911177</v>
      </c>
      <c r="AM34" s="26">
        <f t="shared" si="4"/>
        <v>8935121.0044618938</v>
      </c>
      <c r="AN34" s="26">
        <f t="shared" si="4"/>
        <v>9440538.9444658943</v>
      </c>
      <c r="AO34" s="26">
        <f t="shared" si="4"/>
        <v>9964367.084631009</v>
      </c>
      <c r="AP34" s="26">
        <f t="shared" si="4"/>
        <v>10507184.578749444</v>
      </c>
      <c r="AQ34" s="26">
        <f t="shared" si="4"/>
        <v>11069587.523923388</v>
      </c>
      <c r="AR34" s="26">
        <f t="shared" si="4"/>
        <v>11652189.43563476</v>
      </c>
      <c r="AS34" s="26">
        <f t="shared" si="4"/>
        <v>12255621.735777287</v>
      </c>
      <c r="AT34" s="26">
        <f t="shared" si="4"/>
        <v>12880534.253998097</v>
      </c>
      <c r="AU34" s="26">
        <f t="shared" si="4"/>
        <v>13527595.742705191</v>
      </c>
      <c r="AV34" s="26">
        <f t="shared" si="4"/>
        <v>14197494.406106593</v>
      </c>
      <c r="AW34" s="26">
        <f t="shared" si="4"/>
        <v>14890938.443656608</v>
      </c>
      <c r="AX34" s="26">
        <f t="shared" si="4"/>
        <v>15608656.608294588</v>
      </c>
      <c r="AY34" s="26">
        <f t="shared" si="4"/>
        <v>16351398.779871712</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2395.0276740915306</v>
      </c>
      <c r="C36" s="26">
        <f>C35*C34</f>
        <v>4898.8135548635582</v>
      </c>
      <c r="D36" s="26">
        <f>D35*D34</f>
        <v>7515.0791994174688</v>
      </c>
      <c r="E36" s="26">
        <f t="shared" ref="E36:AY36" si="6">E35*E34</f>
        <v>10384.248666371321</v>
      </c>
      <c r="F36" s="26">
        <f t="shared" si="6"/>
        <v>13379.887955570404</v>
      </c>
      <c r="G36" s="26">
        <f t="shared" si="6"/>
        <v>16506.281949719767</v>
      </c>
      <c r="H36" s="26">
        <f t="shared" si="6"/>
        <v>19767.845836084431</v>
      </c>
      <c r="I36" s="26">
        <f t="shared" si="6"/>
        <v>23324.922401795913</v>
      </c>
      <c r="J36" s="26">
        <f t="shared" si="6"/>
        <v>27033.479795102456</v>
      </c>
      <c r="K36" s="26">
        <f t="shared" si="6"/>
        <v>30898.589054074459</v>
      </c>
      <c r="L36" s="26">
        <f t="shared" si="6"/>
        <v>34925.474510064501</v>
      </c>
      <c r="M36" s="26">
        <f t="shared" si="6"/>
        <v>39297.216754444831</v>
      </c>
      <c r="N36" s="26">
        <f t="shared" si="6"/>
        <v>43849.730687996467</v>
      </c>
      <c r="O36" s="26">
        <f t="shared" si="6"/>
        <v>48589.003433716076</v>
      </c>
      <c r="P36" s="26">
        <f t="shared" si="6"/>
        <v>53719.911455346533</v>
      </c>
      <c r="Q36" s="26">
        <f t="shared" si="6"/>
        <v>59059.121078694217</v>
      </c>
      <c r="R36" s="26">
        <f t="shared" si="6"/>
        <v>64613.483752036504</v>
      </c>
      <c r="S36" s="26">
        <f t="shared" si="6"/>
        <v>70592.739709379704</v>
      </c>
      <c r="T36" s="26">
        <f t="shared" si="6"/>
        <v>76810.677107303083</v>
      </c>
      <c r="U36" s="26">
        <f t="shared" si="6"/>
        <v>83275.095812145853</v>
      </c>
      <c r="V36" s="26">
        <f t="shared" si="6"/>
        <v>89994.028584269603</v>
      </c>
      <c r="W36" s="26">
        <f t="shared" si="6"/>
        <v>97205.89331926062</v>
      </c>
      <c r="X36" s="26">
        <f t="shared" si="6"/>
        <v>104699.51386654105</v>
      </c>
      <c r="Y36" s="26">
        <f t="shared" si="6"/>
        <v>112484.01968788863</v>
      </c>
      <c r="Z36" s="26">
        <f t="shared" si="6"/>
        <v>120568.81162563663</v>
      </c>
      <c r="AA36" s="26">
        <f t="shared" si="6"/>
        <v>129224.89823634633</v>
      </c>
      <c r="AB36" s="26">
        <f t="shared" si="6"/>
        <v>138212.7846699802</v>
      </c>
      <c r="AC36" s="26">
        <f t="shared" si="6"/>
        <v>147543.13893328168</v>
      </c>
      <c r="AD36" s="26">
        <f t="shared" si="6"/>
        <v>157517.86321675224</v>
      </c>
      <c r="AE36" s="26">
        <f t="shared" si="6"/>
        <v>167870.55830672933</v>
      </c>
      <c r="AF36" s="26">
        <f t="shared" si="6"/>
        <v>178613.31870265555</v>
      </c>
      <c r="AG36" s="26">
        <f t="shared" si="6"/>
        <v>189758.59603042927</v>
      </c>
      <c r="AH36" s="26">
        <f t="shared" si="6"/>
        <v>201319.20911309248</v>
      </c>
      <c r="AI36" s="26">
        <f t="shared" si="6"/>
        <v>213645.29667521326</v>
      </c>
      <c r="AJ36" s="26">
        <f t="shared" si="6"/>
        <v>226428.80145145871</v>
      </c>
      <c r="AK36" s="26">
        <f t="shared" si="6"/>
        <v>239684.23063982313</v>
      </c>
      <c r="AL36" s="26">
        <f t="shared" si="6"/>
        <v>253426.51775073353</v>
      </c>
      <c r="AM36" s="26">
        <f t="shared" si="6"/>
        <v>268053.63013385679</v>
      </c>
      <c r="AN36" s="26">
        <f t="shared" si="6"/>
        <v>283216.16833397682</v>
      </c>
      <c r="AO36" s="26">
        <f t="shared" si="6"/>
        <v>298931.01253893028</v>
      </c>
      <c r="AP36" s="26">
        <f t="shared" si="6"/>
        <v>315215.53736248333</v>
      </c>
      <c r="AQ36" s="26">
        <f t="shared" si="6"/>
        <v>332087.62571770162</v>
      </c>
      <c r="AR36" s="26">
        <f t="shared" si="6"/>
        <v>349565.6830690428</v>
      </c>
      <c r="AS36" s="26">
        <f t="shared" si="6"/>
        <v>367668.6520733186</v>
      </c>
      <c r="AT36" s="26">
        <f t="shared" si="6"/>
        <v>386416.02761994291</v>
      </c>
      <c r="AU36" s="26">
        <f t="shared" si="6"/>
        <v>405827.87228115572</v>
      </c>
      <c r="AV36" s="26">
        <f t="shared" si="6"/>
        <v>425924.83218319778</v>
      </c>
      <c r="AW36" s="26">
        <f t="shared" si="6"/>
        <v>446728.15330969822</v>
      </c>
      <c r="AX36" s="26">
        <f t="shared" si="6"/>
        <v>468259.69824883761</v>
      </c>
      <c r="AY36" s="26">
        <f t="shared" si="6"/>
        <v>490541.96339615132</v>
      </c>
    </row>
    <row r="37" spans="1:51" x14ac:dyDescent="0.2">
      <c r="A37" s="2" t="s">
        <v>215</v>
      </c>
      <c r="B37" s="26">
        <f>B36*$B$27</f>
        <v>366.43923413600419</v>
      </c>
      <c r="C37" s="26">
        <f>C36*$B$27</f>
        <v>749.51847389412444</v>
      </c>
      <c r="D37" s="26">
        <f t="shared" ref="D37:AY37" si="7">D36*$B$27</f>
        <v>1149.8071175108728</v>
      </c>
      <c r="E37" s="26">
        <f t="shared" si="7"/>
        <v>1588.7900459548121</v>
      </c>
      <c r="F37" s="26">
        <f t="shared" si="7"/>
        <v>2047.1228572022719</v>
      </c>
      <c r="G37" s="26">
        <f t="shared" si="7"/>
        <v>2525.4611383071242</v>
      </c>
      <c r="H37" s="26">
        <f t="shared" si="7"/>
        <v>3024.4804129209178</v>
      </c>
      <c r="I37" s="26">
        <f t="shared" si="7"/>
        <v>3568.7131274747749</v>
      </c>
      <c r="J37" s="26">
        <f t="shared" si="7"/>
        <v>4136.1224086506754</v>
      </c>
      <c r="K37" s="26">
        <f t="shared" si="7"/>
        <v>4727.4841252733922</v>
      </c>
      <c r="L37" s="26">
        <f t="shared" si="7"/>
        <v>5343.5976000398687</v>
      </c>
      <c r="M37" s="26">
        <f t="shared" si="7"/>
        <v>6012.474163430059</v>
      </c>
      <c r="N37" s="26">
        <f t="shared" si="7"/>
        <v>6709.0087952634594</v>
      </c>
      <c r="O37" s="26">
        <f t="shared" si="7"/>
        <v>7434.1175253585598</v>
      </c>
      <c r="P37" s="26">
        <f t="shared" si="7"/>
        <v>8219.1464526680193</v>
      </c>
      <c r="Q37" s="26">
        <f t="shared" si="7"/>
        <v>9036.0455250402156</v>
      </c>
      <c r="R37" s="26">
        <f t="shared" si="7"/>
        <v>9885.8630140615842</v>
      </c>
      <c r="S37" s="26">
        <f t="shared" si="7"/>
        <v>10800.689175535095</v>
      </c>
      <c r="T37" s="26">
        <f t="shared" si="7"/>
        <v>11752.033597417372</v>
      </c>
      <c r="U37" s="26">
        <f t="shared" si="7"/>
        <v>12741.089659258316</v>
      </c>
      <c r="V37" s="26">
        <f t="shared" si="7"/>
        <v>13769.086373393249</v>
      </c>
      <c r="W37" s="26">
        <f t="shared" si="7"/>
        <v>14872.501677846874</v>
      </c>
      <c r="X37" s="26">
        <f t="shared" si="7"/>
        <v>16019.02562158078</v>
      </c>
      <c r="Y37" s="26">
        <f t="shared" si="7"/>
        <v>17210.055012246961</v>
      </c>
      <c r="Z37" s="26">
        <f t="shared" si="7"/>
        <v>18447.028178722405</v>
      </c>
      <c r="AA37" s="26">
        <f t="shared" si="7"/>
        <v>19771.409430160988</v>
      </c>
      <c r="AB37" s="26">
        <f t="shared" si="7"/>
        <v>21146.556054506971</v>
      </c>
      <c r="AC37" s="26">
        <f t="shared" si="7"/>
        <v>22574.100256792095</v>
      </c>
      <c r="AD37" s="26">
        <f t="shared" si="7"/>
        <v>24100.233072163093</v>
      </c>
      <c r="AE37" s="26">
        <f t="shared" si="7"/>
        <v>25684.195420929587</v>
      </c>
      <c r="AF37" s="26">
        <f t="shared" si="7"/>
        <v>27327.8377615063</v>
      </c>
      <c r="AG37" s="26">
        <f t="shared" si="7"/>
        <v>29033.065192655678</v>
      </c>
      <c r="AH37" s="26">
        <f t="shared" si="7"/>
        <v>30801.838994303151</v>
      </c>
      <c r="AI37" s="26">
        <f t="shared" si="7"/>
        <v>32687.730391307628</v>
      </c>
      <c r="AJ37" s="26">
        <f t="shared" si="7"/>
        <v>34643.606622073181</v>
      </c>
      <c r="AK37" s="26">
        <f t="shared" si="7"/>
        <v>36671.687287892935</v>
      </c>
      <c r="AL37" s="26">
        <f t="shared" si="7"/>
        <v>38774.257215862228</v>
      </c>
      <c r="AM37" s="26">
        <f t="shared" si="7"/>
        <v>41012.205410480085</v>
      </c>
      <c r="AN37" s="26">
        <f t="shared" si="7"/>
        <v>43332.073755098456</v>
      </c>
      <c r="AO37" s="26">
        <f t="shared" si="7"/>
        <v>45736.444918456335</v>
      </c>
      <c r="AP37" s="26">
        <f t="shared" si="7"/>
        <v>48227.977216459949</v>
      </c>
      <c r="AQ37" s="26">
        <f t="shared" si="7"/>
        <v>50809.406734808348</v>
      </c>
      <c r="AR37" s="26">
        <f t="shared" si="7"/>
        <v>53483.549509563549</v>
      </c>
      <c r="AS37" s="26">
        <f t="shared" si="7"/>
        <v>56253.303767217745</v>
      </c>
      <c r="AT37" s="26">
        <f t="shared" si="7"/>
        <v>59121.652225851263</v>
      </c>
      <c r="AU37" s="26">
        <f t="shared" si="7"/>
        <v>62091.664459016822</v>
      </c>
      <c r="AV37" s="26">
        <f t="shared" si="7"/>
        <v>65166.499324029261</v>
      </c>
      <c r="AW37" s="26">
        <f t="shared" si="7"/>
        <v>68349.407456383822</v>
      </c>
      <c r="AX37" s="26">
        <f t="shared" si="7"/>
        <v>71643.733832072146</v>
      </c>
      <c r="AY37" s="26">
        <f t="shared" si="7"/>
        <v>75052.920399611146</v>
      </c>
    </row>
    <row r="38" spans="1:51" s="18" customFormat="1" x14ac:dyDescent="0.2">
      <c r="A38" s="18" t="s">
        <v>248</v>
      </c>
      <c r="B38" s="27">
        <f>B34+(B36-B37)</f>
        <v>81862.844243006548</v>
      </c>
      <c r="C38" s="27">
        <f>C34+(C36-C37)</f>
        <v>167443.08024308804</v>
      </c>
      <c r="D38" s="27">
        <f t="shared" ref="D38:AS38" si="8">D34+(D36-D37)</f>
        <v>256867.9120624889</v>
      </c>
      <c r="E38" s="27">
        <f t="shared" si="8"/>
        <v>354937.0808327939</v>
      </c>
      <c r="F38" s="27">
        <f t="shared" si="8"/>
        <v>457329.03028404829</v>
      </c>
      <c r="G38" s="27">
        <f t="shared" si="8"/>
        <v>564190.21913540491</v>
      </c>
      <c r="H38" s="27">
        <f t="shared" si="8"/>
        <v>675671.55995931127</v>
      </c>
      <c r="I38" s="27">
        <f t="shared" si="8"/>
        <v>797253.62266751821</v>
      </c>
      <c r="J38" s="27">
        <f t="shared" si="8"/>
        <v>924013.35055653367</v>
      </c>
      <c r="K38" s="27">
        <f t="shared" si="8"/>
        <v>1056124.0733979496</v>
      </c>
      <c r="L38" s="27">
        <f t="shared" si="8"/>
        <v>1193764.3605788413</v>
      </c>
      <c r="M38" s="27">
        <f t="shared" si="8"/>
        <v>1343191.967739176</v>
      </c>
      <c r="N38" s="27">
        <f t="shared" si="8"/>
        <v>1498798.4114926155</v>
      </c>
      <c r="O38" s="27">
        <f t="shared" si="8"/>
        <v>1660788.3336988934</v>
      </c>
      <c r="P38" s="27">
        <f t="shared" si="8"/>
        <v>1836164.4801808964</v>
      </c>
      <c r="Q38" s="27">
        <f t="shared" si="8"/>
        <v>2018660.4448434613</v>
      </c>
      <c r="R38" s="27">
        <f t="shared" si="8"/>
        <v>2208510.4124725251</v>
      </c>
      <c r="S38" s="27">
        <f t="shared" si="8"/>
        <v>2412883.374179835</v>
      </c>
      <c r="T38" s="27">
        <f t="shared" si="8"/>
        <v>2625414.5470866552</v>
      </c>
      <c r="U38" s="27">
        <f t="shared" si="8"/>
        <v>2846370.533224416</v>
      </c>
      <c r="V38" s="27">
        <f t="shared" si="8"/>
        <v>3076025.8950198633</v>
      </c>
      <c r="W38" s="27">
        <f t="shared" si="8"/>
        <v>3322529.8356167679</v>
      </c>
      <c r="X38" s="27">
        <f t="shared" si="8"/>
        <v>3578664.2837963286</v>
      </c>
      <c r="Y38" s="27">
        <f t="shared" si="8"/>
        <v>3844741.2876052628</v>
      </c>
      <c r="Z38" s="27">
        <f t="shared" si="8"/>
        <v>4121082.1709681354</v>
      </c>
      <c r="AA38" s="27">
        <f t="shared" si="8"/>
        <v>4416950.0966843963</v>
      </c>
      <c r="AB38" s="27">
        <f t="shared" si="8"/>
        <v>4724159.0509481467</v>
      </c>
      <c r="AC38" s="27">
        <f t="shared" si="8"/>
        <v>5043073.6697858786</v>
      </c>
      <c r="AD38" s="27">
        <f t="shared" si="8"/>
        <v>5384013.070702998</v>
      </c>
      <c r="AE38" s="27">
        <f t="shared" si="8"/>
        <v>5737871.6397767784</v>
      </c>
      <c r="AF38" s="27">
        <f t="shared" si="8"/>
        <v>6105062.7710296679</v>
      </c>
      <c r="AG38" s="27">
        <f t="shared" si="8"/>
        <v>6486012.0651854156</v>
      </c>
      <c r="AH38" s="27">
        <f t="shared" si="8"/>
        <v>6881157.673888539</v>
      </c>
      <c r="AI38" s="27">
        <f t="shared" si="8"/>
        <v>7302467.4554576818</v>
      </c>
      <c r="AJ38" s="27">
        <f t="shared" si="8"/>
        <v>7739411.9098780099</v>
      </c>
      <c r="AK38" s="27">
        <f t="shared" si="8"/>
        <v>8192486.8980127014</v>
      </c>
      <c r="AL38" s="27">
        <f t="shared" si="8"/>
        <v>8662202.8522259891</v>
      </c>
      <c r="AM38" s="27">
        <f t="shared" si="8"/>
        <v>9162162.4291852713</v>
      </c>
      <c r="AN38" s="27">
        <f t="shared" si="8"/>
        <v>9680423.0390447732</v>
      </c>
      <c r="AO38" s="27">
        <f t="shared" si="8"/>
        <v>10217561.652251484</v>
      </c>
      <c r="AP38" s="27">
        <f t="shared" si="8"/>
        <v>10774172.138895467</v>
      </c>
      <c r="AQ38" s="27">
        <f t="shared" si="8"/>
        <v>11350865.742906282</v>
      </c>
      <c r="AR38" s="27">
        <f t="shared" si="8"/>
        <v>11948271.569194239</v>
      </c>
      <c r="AS38" s="27">
        <f t="shared" si="8"/>
        <v>12567037.084083388</v>
      </c>
      <c r="AT38" s="27">
        <f>AT34+(AT36-AT37)</f>
        <v>13207828.629392188</v>
      </c>
      <c r="AU38" s="27">
        <f t="shared" ref="AU38:AY38" si="9">AU34+(AU36-AU37)</f>
        <v>13871331.950527329</v>
      </c>
      <c r="AV38" s="27">
        <f t="shared" si="9"/>
        <v>14558252.738965761</v>
      </c>
      <c r="AW38" s="27">
        <f t="shared" si="9"/>
        <v>15269317.189509923</v>
      </c>
      <c r="AX38" s="27">
        <f t="shared" si="9"/>
        <v>16005272.572711352</v>
      </c>
      <c r="AY38" s="27">
        <f t="shared" si="9"/>
        <v>16766887.822868252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0.01</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44352.364335028346</v>
      </c>
      <c r="F2" s="29">
        <v>45239.411621728912</v>
      </c>
      <c r="G2" s="29">
        <v>46144.199854163489</v>
      </c>
      <c r="H2" s="29">
        <v>49596.505638826937</v>
      </c>
      <c r="I2" s="29">
        <v>50588.43575160348</v>
      </c>
      <c r="J2" s="29">
        <v>51600.20446663555</v>
      </c>
      <c r="K2" s="29">
        <v>52632.20855596826</v>
      </c>
      <c r="L2" s="29">
        <v>56569.918574381059</v>
      </c>
      <c r="M2" s="29">
        <v>57701.316945868683</v>
      </c>
      <c r="N2" s="29">
        <v>58855.34328478606</v>
      </c>
      <c r="O2" s="29">
        <v>60032.450150481782</v>
      </c>
      <c r="P2" s="29">
        <v>64523.813649622149</v>
      </c>
      <c r="Q2" s="29">
        <v>65814.289922614596</v>
      </c>
      <c r="R2" s="29">
        <v>67130.575721066896</v>
      </c>
      <c r="S2" s="29">
        <v>72152.989710735768</v>
      </c>
      <c r="T2" s="29" cm="1">
        <f t="array" ref="T2:BB2">TRANSPOSE(Income!P3:P37)</f>
        <v>73596.049504950483</v>
      </c>
      <c r="U2" s="29">
        <v>75067.970495049492</v>
      </c>
      <c r="V2" s="29">
        <v>80322.728429702955</v>
      </c>
      <c r="W2" s="29">
        <v>81929.182998297008</v>
      </c>
      <c r="X2" s="29">
        <v>83567.766658262946</v>
      </c>
      <c r="Y2" s="29">
        <v>85239.121991428212</v>
      </c>
      <c r="Z2" s="29">
        <v>91205.860530828184</v>
      </c>
      <c r="AA2" s="29">
        <v>93029.977741444745</v>
      </c>
      <c r="AB2" s="29">
        <v>94890.577296273637</v>
      </c>
      <c r="AC2" s="29">
        <v>96788.388842199114</v>
      </c>
      <c r="AD2" s="29">
        <v>103563.57606115306</v>
      </c>
      <c r="AE2" s="29">
        <v>105634.84758237613</v>
      </c>
      <c r="AF2" s="29">
        <v>107747.54453402365</v>
      </c>
      <c r="AG2" s="29">
        <v>115289.8726514053</v>
      </c>
      <c r="AH2" s="29">
        <v>117595.6701044334</v>
      </c>
      <c r="AI2" s="29">
        <v>119947.58350652207</v>
      </c>
      <c r="AJ2" s="29">
        <v>122346.53517665251</v>
      </c>
      <c r="AK2" s="29">
        <v>124793.46588018557</v>
      </c>
      <c r="AL2" s="29">
        <v>133529.00849179857</v>
      </c>
      <c r="AM2" s="29">
        <v>136199.58866163454</v>
      </c>
      <c r="AN2" s="29">
        <v>138923.58043486724</v>
      </c>
      <c r="AO2" s="29">
        <v>141702.05204356459</v>
      </c>
      <c r="AP2" s="29">
        <v>151621.19568661411</v>
      </c>
      <c r="AQ2" s="29">
        <v>154653.6196003464</v>
      </c>
      <c r="AR2" s="29">
        <v>157746.69199235333</v>
      </c>
      <c r="AS2" s="29">
        <v>160901.6258322004</v>
      </c>
      <c r="AT2" s="29">
        <v>164119.65834884442</v>
      </c>
      <c r="AU2" s="29">
        <v>167402.05151582131</v>
      </c>
      <c r="AV2" s="29">
        <v>170750.09254613775</v>
      </c>
      <c r="AW2" s="29">
        <v>174165.09439706051</v>
      </c>
      <c r="AX2" s="2">
        <v>177648.39628500174</v>
      </c>
      <c r="AY2" s="2">
        <v>181201.36421070178</v>
      </c>
      <c r="AZ2" s="2">
        <v>184825.39149491582</v>
      </c>
      <c r="BA2" s="2">
        <v>188521.89932481415</v>
      </c>
      <c r="BB2" s="2">
        <v>192292.33731131043</v>
      </c>
      <c r="BH2" s="2" t="s">
        <v>206</v>
      </c>
      <c r="BI2" s="2" cm="1">
        <f t="array" ref="BI2:BI37">TRANSPOSE(T17:BC17)</f>
        <v>38932.969768256771</v>
      </c>
    </row>
    <row r="3" spans="1:61" x14ac:dyDescent="0.2">
      <c r="D3" s="2" t="s">
        <v>186</v>
      </c>
      <c r="E3" s="29">
        <f>E2*12</f>
        <v>532228.37202034018</v>
      </c>
      <c r="F3" s="29">
        <f t="shared" ref="F3:AW3" si="0">F2*12</f>
        <v>542872.93946074694</v>
      </c>
      <c r="G3" s="29">
        <f t="shared" si="0"/>
        <v>553730.3982499619</v>
      </c>
      <c r="H3" s="29">
        <f t="shared" si="0"/>
        <v>595158.06766592327</v>
      </c>
      <c r="I3" s="29">
        <f t="shared" si="0"/>
        <v>607061.22901924176</v>
      </c>
      <c r="J3" s="29">
        <f t="shared" si="0"/>
        <v>619202.45359962666</v>
      </c>
      <c r="K3" s="29">
        <f t="shared" si="0"/>
        <v>631586.50267161918</v>
      </c>
      <c r="L3" s="29">
        <f t="shared" si="0"/>
        <v>678839.02289257268</v>
      </c>
      <c r="M3" s="29">
        <f t="shared" si="0"/>
        <v>692415.80335042416</v>
      </c>
      <c r="N3" s="29">
        <f t="shared" si="0"/>
        <v>706264.1194174327</v>
      </c>
      <c r="O3" s="29">
        <f t="shared" si="0"/>
        <v>720389.40180578141</v>
      </c>
      <c r="P3" s="29">
        <f t="shared" si="0"/>
        <v>774285.76379546581</v>
      </c>
      <c r="Q3" s="29">
        <f t="shared" si="0"/>
        <v>789771.47907137522</v>
      </c>
      <c r="R3" s="29">
        <f t="shared" si="0"/>
        <v>805566.9086528027</v>
      </c>
      <c r="S3" s="29">
        <f t="shared" si="0"/>
        <v>865835.87652882922</v>
      </c>
      <c r="T3" s="29">
        <f t="shared" si="0"/>
        <v>883152.59405940585</v>
      </c>
      <c r="U3" s="29">
        <f t="shared" si="0"/>
        <v>900815.64594059391</v>
      </c>
      <c r="V3" s="29">
        <f t="shared" si="0"/>
        <v>963872.74115643546</v>
      </c>
      <c r="W3" s="29">
        <f t="shared" si="0"/>
        <v>983150.1959795641</v>
      </c>
      <c r="X3" s="29">
        <f t="shared" si="0"/>
        <v>1002813.1998991554</v>
      </c>
      <c r="Y3" s="29">
        <f t="shared" si="0"/>
        <v>1022869.4638971386</v>
      </c>
      <c r="Z3" s="29">
        <f t="shared" si="0"/>
        <v>1094470.3263699382</v>
      </c>
      <c r="AA3" s="29">
        <f t="shared" si="0"/>
        <v>1116359.7328973371</v>
      </c>
      <c r="AB3" s="29">
        <f t="shared" si="0"/>
        <v>1138686.9275552835</v>
      </c>
      <c r="AC3" s="29">
        <f t="shared" si="0"/>
        <v>1161460.6661063894</v>
      </c>
      <c r="AD3" s="29">
        <f t="shared" si="0"/>
        <v>1242762.9127338366</v>
      </c>
      <c r="AE3" s="29">
        <f t="shared" si="0"/>
        <v>1267618.1709885136</v>
      </c>
      <c r="AF3" s="29">
        <f t="shared" si="0"/>
        <v>1292970.5344082839</v>
      </c>
      <c r="AG3" s="29">
        <f t="shared" si="0"/>
        <v>1383478.4718168636</v>
      </c>
      <c r="AH3" s="29">
        <f t="shared" si="0"/>
        <v>1411148.0412532007</v>
      </c>
      <c r="AI3" s="29">
        <f t="shared" si="0"/>
        <v>1439371.002078265</v>
      </c>
      <c r="AJ3" s="29">
        <f t="shared" si="0"/>
        <v>1468158.4221198303</v>
      </c>
      <c r="AK3" s="29">
        <f t="shared" si="0"/>
        <v>1497521.5905622267</v>
      </c>
      <c r="AL3" s="29">
        <f t="shared" si="0"/>
        <v>1602348.1019015829</v>
      </c>
      <c r="AM3" s="29">
        <f t="shared" si="0"/>
        <v>1634395.0639396145</v>
      </c>
      <c r="AN3" s="29">
        <f t="shared" si="0"/>
        <v>1667082.9652184069</v>
      </c>
      <c r="AO3" s="29">
        <f t="shared" si="0"/>
        <v>1700424.6245227749</v>
      </c>
      <c r="AP3" s="29">
        <f t="shared" si="0"/>
        <v>1819454.3482393692</v>
      </c>
      <c r="AQ3" s="29">
        <f t="shared" si="0"/>
        <v>1855843.4352041567</v>
      </c>
      <c r="AR3" s="29">
        <f t="shared" si="0"/>
        <v>1892960.3039082401</v>
      </c>
      <c r="AS3" s="29">
        <f t="shared" si="0"/>
        <v>1930819.5099864048</v>
      </c>
      <c r="AT3" s="29">
        <f t="shared" si="0"/>
        <v>1969435.9001861331</v>
      </c>
      <c r="AU3" s="29">
        <f t="shared" si="0"/>
        <v>2008824.6181898557</v>
      </c>
      <c r="AV3" s="29">
        <f t="shared" si="0"/>
        <v>2049001.110553653</v>
      </c>
      <c r="AW3" s="29">
        <f t="shared" si="0"/>
        <v>2089981.1327647262</v>
      </c>
      <c r="AX3" s="29">
        <f t="shared" ref="AX3:BB3" si="1">AX2*12</f>
        <v>2131780.7554200208</v>
      </c>
      <c r="AY3" s="29">
        <f t="shared" si="1"/>
        <v>2174416.3705284214</v>
      </c>
      <c r="AZ3" s="29">
        <f t="shared" si="1"/>
        <v>2217904.6979389898</v>
      </c>
      <c r="BA3" s="29">
        <f t="shared" si="1"/>
        <v>2262262.79189777</v>
      </c>
      <c r="BB3" s="29">
        <f t="shared" si="1"/>
        <v>2307508.0477357251</v>
      </c>
      <c r="BI3" s="2">
        <v>39550.341416128562</v>
      </c>
    </row>
    <row r="4" spans="1:61" x14ac:dyDescent="0.2">
      <c r="A4" s="2" t="str" cm="1">
        <f t="array" ref="A4:B12">'Salary Variables'!$B$16:$C$24</f>
        <v>AM (%)</v>
      </c>
      <c r="B4" s="25">
        <v>0.08</v>
      </c>
      <c r="D4" s="2" t="s">
        <v>277</v>
      </c>
      <c r="E4" s="29">
        <f>'Pensions P2'!B4*12</f>
        <v>26611.418601017009</v>
      </c>
      <c r="F4" s="29">
        <f>'Pensions P2'!C4*12</f>
        <v>27143.64697303735</v>
      </c>
      <c r="G4" s="29">
        <f>'Pensions P2'!D4*12</f>
        <v>27686.519912498094</v>
      </c>
      <c r="H4" s="29">
        <f>'Pensions P2'!E4*12</f>
        <v>29757.903383296165</v>
      </c>
      <c r="I4" s="29">
        <f>'Pensions P2'!F4*12</f>
        <v>30353.06145096209</v>
      </c>
      <c r="J4" s="29">
        <f>'Pensions P2'!G4*12</f>
        <v>30960.12267998133</v>
      </c>
      <c r="K4" s="29">
        <f>'Pensions P2'!H4*12</f>
        <v>31579.325133580958</v>
      </c>
      <c r="L4" s="29">
        <f>'Pensions P2'!I4*12</f>
        <v>33941.951144628634</v>
      </c>
      <c r="M4" s="29">
        <f>'Pensions P2'!J4*12</f>
        <v>34620.790167521212</v>
      </c>
      <c r="N4" s="29">
        <f>'Pensions P2'!K4*12</f>
        <v>35313.205970871641</v>
      </c>
      <c r="O4" s="29">
        <f>'Pensions P2'!L4*12</f>
        <v>36019.470090289069</v>
      </c>
      <c r="P4" s="29">
        <f>'Pensions P2'!M4*12</f>
        <v>38714.288189773288</v>
      </c>
      <c r="Q4" s="29">
        <f>'Pensions P2'!N4*12</f>
        <v>39488.573953568761</v>
      </c>
      <c r="R4" s="29">
        <f>'Pensions P2'!O4*12</f>
        <v>40278.345432640141</v>
      </c>
      <c r="S4" s="29">
        <f>'Pensions P2'!P4*12</f>
        <v>43291.793826441462</v>
      </c>
      <c r="T4" s="29">
        <f>'Pensions P2'!Q4*12</f>
        <v>44157.629702970291</v>
      </c>
      <c r="U4" s="29">
        <f>'Pensions P2'!R4*12</f>
        <v>45040.782297029698</v>
      </c>
      <c r="V4" s="29">
        <f>'Pensions P2'!S4*12</f>
        <v>48193.637057821776</v>
      </c>
      <c r="W4" s="29">
        <f>'Pensions P2'!T4*12</f>
        <v>49157.509798978208</v>
      </c>
      <c r="X4" s="29">
        <f>'Pensions P2'!U4*12</f>
        <v>50140.659994957772</v>
      </c>
      <c r="Y4" s="29">
        <f>'Pensions P2'!V4*12</f>
        <v>51143.473194856932</v>
      </c>
      <c r="Z4" s="29">
        <f>'Pensions P2'!W4*12</f>
        <v>54723.516318496913</v>
      </c>
      <c r="AA4" s="29">
        <f>'Pensions P2'!X4*12</f>
        <v>55817.986644866847</v>
      </c>
      <c r="AB4" s="29">
        <f>'Pensions P2'!Y4*12</f>
        <v>56934.346377764188</v>
      </c>
      <c r="AC4" s="29">
        <f>'Pensions P2'!Z4*12</f>
        <v>58073.033305319463</v>
      </c>
      <c r="AD4" s="29">
        <f>'Pensions P2'!AA4*12</f>
        <v>62138.145636691843</v>
      </c>
      <c r="AE4" s="29">
        <f>'Pensions P2'!AB4*12</f>
        <v>63380.90854942568</v>
      </c>
      <c r="AF4" s="29">
        <f>'Pensions P2'!AC4*12</f>
        <v>64648.526720414193</v>
      </c>
      <c r="AG4" s="29">
        <f>'Pensions P2'!AD4*12</f>
        <v>69173.923590843187</v>
      </c>
      <c r="AH4" s="29">
        <f>'Pensions P2'!AE4*12</f>
        <v>70557.402062660054</v>
      </c>
      <c r="AI4" s="29">
        <f>'Pensions P2'!AF4*12</f>
        <v>71968.55010391325</v>
      </c>
      <c r="AJ4" s="29">
        <f>'Pensions P2'!AG4*12</f>
        <v>73407.921105991511</v>
      </c>
      <c r="AK4" s="29">
        <f>'Pensions P2'!AH4*12</f>
        <v>74876.079528111353</v>
      </c>
      <c r="AL4" s="29">
        <f>'Pensions P2'!AI4*12</f>
        <v>80117.405095079142</v>
      </c>
      <c r="AM4" s="29">
        <f>'Pensions P2'!AJ4*12</f>
        <v>81719.753196980731</v>
      </c>
      <c r="AN4" s="29">
        <f>'Pensions P2'!AK4*12</f>
        <v>83354.148260920352</v>
      </c>
      <c r="AO4" s="29">
        <f>'Pensions P2'!AL4*12</f>
        <v>85021.231226138756</v>
      </c>
      <c r="AP4" s="29">
        <f>'Pensions P2'!AM4*12</f>
        <v>90972.717411968479</v>
      </c>
      <c r="AQ4" s="29">
        <f>'Pensions P2'!AN4*12</f>
        <v>92792.171760207842</v>
      </c>
      <c r="AR4" s="29">
        <f>'Pensions P2'!AO4*12</f>
        <v>94648.015195412008</v>
      </c>
      <c r="AS4" s="29">
        <f>'Pensions P2'!AP4*12</f>
        <v>96540.975499320251</v>
      </c>
      <c r="AT4" s="29">
        <f>'Pensions P2'!AQ4*12</f>
        <v>98471.795009306661</v>
      </c>
      <c r="AU4" s="29">
        <f>'Pensions P2'!AR4*12</f>
        <v>100441.23090949279</v>
      </c>
      <c r="AV4" s="29">
        <f>'Pensions P2'!AS4*12</f>
        <v>102450.05552768265</v>
      </c>
      <c r="AW4" s="29">
        <f>'Pensions P2'!AT4*12</f>
        <v>104499.05663823632</v>
      </c>
      <c r="AX4" s="29">
        <f>'Pensions P2'!AU4*12</f>
        <v>106589.03777100105</v>
      </c>
      <c r="AY4" s="29">
        <f>'Pensions P2'!AV4*12</f>
        <v>108720.81852642108</v>
      </c>
      <c r="AZ4" s="29">
        <f>'Pensions P2'!AW4*12</f>
        <v>110895.23489694949</v>
      </c>
      <c r="BA4" s="29">
        <f>'Pensions P2'!AX4*12</f>
        <v>113113.13959488849</v>
      </c>
      <c r="BB4" s="29">
        <f>'Pensions P2'!AY4*12</f>
        <v>115375.40238678627</v>
      </c>
      <c r="BI4" s="2">
        <v>41754.358199030896</v>
      </c>
    </row>
    <row r="5" spans="1:61" x14ac:dyDescent="0.2">
      <c r="A5" s="2" t="str">
        <v>Personal Allowance</v>
      </c>
      <c r="B5" s="28">
        <v>51600</v>
      </c>
      <c r="D5" s="2" t="s">
        <v>187</v>
      </c>
      <c r="E5" s="29">
        <f t="shared" ref="E5:AW5" si="2">E3-E4</f>
        <v>505616.9534193232</v>
      </c>
      <c r="F5" s="29">
        <f t="shared" si="2"/>
        <v>515729.29248770961</v>
      </c>
      <c r="G5" s="29">
        <f t="shared" si="2"/>
        <v>526043.87833746383</v>
      </c>
      <c r="H5" s="29">
        <f t="shared" si="2"/>
        <v>565400.16428262705</v>
      </c>
      <c r="I5" s="29">
        <f t="shared" si="2"/>
        <v>576708.16756827966</v>
      </c>
      <c r="J5" s="29">
        <f t="shared" si="2"/>
        <v>588242.33091964538</v>
      </c>
      <c r="K5" s="29">
        <f t="shared" si="2"/>
        <v>600007.17753803823</v>
      </c>
      <c r="L5" s="29">
        <f t="shared" si="2"/>
        <v>644897.07174794399</v>
      </c>
      <c r="M5" s="29">
        <f t="shared" si="2"/>
        <v>657795.01318290294</v>
      </c>
      <c r="N5" s="29">
        <f t="shared" si="2"/>
        <v>670950.91344656108</v>
      </c>
      <c r="O5" s="29">
        <f t="shared" si="2"/>
        <v>684369.93171549239</v>
      </c>
      <c r="P5" s="29">
        <f t="shared" si="2"/>
        <v>735571.47560569248</v>
      </c>
      <c r="Q5" s="29">
        <f t="shared" si="2"/>
        <v>750282.90511780651</v>
      </c>
      <c r="R5" s="29">
        <f t="shared" si="2"/>
        <v>765288.56322016253</v>
      </c>
      <c r="S5" s="29">
        <f t="shared" si="2"/>
        <v>822544.08270238771</v>
      </c>
      <c r="T5" s="29">
        <f t="shared" si="2"/>
        <v>838994.96435643558</v>
      </c>
      <c r="U5" s="29">
        <f t="shared" si="2"/>
        <v>855774.86364356417</v>
      </c>
      <c r="V5" s="29">
        <f t="shared" si="2"/>
        <v>915679.10409861372</v>
      </c>
      <c r="W5" s="29">
        <f t="shared" si="2"/>
        <v>933992.68618058588</v>
      </c>
      <c r="X5" s="29">
        <f t="shared" si="2"/>
        <v>952672.53990419768</v>
      </c>
      <c r="Y5" s="29">
        <f t="shared" si="2"/>
        <v>971725.99070228171</v>
      </c>
      <c r="Z5" s="29">
        <f t="shared" si="2"/>
        <v>1039746.8100514413</v>
      </c>
      <c r="AA5" s="29">
        <f t="shared" si="2"/>
        <v>1060541.7462524702</v>
      </c>
      <c r="AB5" s="29">
        <f t="shared" si="2"/>
        <v>1081752.5811775194</v>
      </c>
      <c r="AC5" s="29">
        <f t="shared" si="2"/>
        <v>1103387.6328010699</v>
      </c>
      <c r="AD5" s="29">
        <f t="shared" si="2"/>
        <v>1180624.7670971446</v>
      </c>
      <c r="AE5" s="29">
        <f t="shared" si="2"/>
        <v>1204237.262439088</v>
      </c>
      <c r="AF5" s="29">
        <f t="shared" si="2"/>
        <v>1228322.0076878697</v>
      </c>
      <c r="AG5" s="29">
        <f t="shared" si="2"/>
        <v>1314304.5482260205</v>
      </c>
      <c r="AH5" s="29">
        <f t="shared" si="2"/>
        <v>1340590.6391905406</v>
      </c>
      <c r="AI5" s="29">
        <f t="shared" si="2"/>
        <v>1367402.4519743517</v>
      </c>
      <c r="AJ5" s="29">
        <f t="shared" si="2"/>
        <v>1394750.5010138387</v>
      </c>
      <c r="AK5" s="29">
        <f t="shared" si="2"/>
        <v>1422645.5110341155</v>
      </c>
      <c r="AL5" s="29">
        <f t="shared" si="2"/>
        <v>1522230.6968065037</v>
      </c>
      <c r="AM5" s="29">
        <f t="shared" si="2"/>
        <v>1552675.3107426337</v>
      </c>
      <c r="AN5" s="29">
        <f t="shared" si="2"/>
        <v>1583728.8169574866</v>
      </c>
      <c r="AO5" s="29">
        <f t="shared" si="2"/>
        <v>1615403.3932966362</v>
      </c>
      <c r="AP5" s="29">
        <f t="shared" si="2"/>
        <v>1728481.6308274008</v>
      </c>
      <c r="AQ5" s="29">
        <f t="shared" si="2"/>
        <v>1763051.2634439489</v>
      </c>
      <c r="AR5" s="29">
        <f t="shared" si="2"/>
        <v>1798312.288712828</v>
      </c>
      <c r="AS5" s="29">
        <f t="shared" si="2"/>
        <v>1834278.5344870845</v>
      </c>
      <c r="AT5" s="29">
        <f t="shared" si="2"/>
        <v>1870964.1051768265</v>
      </c>
      <c r="AU5" s="29">
        <f t="shared" si="2"/>
        <v>1908383.3872803629</v>
      </c>
      <c r="AV5" s="29">
        <f t="shared" si="2"/>
        <v>1946551.0550259703</v>
      </c>
      <c r="AW5" s="29">
        <f t="shared" si="2"/>
        <v>1985482.0761264898</v>
      </c>
      <c r="AX5" s="29">
        <f t="shared" ref="AX5:BB5" si="3">AX3-AX4</f>
        <v>2025191.7176490198</v>
      </c>
      <c r="AY5" s="29">
        <f t="shared" si="3"/>
        <v>2065695.5520020004</v>
      </c>
      <c r="AZ5" s="29">
        <f t="shared" si="3"/>
        <v>2107009.4630420404</v>
      </c>
      <c r="BA5" s="29">
        <f t="shared" si="3"/>
        <v>2149149.6523028817</v>
      </c>
      <c r="BB5" s="29">
        <f t="shared" si="3"/>
        <v>2192132.6453489386</v>
      </c>
      <c r="BI5" s="2">
        <v>42428.157615518176</v>
      </c>
    </row>
    <row r="6" spans="1:61" x14ac:dyDescent="0.2">
      <c r="A6" s="2" t="str">
        <v>Bottom-Bracket State Tax rate (%)</v>
      </c>
      <c r="B6" s="25">
        <v>0.1201</v>
      </c>
      <c r="D6" s="2" t="s">
        <v>256</v>
      </c>
      <c r="E6" s="28">
        <f>E5-$B$14</f>
        <v>504428.9534193232</v>
      </c>
      <c r="F6" s="28">
        <f t="shared" ref="F6:AW6" si="4">F5-$B$14</f>
        <v>514541.29248770961</v>
      </c>
      <c r="G6" s="28">
        <f t="shared" si="4"/>
        <v>524855.87833746383</v>
      </c>
      <c r="H6" s="28">
        <f t="shared" si="4"/>
        <v>564212.16428262705</v>
      </c>
      <c r="I6" s="28">
        <f t="shared" si="4"/>
        <v>575520.16756827966</v>
      </c>
      <c r="J6" s="28">
        <f t="shared" si="4"/>
        <v>587054.33091964538</v>
      </c>
      <c r="K6" s="28">
        <f t="shared" si="4"/>
        <v>598819.17753803823</v>
      </c>
      <c r="L6" s="28">
        <f t="shared" si="4"/>
        <v>643709.07174794399</v>
      </c>
      <c r="M6" s="28">
        <f t="shared" si="4"/>
        <v>656607.01318290294</v>
      </c>
      <c r="N6" s="28">
        <f t="shared" si="4"/>
        <v>669762.91344656108</v>
      </c>
      <c r="O6" s="28">
        <f t="shared" si="4"/>
        <v>683181.93171549239</v>
      </c>
      <c r="P6" s="28">
        <f t="shared" si="4"/>
        <v>734383.47560569248</v>
      </c>
      <c r="Q6" s="28">
        <f t="shared" si="4"/>
        <v>749094.90511780651</v>
      </c>
      <c r="R6" s="28">
        <f t="shared" si="4"/>
        <v>764100.56322016253</v>
      </c>
      <c r="S6" s="28">
        <f t="shared" si="4"/>
        <v>821356.08270238771</v>
      </c>
      <c r="T6" s="28">
        <f t="shared" si="4"/>
        <v>837806.96435643558</v>
      </c>
      <c r="U6" s="28">
        <f t="shared" si="4"/>
        <v>854586.86364356417</v>
      </c>
      <c r="V6" s="28">
        <f t="shared" si="4"/>
        <v>914491.10409861372</v>
      </c>
      <c r="W6" s="28">
        <f t="shared" si="4"/>
        <v>932804.68618058588</v>
      </c>
      <c r="X6" s="28">
        <f t="shared" si="4"/>
        <v>951484.53990419768</v>
      </c>
      <c r="Y6" s="28">
        <f t="shared" si="4"/>
        <v>970537.99070228171</v>
      </c>
      <c r="Z6" s="28">
        <f t="shared" si="4"/>
        <v>1038558.8100514413</v>
      </c>
      <c r="AA6" s="28">
        <f t="shared" si="4"/>
        <v>1059353.7462524702</v>
      </c>
      <c r="AB6" s="28">
        <f t="shared" si="4"/>
        <v>1080564.5811775194</v>
      </c>
      <c r="AC6" s="28">
        <f t="shared" si="4"/>
        <v>1102199.6328010699</v>
      </c>
      <c r="AD6" s="28">
        <f t="shared" si="4"/>
        <v>1179436.7670971446</v>
      </c>
      <c r="AE6" s="28">
        <f t="shared" si="4"/>
        <v>1203049.262439088</v>
      </c>
      <c r="AF6" s="28">
        <f t="shared" si="4"/>
        <v>1227134.0076878697</v>
      </c>
      <c r="AG6" s="28">
        <f t="shared" si="4"/>
        <v>1313116.5482260205</v>
      </c>
      <c r="AH6" s="28">
        <f t="shared" si="4"/>
        <v>1339402.6391905406</v>
      </c>
      <c r="AI6" s="28">
        <f t="shared" si="4"/>
        <v>1366214.4519743517</v>
      </c>
      <c r="AJ6" s="28">
        <f t="shared" si="4"/>
        <v>1393562.5010138387</v>
      </c>
      <c r="AK6" s="28">
        <f t="shared" si="4"/>
        <v>1421457.5110341155</v>
      </c>
      <c r="AL6" s="28">
        <f t="shared" si="4"/>
        <v>1521042.6968065037</v>
      </c>
      <c r="AM6" s="28">
        <f t="shared" si="4"/>
        <v>1551487.3107426337</v>
      </c>
      <c r="AN6" s="28">
        <f t="shared" si="4"/>
        <v>1582540.8169574866</v>
      </c>
      <c r="AO6" s="28">
        <f t="shared" si="4"/>
        <v>1614215.3932966362</v>
      </c>
      <c r="AP6" s="28">
        <f t="shared" si="4"/>
        <v>1727293.6308274008</v>
      </c>
      <c r="AQ6" s="28">
        <f t="shared" si="4"/>
        <v>1761863.2634439489</v>
      </c>
      <c r="AR6" s="28">
        <f t="shared" si="4"/>
        <v>1797124.288712828</v>
      </c>
      <c r="AS6" s="28">
        <f t="shared" si="4"/>
        <v>1833090.5344870845</v>
      </c>
      <c r="AT6" s="28">
        <f t="shared" si="4"/>
        <v>1869776.1051768265</v>
      </c>
      <c r="AU6" s="28">
        <f t="shared" si="4"/>
        <v>1907195.3872803629</v>
      </c>
      <c r="AV6" s="28">
        <f t="shared" si="4"/>
        <v>1945363.0550259703</v>
      </c>
      <c r="AW6" s="28">
        <f t="shared" si="4"/>
        <v>1984294.0761264898</v>
      </c>
      <c r="AX6" s="28">
        <f t="shared" ref="AX6:BB6" si="5">AX5-$B$14</f>
        <v>2024003.7176490198</v>
      </c>
      <c r="AY6" s="28">
        <f t="shared" si="5"/>
        <v>2064507.5520020004</v>
      </c>
      <c r="AZ6" s="28">
        <f t="shared" si="5"/>
        <v>2105821.4630420404</v>
      </c>
      <c r="BA6" s="28">
        <f t="shared" si="5"/>
        <v>2147961.6523028817</v>
      </c>
      <c r="BB6" s="28">
        <f t="shared" si="5"/>
        <v>2190944.6453489386</v>
      </c>
      <c r="BI6" s="2">
        <v>43115.433020335215</v>
      </c>
    </row>
    <row r="7" spans="1:61" x14ac:dyDescent="0.2">
      <c r="A7" s="2" t="str">
        <v>Top-bracket State Tax rate (%)</v>
      </c>
      <c r="B7" s="25">
        <v>0.15</v>
      </c>
      <c r="D7" s="2" t="s">
        <v>234</v>
      </c>
      <c r="E7" s="28">
        <f>E6*(1-$B$4)</f>
        <v>464074.63714577735</v>
      </c>
      <c r="F7" s="28">
        <f t="shared" ref="F7:AW7" si="6">F6*(1-$B$4)</f>
        <v>473377.98908869288</v>
      </c>
      <c r="G7" s="28">
        <f t="shared" si="6"/>
        <v>482867.40807046677</v>
      </c>
      <c r="H7" s="28">
        <f t="shared" si="6"/>
        <v>519075.19114001689</v>
      </c>
      <c r="I7" s="28">
        <f t="shared" si="6"/>
        <v>529478.55416281731</v>
      </c>
      <c r="J7" s="28">
        <f t="shared" si="6"/>
        <v>540089.98444607377</v>
      </c>
      <c r="K7" s="28">
        <f t="shared" si="6"/>
        <v>550913.64333499514</v>
      </c>
      <c r="L7" s="28">
        <f t="shared" si="6"/>
        <v>592212.34600810846</v>
      </c>
      <c r="M7" s="28">
        <f t="shared" si="6"/>
        <v>604078.45212827076</v>
      </c>
      <c r="N7" s="28">
        <f t="shared" si="6"/>
        <v>616181.88037083624</v>
      </c>
      <c r="O7" s="28">
        <f t="shared" si="6"/>
        <v>628527.37717825302</v>
      </c>
      <c r="P7" s="28">
        <f t="shared" si="6"/>
        <v>675632.79755723709</v>
      </c>
      <c r="Q7" s="28">
        <f t="shared" si="6"/>
        <v>689167.31270838203</v>
      </c>
      <c r="R7" s="28">
        <f t="shared" si="6"/>
        <v>702972.51816254959</v>
      </c>
      <c r="S7" s="28">
        <f t="shared" si="6"/>
        <v>755647.59608619672</v>
      </c>
      <c r="T7" s="28">
        <f t="shared" si="6"/>
        <v>770782.4072079208</v>
      </c>
      <c r="U7" s="28">
        <f t="shared" si="6"/>
        <v>786219.91455207905</v>
      </c>
      <c r="V7" s="28">
        <f t="shared" si="6"/>
        <v>841331.81577072467</v>
      </c>
      <c r="W7" s="28">
        <f t="shared" si="6"/>
        <v>858180.31128613907</v>
      </c>
      <c r="X7" s="28">
        <f t="shared" si="6"/>
        <v>875365.77671186195</v>
      </c>
      <c r="Y7" s="28">
        <f t="shared" si="6"/>
        <v>892894.95144609921</v>
      </c>
      <c r="Z7" s="28">
        <f t="shared" si="6"/>
        <v>955474.10524732608</v>
      </c>
      <c r="AA7" s="28">
        <f t="shared" si="6"/>
        <v>974605.44655227265</v>
      </c>
      <c r="AB7" s="28">
        <f t="shared" si="6"/>
        <v>994119.41468331788</v>
      </c>
      <c r="AC7" s="28">
        <f t="shared" si="6"/>
        <v>1014023.6621769844</v>
      </c>
      <c r="AD7" s="28">
        <f t="shared" si="6"/>
        <v>1085081.8257293731</v>
      </c>
      <c r="AE7" s="28">
        <f t="shared" si="6"/>
        <v>1106805.321443961</v>
      </c>
      <c r="AF7" s="28">
        <f t="shared" si="6"/>
        <v>1128963.2870728401</v>
      </c>
      <c r="AG7" s="28">
        <f t="shared" si="6"/>
        <v>1208067.2243679389</v>
      </c>
      <c r="AH7" s="28">
        <f t="shared" si="6"/>
        <v>1232250.4280552974</v>
      </c>
      <c r="AI7" s="28">
        <f t="shared" si="6"/>
        <v>1256917.2958164036</v>
      </c>
      <c r="AJ7" s="28">
        <f t="shared" si="6"/>
        <v>1282077.5009327317</v>
      </c>
      <c r="AK7" s="28">
        <f t="shared" si="6"/>
        <v>1307740.9101513862</v>
      </c>
      <c r="AL7" s="28">
        <f t="shared" si="6"/>
        <v>1399359.2810619834</v>
      </c>
      <c r="AM7" s="28">
        <f t="shared" si="6"/>
        <v>1427368.325883223</v>
      </c>
      <c r="AN7" s="28">
        <f t="shared" si="6"/>
        <v>1455937.5516008877</v>
      </c>
      <c r="AO7" s="28">
        <f t="shared" si="6"/>
        <v>1485078.1618329054</v>
      </c>
      <c r="AP7" s="28">
        <f t="shared" si="6"/>
        <v>1589110.1403612089</v>
      </c>
      <c r="AQ7" s="28">
        <f t="shared" si="6"/>
        <v>1620914.2023684331</v>
      </c>
      <c r="AR7" s="28">
        <f t="shared" si="6"/>
        <v>1653354.3456158019</v>
      </c>
      <c r="AS7" s="28">
        <f t="shared" si="6"/>
        <v>1686443.2917281177</v>
      </c>
      <c r="AT7" s="28">
        <f t="shared" si="6"/>
        <v>1720194.0167626804</v>
      </c>
      <c r="AU7" s="28">
        <f t="shared" si="6"/>
        <v>1754619.7562979339</v>
      </c>
      <c r="AV7" s="28">
        <f t="shared" si="6"/>
        <v>1789734.0106238928</v>
      </c>
      <c r="AW7" s="28">
        <f t="shared" si="6"/>
        <v>1825550.5500363708</v>
      </c>
      <c r="AX7" s="28">
        <f t="shared" ref="AX7:BB7" si="7">AX6*(1-$B$4)</f>
        <v>1862083.4202370984</v>
      </c>
      <c r="AY7" s="28">
        <f t="shared" si="7"/>
        <v>1899346.9478418403</v>
      </c>
      <c r="AZ7" s="28">
        <f t="shared" si="7"/>
        <v>1937355.7459986771</v>
      </c>
      <c r="BA7" s="28">
        <f t="shared" si="7"/>
        <v>1976124.7201186512</v>
      </c>
      <c r="BB7" s="28">
        <f t="shared" si="7"/>
        <v>2015669.0737210237</v>
      </c>
      <c r="BI7" s="2">
        <v>43816.453933248587</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46319.098592349321</v>
      </c>
    </row>
    <row r="9" spans="1:61" x14ac:dyDescent="0.2">
      <c r="A9" s="2" t="str">
        <v>Municipal Tax (%)</v>
      </c>
      <c r="B9" s="25">
        <v>0.25</v>
      </c>
      <c r="D9" s="2" t="s">
        <v>235</v>
      </c>
      <c r="E9" s="28">
        <f t="shared" ref="E9:AW9" si="9">E7-E8</f>
        <v>412474.63714577735</v>
      </c>
      <c r="F9" s="28">
        <f t="shared" si="9"/>
        <v>421777.98908869288</v>
      </c>
      <c r="G9" s="28">
        <f t="shared" si="9"/>
        <v>431267.40807046677</v>
      </c>
      <c r="H9" s="28">
        <f t="shared" si="9"/>
        <v>467475.19114001689</v>
      </c>
      <c r="I9" s="28">
        <f t="shared" si="9"/>
        <v>477878.55416281731</v>
      </c>
      <c r="J9" s="28">
        <f t="shared" si="9"/>
        <v>488489.98444607377</v>
      </c>
      <c r="K9" s="28">
        <f t="shared" si="9"/>
        <v>499313.64333499514</v>
      </c>
      <c r="L9" s="28">
        <f t="shared" si="9"/>
        <v>540612.34600810846</v>
      </c>
      <c r="M9" s="28">
        <f t="shared" si="9"/>
        <v>552478.45212827076</v>
      </c>
      <c r="N9" s="28">
        <f t="shared" si="9"/>
        <v>564581.88037083624</v>
      </c>
      <c r="O9" s="28">
        <f t="shared" si="9"/>
        <v>576927.37717825302</v>
      </c>
      <c r="P9" s="28">
        <f t="shared" si="9"/>
        <v>624032.79755723709</v>
      </c>
      <c r="Q9" s="28">
        <f t="shared" si="9"/>
        <v>637567.31270838203</v>
      </c>
      <c r="R9" s="28">
        <f t="shared" si="9"/>
        <v>651372.51816254959</v>
      </c>
      <c r="S9" s="28">
        <f t="shared" si="9"/>
        <v>704047.59608619672</v>
      </c>
      <c r="T9" s="28">
        <f t="shared" si="9"/>
        <v>719182.4072079208</v>
      </c>
      <c r="U9" s="28">
        <f t="shared" si="9"/>
        <v>734619.91455207905</v>
      </c>
      <c r="V9" s="28">
        <f t="shared" si="9"/>
        <v>789731.81577072467</v>
      </c>
      <c r="W9" s="28">
        <f t="shared" si="9"/>
        <v>806580.31128613907</v>
      </c>
      <c r="X9" s="28">
        <f t="shared" si="9"/>
        <v>823765.77671186195</v>
      </c>
      <c r="Y9" s="28">
        <f t="shared" si="9"/>
        <v>841294.95144609921</v>
      </c>
      <c r="Z9" s="28">
        <f t="shared" si="9"/>
        <v>903874.10524732608</v>
      </c>
      <c r="AA9" s="28">
        <f t="shared" si="9"/>
        <v>923005.44655227265</v>
      </c>
      <c r="AB9" s="28">
        <f t="shared" si="9"/>
        <v>942519.41468331788</v>
      </c>
      <c r="AC9" s="28">
        <f t="shared" si="9"/>
        <v>962423.66217698436</v>
      </c>
      <c r="AD9" s="28">
        <f t="shared" si="9"/>
        <v>1033481.8257293731</v>
      </c>
      <c r="AE9" s="28">
        <f t="shared" si="9"/>
        <v>1055205.321443961</v>
      </c>
      <c r="AF9" s="28">
        <f t="shared" si="9"/>
        <v>1077363.2870728401</v>
      </c>
      <c r="AG9" s="28">
        <f t="shared" si="9"/>
        <v>1156467.2243679389</v>
      </c>
      <c r="AH9" s="28">
        <f t="shared" si="9"/>
        <v>1180650.4280552974</v>
      </c>
      <c r="AI9" s="28">
        <f t="shared" si="9"/>
        <v>1205317.2958164036</v>
      </c>
      <c r="AJ9" s="28">
        <f t="shared" si="9"/>
        <v>1230477.5009327317</v>
      </c>
      <c r="AK9" s="28">
        <f t="shared" si="9"/>
        <v>1256140.9101513862</v>
      </c>
      <c r="AL9" s="28">
        <f t="shared" si="9"/>
        <v>1347759.2810619834</v>
      </c>
      <c r="AM9" s="28">
        <f t="shared" si="9"/>
        <v>1375768.325883223</v>
      </c>
      <c r="AN9" s="28">
        <f t="shared" si="9"/>
        <v>1404337.5516008877</v>
      </c>
      <c r="AO9" s="28">
        <f t="shared" si="9"/>
        <v>1433478.1618329054</v>
      </c>
      <c r="AP9" s="28">
        <f t="shared" si="9"/>
        <v>1537510.1403612089</v>
      </c>
      <c r="AQ9" s="28">
        <f t="shared" si="9"/>
        <v>1569314.2023684331</v>
      </c>
      <c r="AR9" s="28">
        <f t="shared" si="9"/>
        <v>1601754.3456158019</v>
      </c>
      <c r="AS9" s="28">
        <f t="shared" si="9"/>
        <v>1634843.2917281177</v>
      </c>
      <c r="AT9" s="28">
        <f t="shared" si="9"/>
        <v>1668594.0167626804</v>
      </c>
      <c r="AU9" s="28">
        <f t="shared" si="9"/>
        <v>1703019.7562979339</v>
      </c>
      <c r="AV9" s="28">
        <f t="shared" si="9"/>
        <v>1738134.0106238928</v>
      </c>
      <c r="AW9" s="28">
        <f t="shared" si="9"/>
        <v>1773950.5500363708</v>
      </c>
      <c r="AX9" s="28">
        <f t="shared" ref="AX9:BB9" si="10">AX7-AX8</f>
        <v>1810483.4202370984</v>
      </c>
      <c r="AY9" s="28">
        <f t="shared" si="10"/>
        <v>1847746.9478418403</v>
      </c>
      <c r="AZ9" s="28">
        <f t="shared" si="10"/>
        <v>1885755.7459986771</v>
      </c>
      <c r="BA9" s="28">
        <f t="shared" si="10"/>
        <v>1924524.7201186512</v>
      </c>
      <c r="BB9" s="28">
        <f t="shared" si="10"/>
        <v>1964069.0737210237</v>
      </c>
      <c r="BI9" s="2">
        <v>47084.192816702969</v>
      </c>
    </row>
    <row r="10" spans="1:61" x14ac:dyDescent="0.2">
      <c r="A10" s="2" t="str">
        <v>Capital Gains &lt; 67,500DKK</v>
      </c>
      <c r="B10" s="28">
        <v>0.27</v>
      </c>
      <c r="D10" s="2" t="s">
        <v>189</v>
      </c>
      <c r="E10" s="28">
        <f t="shared" ref="E10:AW10" si="11">E7*$B$9</f>
        <v>116018.65928644434</v>
      </c>
      <c r="F10" s="28">
        <f t="shared" si="11"/>
        <v>118344.49727217322</v>
      </c>
      <c r="G10" s="28">
        <f t="shared" si="11"/>
        <v>120716.85201761669</v>
      </c>
      <c r="H10" s="28">
        <f t="shared" si="11"/>
        <v>129768.79778500422</v>
      </c>
      <c r="I10" s="28">
        <f t="shared" si="11"/>
        <v>132369.63854070433</v>
      </c>
      <c r="J10" s="28">
        <f t="shared" si="11"/>
        <v>135022.49611151844</v>
      </c>
      <c r="K10" s="28">
        <f t="shared" si="11"/>
        <v>137728.41083374879</v>
      </c>
      <c r="L10" s="28">
        <f t="shared" si="11"/>
        <v>148053.08650202712</v>
      </c>
      <c r="M10" s="28">
        <f t="shared" si="11"/>
        <v>151019.61303206769</v>
      </c>
      <c r="N10" s="28">
        <f t="shared" si="11"/>
        <v>154045.47009270906</v>
      </c>
      <c r="O10" s="28">
        <f t="shared" si="11"/>
        <v>157131.84429456326</v>
      </c>
      <c r="P10" s="28">
        <f t="shared" si="11"/>
        <v>168908.19938930927</v>
      </c>
      <c r="Q10" s="28">
        <f t="shared" si="11"/>
        <v>172291.82817709551</v>
      </c>
      <c r="R10" s="28">
        <f t="shared" si="11"/>
        <v>175743.1295406374</v>
      </c>
      <c r="S10" s="28">
        <f t="shared" si="11"/>
        <v>188911.89902154918</v>
      </c>
      <c r="T10" s="28">
        <f t="shared" si="11"/>
        <v>192695.6018019802</v>
      </c>
      <c r="U10" s="28">
        <f t="shared" si="11"/>
        <v>196554.97863801976</v>
      </c>
      <c r="V10" s="28">
        <f t="shared" si="11"/>
        <v>210332.95394268117</v>
      </c>
      <c r="W10" s="28">
        <f t="shared" si="11"/>
        <v>214545.07782153477</v>
      </c>
      <c r="X10" s="28">
        <f t="shared" si="11"/>
        <v>218841.44417796549</v>
      </c>
      <c r="Y10" s="28">
        <f t="shared" si="11"/>
        <v>223223.7378615248</v>
      </c>
      <c r="Z10" s="28">
        <f t="shared" si="11"/>
        <v>238868.52631183152</v>
      </c>
      <c r="AA10" s="28">
        <f t="shared" si="11"/>
        <v>243651.36163806816</v>
      </c>
      <c r="AB10" s="28">
        <f t="shared" si="11"/>
        <v>248529.85367082947</v>
      </c>
      <c r="AC10" s="28">
        <f t="shared" si="11"/>
        <v>253505.91554424609</v>
      </c>
      <c r="AD10" s="28">
        <f t="shared" si="11"/>
        <v>271270.45643234329</v>
      </c>
      <c r="AE10" s="28">
        <f t="shared" si="11"/>
        <v>276701.33036099025</v>
      </c>
      <c r="AF10" s="28">
        <f t="shared" si="11"/>
        <v>282240.82176821004</v>
      </c>
      <c r="AG10" s="28">
        <f t="shared" si="11"/>
        <v>302016.80609198473</v>
      </c>
      <c r="AH10" s="28">
        <f t="shared" si="11"/>
        <v>308062.60701382434</v>
      </c>
      <c r="AI10" s="28">
        <f t="shared" si="11"/>
        <v>314229.3239541009</v>
      </c>
      <c r="AJ10" s="28">
        <f t="shared" si="11"/>
        <v>320519.37523318292</v>
      </c>
      <c r="AK10" s="28">
        <f t="shared" si="11"/>
        <v>326935.22753784654</v>
      </c>
      <c r="AL10" s="28">
        <f t="shared" si="11"/>
        <v>349839.82026549586</v>
      </c>
      <c r="AM10" s="28">
        <f t="shared" si="11"/>
        <v>356842.08147080574</v>
      </c>
      <c r="AN10" s="28">
        <f t="shared" si="11"/>
        <v>363984.38790022192</v>
      </c>
      <c r="AO10" s="28">
        <f t="shared" si="11"/>
        <v>371269.54045822634</v>
      </c>
      <c r="AP10" s="28">
        <f t="shared" si="11"/>
        <v>397277.53509030223</v>
      </c>
      <c r="AQ10" s="28">
        <f t="shared" si="11"/>
        <v>405228.55059210828</v>
      </c>
      <c r="AR10" s="28">
        <f t="shared" si="11"/>
        <v>413338.58640395047</v>
      </c>
      <c r="AS10" s="28">
        <f t="shared" si="11"/>
        <v>421610.82293202943</v>
      </c>
      <c r="AT10" s="28">
        <f t="shared" si="11"/>
        <v>430048.50419067009</v>
      </c>
      <c r="AU10" s="28">
        <f t="shared" si="11"/>
        <v>438654.93907448347</v>
      </c>
      <c r="AV10" s="28">
        <f t="shared" si="11"/>
        <v>447433.50265597319</v>
      </c>
      <c r="AW10" s="28">
        <f t="shared" si="11"/>
        <v>456387.63750909269</v>
      </c>
      <c r="AX10" s="28">
        <f t="shared" ref="AX10:BB10" si="12">AX7*$B$9</f>
        <v>465520.85505927459</v>
      </c>
      <c r="AY10" s="28">
        <f t="shared" si="12"/>
        <v>474836.73696046008</v>
      </c>
      <c r="AZ10" s="28">
        <f t="shared" si="12"/>
        <v>484338.93649966927</v>
      </c>
      <c r="BA10" s="28">
        <f t="shared" si="12"/>
        <v>494031.18002966279</v>
      </c>
      <c r="BB10" s="28">
        <f t="shared" si="12"/>
        <v>503917.26843025594</v>
      </c>
      <c r="BI10" s="2">
        <v>47864.588925543685</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844.91963358556382</v>
      </c>
      <c r="Q11" s="28">
        <f t="shared" si="13"/>
        <v>2875.0969062573045</v>
      </c>
      <c r="R11" s="28">
        <f t="shared" si="13"/>
        <v>4945.8777243824379</v>
      </c>
      <c r="S11" s="28">
        <f t="shared" si="13"/>
        <v>12847.139412929508</v>
      </c>
      <c r="T11" s="28">
        <f t="shared" si="13"/>
        <v>15117.361081188119</v>
      </c>
      <c r="U11" s="28">
        <f t="shared" si="13"/>
        <v>17432.987182811856</v>
      </c>
      <c r="V11" s="28">
        <f t="shared" si="13"/>
        <v>25699.7723656087</v>
      </c>
      <c r="W11" s="28">
        <f t="shared" si="13"/>
        <v>28227.04669292086</v>
      </c>
      <c r="X11" s="28">
        <f t="shared" si="13"/>
        <v>30804.86650677929</v>
      </c>
      <c r="Y11" s="28">
        <f t="shared" si="13"/>
        <v>33434.24271691488</v>
      </c>
      <c r="Z11" s="28">
        <f t="shared" si="13"/>
        <v>42821.115787098912</v>
      </c>
      <c r="AA11" s="28">
        <f t="shared" si="13"/>
        <v>45690.816982840894</v>
      </c>
      <c r="AB11" s="28">
        <f t="shared" si="13"/>
        <v>48617.912202497682</v>
      </c>
      <c r="AC11" s="28">
        <f t="shared" si="13"/>
        <v>51603.549326547654</v>
      </c>
      <c r="AD11" s="28">
        <f t="shared" si="13"/>
        <v>62262.27385940597</v>
      </c>
      <c r="AE11" s="28">
        <f t="shared" si="13"/>
        <v>65520.79821659415</v>
      </c>
      <c r="AF11" s="28">
        <f t="shared" si="13"/>
        <v>68844.493060926019</v>
      </c>
      <c r="AG11" s="28">
        <f t="shared" si="13"/>
        <v>80710.083655190843</v>
      </c>
      <c r="AH11" s="28">
        <f t="shared" si="13"/>
        <v>84337.5642082946</v>
      </c>
      <c r="AI11" s="28">
        <f t="shared" si="13"/>
        <v>88037.594372460531</v>
      </c>
      <c r="AJ11" s="28">
        <f t="shared" si="13"/>
        <v>91811.625139909753</v>
      </c>
      <c r="AK11" s="28">
        <f t="shared" si="13"/>
        <v>95661.136522707922</v>
      </c>
      <c r="AL11" s="28">
        <f t="shared" si="13"/>
        <v>109403.89215929751</v>
      </c>
      <c r="AM11" s="28">
        <f t="shared" si="13"/>
        <v>113605.24888248344</v>
      </c>
      <c r="AN11" s="28">
        <f t="shared" si="13"/>
        <v>117890.63274013315</v>
      </c>
      <c r="AO11" s="28">
        <f t="shared" si="13"/>
        <v>122261.7242749358</v>
      </c>
      <c r="AP11" s="28">
        <f t="shared" si="13"/>
        <v>137866.52105418133</v>
      </c>
      <c r="AQ11" s="28">
        <f t="shared" si="13"/>
        <v>142637.13035526496</v>
      </c>
      <c r="AR11" s="28">
        <f t="shared" si="13"/>
        <v>147503.15184237028</v>
      </c>
      <c r="AS11" s="28">
        <f t="shared" si="13"/>
        <v>152466.49375921764</v>
      </c>
      <c r="AT11" s="28">
        <f t="shared" si="13"/>
        <v>157529.10251440204</v>
      </c>
      <c r="AU11" s="28">
        <f t="shared" si="13"/>
        <v>162692.96344469007</v>
      </c>
      <c r="AV11" s="28">
        <f t="shared" si="13"/>
        <v>167960.10159358391</v>
      </c>
      <c r="AW11" s="28">
        <f t="shared" si="13"/>
        <v>173332.58250545562</v>
      </c>
      <c r="AX11" s="28">
        <f t="shared" ref="AX11:BB11" si="14">MAX(AX9-$B$8,0)*$B$7</f>
        <v>178812.51303556474</v>
      </c>
      <c r="AY11" s="28">
        <f t="shared" si="14"/>
        <v>184402.04217627604</v>
      </c>
      <c r="AZ11" s="28">
        <f t="shared" si="14"/>
        <v>190103.36189980156</v>
      </c>
      <c r="BA11" s="28">
        <f t="shared" si="14"/>
        <v>195918.70801779767</v>
      </c>
      <c r="BB11" s="28">
        <f t="shared" si="14"/>
        <v>201850.36105815356</v>
      </c>
      <c r="BI11" s="2">
        <v>48660.592956561224</v>
      </c>
    </row>
    <row r="12" spans="1:61" x14ac:dyDescent="0.2">
      <c r="A12" s="2" t="str">
        <v>Capital Gains Threshold</v>
      </c>
      <c r="B12" s="53">
        <v>67500</v>
      </c>
      <c r="D12" s="2" t="s">
        <v>191</v>
      </c>
      <c r="E12" s="28">
        <f t="shared" ref="E12:AW12" si="15">E9*$B$6</f>
        <v>49538.20392120786</v>
      </c>
      <c r="F12" s="28">
        <f t="shared" si="15"/>
        <v>50655.536489552011</v>
      </c>
      <c r="G12" s="28">
        <f t="shared" si="15"/>
        <v>51795.215709263059</v>
      </c>
      <c r="H12" s="28">
        <f t="shared" si="15"/>
        <v>56143.770455916027</v>
      </c>
      <c r="I12" s="28">
        <f t="shared" si="15"/>
        <v>57393.214354954362</v>
      </c>
      <c r="J12" s="28">
        <f t="shared" si="15"/>
        <v>58667.647131973456</v>
      </c>
      <c r="K12" s="28">
        <f t="shared" si="15"/>
        <v>59967.568564532914</v>
      </c>
      <c r="L12" s="28">
        <f t="shared" si="15"/>
        <v>64927.542755573828</v>
      </c>
      <c r="M12" s="28">
        <f t="shared" si="15"/>
        <v>66352.662100605317</v>
      </c>
      <c r="N12" s="28">
        <f t="shared" si="15"/>
        <v>67806.283832537432</v>
      </c>
      <c r="O12" s="28">
        <f t="shared" si="15"/>
        <v>69288.977999108189</v>
      </c>
      <c r="P12" s="28">
        <f t="shared" si="15"/>
        <v>74946.338986624178</v>
      </c>
      <c r="Q12" s="28">
        <f t="shared" si="15"/>
        <v>76571.834256276677</v>
      </c>
      <c r="R12" s="28">
        <f t="shared" si="15"/>
        <v>78229.839431322209</v>
      </c>
      <c r="S12" s="28">
        <f t="shared" si="15"/>
        <v>84556.116289952231</v>
      </c>
      <c r="T12" s="28">
        <f t="shared" si="15"/>
        <v>86373.80710567128</v>
      </c>
      <c r="U12" s="28">
        <f t="shared" si="15"/>
        <v>88227.851737704696</v>
      </c>
      <c r="V12" s="28">
        <f t="shared" si="15"/>
        <v>94846.791074064036</v>
      </c>
      <c r="W12" s="28">
        <f t="shared" si="15"/>
        <v>96870.295385465302</v>
      </c>
      <c r="X12" s="28">
        <f t="shared" si="15"/>
        <v>98934.269783094613</v>
      </c>
      <c r="Y12" s="28">
        <f t="shared" si="15"/>
        <v>101039.52366867651</v>
      </c>
      <c r="Z12" s="28">
        <f t="shared" si="15"/>
        <v>108555.28004020386</v>
      </c>
      <c r="AA12" s="28">
        <f t="shared" si="15"/>
        <v>110852.95413092794</v>
      </c>
      <c r="AB12" s="28">
        <f t="shared" si="15"/>
        <v>113196.58170346648</v>
      </c>
      <c r="AC12" s="28">
        <f t="shared" si="15"/>
        <v>115587.08182745583</v>
      </c>
      <c r="AD12" s="28">
        <f t="shared" si="15"/>
        <v>124121.16727009771</v>
      </c>
      <c r="AE12" s="28">
        <f t="shared" si="15"/>
        <v>126730.15910541972</v>
      </c>
      <c r="AF12" s="28">
        <f t="shared" si="15"/>
        <v>129391.33077744809</v>
      </c>
      <c r="AG12" s="28">
        <f t="shared" si="15"/>
        <v>138891.71364658946</v>
      </c>
      <c r="AH12" s="28">
        <f t="shared" si="15"/>
        <v>141796.11640944122</v>
      </c>
      <c r="AI12" s="28">
        <f t="shared" si="15"/>
        <v>144758.60722755006</v>
      </c>
      <c r="AJ12" s="28">
        <f t="shared" si="15"/>
        <v>147780.34786202107</v>
      </c>
      <c r="AK12" s="28">
        <f t="shared" si="15"/>
        <v>150862.52330918147</v>
      </c>
      <c r="AL12" s="28">
        <f t="shared" si="15"/>
        <v>161865.88965554422</v>
      </c>
      <c r="AM12" s="28">
        <f t="shared" si="15"/>
        <v>165229.77593857507</v>
      </c>
      <c r="AN12" s="28">
        <f t="shared" si="15"/>
        <v>168660.9399472666</v>
      </c>
      <c r="AO12" s="28">
        <f t="shared" si="15"/>
        <v>172160.72723613193</v>
      </c>
      <c r="AP12" s="28">
        <f t="shared" si="15"/>
        <v>184654.96785738118</v>
      </c>
      <c r="AQ12" s="28">
        <f t="shared" si="15"/>
        <v>188474.63570444882</v>
      </c>
      <c r="AR12" s="28">
        <f t="shared" si="15"/>
        <v>192370.69690845782</v>
      </c>
      <c r="AS12" s="28">
        <f t="shared" si="15"/>
        <v>196344.67933654695</v>
      </c>
      <c r="AT12" s="28">
        <f t="shared" si="15"/>
        <v>200398.14141319791</v>
      </c>
      <c r="AU12" s="28">
        <f t="shared" si="15"/>
        <v>204532.67273138184</v>
      </c>
      <c r="AV12" s="28">
        <f t="shared" si="15"/>
        <v>208749.89467592951</v>
      </c>
      <c r="AW12" s="28">
        <f t="shared" si="15"/>
        <v>213051.46105936813</v>
      </c>
      <c r="AX12" s="28">
        <f t="shared" ref="AX12:BB12" si="16">AX9*$B$6</f>
        <v>217439.0587704755</v>
      </c>
      <c r="AY12" s="28">
        <f t="shared" si="16"/>
        <v>221914.40843580503</v>
      </c>
      <c r="AZ12" s="28">
        <f t="shared" si="16"/>
        <v>226479.26509444113</v>
      </c>
      <c r="BA12" s="28">
        <f t="shared" si="16"/>
        <v>231135.41888625</v>
      </c>
      <c r="BB12" s="28">
        <f t="shared" si="16"/>
        <v>235884.69575389495</v>
      </c>
      <c r="BI12" s="2">
        <v>51502.327347293845</v>
      </c>
    </row>
    <row r="13" spans="1:61" x14ac:dyDescent="0.2">
      <c r="A13" s="2" t="s">
        <v>254</v>
      </c>
      <c r="B13" s="58">
        <v>99</v>
      </c>
      <c r="D13" s="2" t="s">
        <v>192</v>
      </c>
      <c r="E13" s="28">
        <f t="shared" ref="E13:AW13" si="17">SUM(E10:E12)</f>
        <v>165556.8632076522</v>
      </c>
      <c r="F13" s="28">
        <f t="shared" si="17"/>
        <v>169000.03376172524</v>
      </c>
      <c r="G13" s="28">
        <f t="shared" si="17"/>
        <v>172512.06772687976</v>
      </c>
      <c r="H13" s="28">
        <f t="shared" si="17"/>
        <v>185912.56824092026</v>
      </c>
      <c r="I13" s="28">
        <f t="shared" si="17"/>
        <v>189762.8528956587</v>
      </c>
      <c r="J13" s="28">
        <f t="shared" si="17"/>
        <v>193690.14324349188</v>
      </c>
      <c r="K13" s="28">
        <f t="shared" si="17"/>
        <v>197695.97939828169</v>
      </c>
      <c r="L13" s="28">
        <f t="shared" si="17"/>
        <v>212980.62925760093</v>
      </c>
      <c r="M13" s="28">
        <f t="shared" si="17"/>
        <v>217372.27513267301</v>
      </c>
      <c r="N13" s="28">
        <f t="shared" si="17"/>
        <v>221851.75392524648</v>
      </c>
      <c r="O13" s="28">
        <f t="shared" si="17"/>
        <v>226420.82229367143</v>
      </c>
      <c r="P13" s="28">
        <f t="shared" si="17"/>
        <v>244699.458009519</v>
      </c>
      <c r="Q13" s="28">
        <f t="shared" si="17"/>
        <v>251738.7593396295</v>
      </c>
      <c r="R13" s="28">
        <f t="shared" si="17"/>
        <v>258918.84669634205</v>
      </c>
      <c r="S13" s="28">
        <f t="shared" si="17"/>
        <v>286315.15472443093</v>
      </c>
      <c r="T13" s="28">
        <f t="shared" si="17"/>
        <v>294186.76998883957</v>
      </c>
      <c r="U13" s="28">
        <f t="shared" si="17"/>
        <v>302215.81755853631</v>
      </c>
      <c r="V13" s="28">
        <f t="shared" si="17"/>
        <v>330879.51738235389</v>
      </c>
      <c r="W13" s="28">
        <f t="shared" si="17"/>
        <v>339642.41989992093</v>
      </c>
      <c r="X13" s="28">
        <f t="shared" si="17"/>
        <v>348580.58046783938</v>
      </c>
      <c r="Y13" s="28">
        <f t="shared" si="17"/>
        <v>357697.50424711622</v>
      </c>
      <c r="Z13" s="28">
        <f t="shared" si="17"/>
        <v>390244.92213913426</v>
      </c>
      <c r="AA13" s="28">
        <f t="shared" si="17"/>
        <v>400195.13275183702</v>
      </c>
      <c r="AB13" s="28">
        <f t="shared" si="17"/>
        <v>410344.34757679363</v>
      </c>
      <c r="AC13" s="28">
        <f t="shared" si="17"/>
        <v>420696.54669824959</v>
      </c>
      <c r="AD13" s="28">
        <f t="shared" si="17"/>
        <v>457653.89756184694</v>
      </c>
      <c r="AE13" s="28">
        <f t="shared" si="17"/>
        <v>468952.28768300411</v>
      </c>
      <c r="AF13" s="28">
        <f t="shared" si="17"/>
        <v>480476.64560658415</v>
      </c>
      <c r="AG13" s="28">
        <f t="shared" si="17"/>
        <v>521618.60339376505</v>
      </c>
      <c r="AH13" s="28">
        <f t="shared" si="17"/>
        <v>534196.28763156012</v>
      </c>
      <c r="AI13" s="28">
        <f t="shared" si="17"/>
        <v>547025.52555411146</v>
      </c>
      <c r="AJ13" s="28">
        <f t="shared" si="17"/>
        <v>560111.34823511378</v>
      </c>
      <c r="AK13" s="28">
        <f t="shared" si="17"/>
        <v>573458.88736973598</v>
      </c>
      <c r="AL13" s="28">
        <f t="shared" si="17"/>
        <v>621109.60208033759</v>
      </c>
      <c r="AM13" s="28">
        <f t="shared" si="17"/>
        <v>635677.1062918643</v>
      </c>
      <c r="AN13" s="28">
        <f t="shared" si="17"/>
        <v>650535.96058762167</v>
      </c>
      <c r="AO13" s="28">
        <f t="shared" si="17"/>
        <v>665691.99196929403</v>
      </c>
      <c r="AP13" s="28">
        <f t="shared" si="17"/>
        <v>719799.02400186483</v>
      </c>
      <c r="AQ13" s="28">
        <f t="shared" si="17"/>
        <v>736340.31665182207</v>
      </c>
      <c r="AR13" s="28">
        <f t="shared" si="17"/>
        <v>753212.43515477853</v>
      </c>
      <c r="AS13" s="28">
        <f t="shared" si="17"/>
        <v>770421.99602779397</v>
      </c>
      <c r="AT13" s="28">
        <f t="shared" si="17"/>
        <v>787975.74811826996</v>
      </c>
      <c r="AU13" s="28">
        <f t="shared" si="17"/>
        <v>805880.57525055541</v>
      </c>
      <c r="AV13" s="28">
        <f t="shared" si="17"/>
        <v>824143.49892548658</v>
      </c>
      <c r="AW13" s="28">
        <f t="shared" si="17"/>
        <v>842771.68107391638</v>
      </c>
      <c r="AX13" s="28">
        <f t="shared" ref="AX13:BB13" si="18">SUM(AX10:AX12)</f>
        <v>861772.42686531483</v>
      </c>
      <c r="AY13" s="28">
        <f t="shared" si="18"/>
        <v>881153.18757254118</v>
      </c>
      <c r="AZ13" s="28">
        <f t="shared" si="18"/>
        <v>900921.56349391199</v>
      </c>
      <c r="BA13" s="28">
        <f t="shared" si="18"/>
        <v>921085.30693371047</v>
      </c>
      <c r="BB13" s="28">
        <f t="shared" si="18"/>
        <v>941652.32524230448</v>
      </c>
      <c r="BI13" s="2">
        <v>52371.086146746413</v>
      </c>
    </row>
    <row r="14" spans="1:61" x14ac:dyDescent="0.2">
      <c r="A14" s="2" t="s">
        <v>255</v>
      </c>
      <c r="B14" s="28">
        <f>B13*12</f>
        <v>1188</v>
      </c>
      <c r="D14" s="2" t="s">
        <v>193</v>
      </c>
      <c r="E14" s="28">
        <f>E7-E13</f>
        <v>298517.77393812512</v>
      </c>
      <c r="F14" s="28">
        <f t="shared" ref="F14:AW14" si="19">F7-F13</f>
        <v>304377.95532696764</v>
      </c>
      <c r="G14" s="28">
        <f t="shared" si="19"/>
        <v>310355.34034358698</v>
      </c>
      <c r="H14" s="28">
        <f t="shared" si="19"/>
        <v>333162.62289909663</v>
      </c>
      <c r="I14" s="28">
        <f t="shared" si="19"/>
        <v>339715.70126715861</v>
      </c>
      <c r="J14" s="28">
        <f t="shared" si="19"/>
        <v>346399.84120258188</v>
      </c>
      <c r="K14" s="28">
        <f t="shared" si="19"/>
        <v>353217.66393671348</v>
      </c>
      <c r="L14" s="28">
        <f t="shared" si="19"/>
        <v>379231.71675050753</v>
      </c>
      <c r="M14" s="28">
        <f t="shared" si="19"/>
        <v>386706.17699559778</v>
      </c>
      <c r="N14" s="28">
        <f t="shared" si="19"/>
        <v>394330.12644558976</v>
      </c>
      <c r="O14" s="28">
        <f t="shared" si="19"/>
        <v>402106.55488458159</v>
      </c>
      <c r="P14" s="28">
        <f t="shared" si="19"/>
        <v>430933.33954771806</v>
      </c>
      <c r="Q14" s="28">
        <f t="shared" si="19"/>
        <v>437428.55336875253</v>
      </c>
      <c r="R14" s="28">
        <f t="shared" si="19"/>
        <v>444053.67146620754</v>
      </c>
      <c r="S14" s="28">
        <f t="shared" si="19"/>
        <v>469332.44136176578</v>
      </c>
      <c r="T14" s="28">
        <f t="shared" si="19"/>
        <v>476595.63721908123</v>
      </c>
      <c r="U14" s="28">
        <f t="shared" si="19"/>
        <v>484004.09699354274</v>
      </c>
      <c r="V14" s="28">
        <f t="shared" si="19"/>
        <v>510452.29838837078</v>
      </c>
      <c r="W14" s="28">
        <f t="shared" si="19"/>
        <v>518537.89138621814</v>
      </c>
      <c r="X14" s="28">
        <f t="shared" si="19"/>
        <v>526785.19624402258</v>
      </c>
      <c r="Y14" s="28">
        <f t="shared" si="19"/>
        <v>535197.44719898305</v>
      </c>
      <c r="Z14" s="28">
        <f t="shared" si="19"/>
        <v>565229.18310819182</v>
      </c>
      <c r="AA14" s="28">
        <f t="shared" si="19"/>
        <v>574410.31380043563</v>
      </c>
      <c r="AB14" s="28">
        <f t="shared" si="19"/>
        <v>583775.06710652425</v>
      </c>
      <c r="AC14" s="28">
        <f t="shared" si="19"/>
        <v>593327.11547873472</v>
      </c>
      <c r="AD14" s="28">
        <f t="shared" si="19"/>
        <v>627427.92816752614</v>
      </c>
      <c r="AE14" s="28">
        <f t="shared" si="19"/>
        <v>637853.03376095695</v>
      </c>
      <c r="AF14" s="28">
        <f t="shared" si="19"/>
        <v>648486.641466256</v>
      </c>
      <c r="AG14" s="28">
        <f t="shared" si="19"/>
        <v>686448.62097417389</v>
      </c>
      <c r="AH14" s="28">
        <f t="shared" si="19"/>
        <v>698054.14042373723</v>
      </c>
      <c r="AI14" s="28">
        <f t="shared" si="19"/>
        <v>709891.77026229212</v>
      </c>
      <c r="AJ14" s="28">
        <f t="shared" si="19"/>
        <v>721966.15269761789</v>
      </c>
      <c r="AK14" s="28">
        <f t="shared" si="19"/>
        <v>734282.02278165019</v>
      </c>
      <c r="AL14" s="28">
        <f t="shared" si="19"/>
        <v>778249.67898164585</v>
      </c>
      <c r="AM14" s="28">
        <f t="shared" si="19"/>
        <v>791691.21959135868</v>
      </c>
      <c r="AN14" s="28">
        <f t="shared" si="19"/>
        <v>805401.59101326601</v>
      </c>
      <c r="AO14" s="28">
        <f t="shared" si="19"/>
        <v>819386.16986361134</v>
      </c>
      <c r="AP14" s="28">
        <f t="shared" si="19"/>
        <v>869311.1163593441</v>
      </c>
      <c r="AQ14" s="28">
        <f t="shared" si="19"/>
        <v>884573.88571661105</v>
      </c>
      <c r="AR14" s="28">
        <f t="shared" si="19"/>
        <v>900141.91046102333</v>
      </c>
      <c r="AS14" s="28">
        <f t="shared" si="19"/>
        <v>916021.29570032377</v>
      </c>
      <c r="AT14" s="28">
        <f t="shared" si="19"/>
        <v>932218.26864441042</v>
      </c>
      <c r="AU14" s="28">
        <f t="shared" si="19"/>
        <v>948739.18104737846</v>
      </c>
      <c r="AV14" s="28">
        <f t="shared" si="19"/>
        <v>965590.51169840619</v>
      </c>
      <c r="AW14" s="28">
        <f t="shared" si="19"/>
        <v>982778.86896245438</v>
      </c>
      <c r="AX14" s="28">
        <f t="shared" ref="AX14:BB14" si="20">AX7-AX13</f>
        <v>1000310.9933717835</v>
      </c>
      <c r="AY14" s="28">
        <f t="shared" si="20"/>
        <v>1018193.7602692991</v>
      </c>
      <c r="AZ14" s="28">
        <f t="shared" si="20"/>
        <v>1036434.1825047651</v>
      </c>
      <c r="BA14" s="28">
        <f t="shared" si="20"/>
        <v>1055039.4131849408</v>
      </c>
      <c r="BB14" s="28">
        <f t="shared" si="20"/>
        <v>1074016.7484787193</v>
      </c>
      <c r="BI14" s="2">
        <v>53257.220122188002</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56420.718414514493</v>
      </c>
    </row>
    <row r="16" spans="1:61" x14ac:dyDescent="0.2">
      <c r="D16" s="2" t="s">
        <v>267</v>
      </c>
      <c r="E16" s="28">
        <f>E14-E15</f>
        <v>289117.77393812512</v>
      </c>
      <c r="F16" s="28">
        <f t="shared" ref="F16:AW16" si="22">F14-F15</f>
        <v>294977.95532696764</v>
      </c>
      <c r="G16" s="28">
        <f t="shared" si="22"/>
        <v>300955.34034358698</v>
      </c>
      <c r="H16" s="28">
        <f t="shared" si="22"/>
        <v>323762.62289909663</v>
      </c>
      <c r="I16" s="28">
        <f t="shared" si="22"/>
        <v>330315.70126715861</v>
      </c>
      <c r="J16" s="28">
        <f t="shared" si="22"/>
        <v>336999.84120258188</v>
      </c>
      <c r="K16" s="28">
        <f t="shared" si="22"/>
        <v>343817.66393671348</v>
      </c>
      <c r="L16" s="28">
        <f t="shared" si="22"/>
        <v>369831.71675050753</v>
      </c>
      <c r="M16" s="28">
        <f t="shared" si="22"/>
        <v>377306.17699559778</v>
      </c>
      <c r="N16" s="28">
        <f t="shared" si="22"/>
        <v>384930.12644558976</v>
      </c>
      <c r="O16" s="28">
        <f t="shared" si="22"/>
        <v>392706.55488458159</v>
      </c>
      <c r="P16" s="28">
        <f t="shared" si="22"/>
        <v>421533.33954771806</v>
      </c>
      <c r="Q16" s="28">
        <f t="shared" si="22"/>
        <v>428028.55336875253</v>
      </c>
      <c r="R16" s="28">
        <f t="shared" si="22"/>
        <v>434653.67146620754</v>
      </c>
      <c r="S16" s="28">
        <f t="shared" si="22"/>
        <v>459932.44136176578</v>
      </c>
      <c r="T16" s="28">
        <f t="shared" si="22"/>
        <v>467195.63721908123</v>
      </c>
      <c r="U16" s="28">
        <f t="shared" si="22"/>
        <v>474604.09699354274</v>
      </c>
      <c r="V16" s="28">
        <f t="shared" si="22"/>
        <v>501052.29838837078</v>
      </c>
      <c r="W16" s="28">
        <f t="shared" si="22"/>
        <v>509137.89138621814</v>
      </c>
      <c r="X16" s="28">
        <f t="shared" si="22"/>
        <v>517385.19624402258</v>
      </c>
      <c r="Y16" s="28">
        <f t="shared" si="22"/>
        <v>525797.44719898305</v>
      </c>
      <c r="Z16" s="28">
        <f t="shared" si="22"/>
        <v>555829.18310819182</v>
      </c>
      <c r="AA16" s="28">
        <f t="shared" si="22"/>
        <v>565010.31380043563</v>
      </c>
      <c r="AB16" s="28">
        <f t="shared" si="22"/>
        <v>574375.06710652425</v>
      </c>
      <c r="AC16" s="28">
        <f t="shared" si="22"/>
        <v>583927.11547873472</v>
      </c>
      <c r="AD16" s="28">
        <f t="shared" si="22"/>
        <v>618027.92816752614</v>
      </c>
      <c r="AE16" s="28">
        <f t="shared" si="22"/>
        <v>628453.03376095695</v>
      </c>
      <c r="AF16" s="28">
        <f t="shared" si="22"/>
        <v>639086.641466256</v>
      </c>
      <c r="AG16" s="28">
        <f t="shared" si="22"/>
        <v>677048.62097417389</v>
      </c>
      <c r="AH16" s="28">
        <f t="shared" si="22"/>
        <v>688654.14042373723</v>
      </c>
      <c r="AI16" s="28">
        <f t="shared" si="22"/>
        <v>700491.77026229212</v>
      </c>
      <c r="AJ16" s="28">
        <f t="shared" si="22"/>
        <v>712566.15269761789</v>
      </c>
      <c r="AK16" s="28">
        <f t="shared" si="22"/>
        <v>724882.02278165019</v>
      </c>
      <c r="AL16" s="28">
        <f t="shared" si="22"/>
        <v>768849.67898164585</v>
      </c>
      <c r="AM16" s="28">
        <f t="shared" si="22"/>
        <v>782291.21959135868</v>
      </c>
      <c r="AN16" s="28">
        <f t="shared" si="22"/>
        <v>796001.59101326601</v>
      </c>
      <c r="AO16" s="28">
        <f t="shared" si="22"/>
        <v>809986.16986361134</v>
      </c>
      <c r="AP16" s="28">
        <f t="shared" si="22"/>
        <v>859911.1163593441</v>
      </c>
      <c r="AQ16" s="28">
        <f t="shared" si="22"/>
        <v>875173.88571661105</v>
      </c>
      <c r="AR16" s="28">
        <f t="shared" si="22"/>
        <v>890741.91046102333</v>
      </c>
      <c r="AS16" s="28">
        <f t="shared" si="22"/>
        <v>906621.29570032377</v>
      </c>
      <c r="AT16" s="28">
        <f t="shared" si="22"/>
        <v>922818.26864441042</v>
      </c>
      <c r="AU16" s="28">
        <f t="shared" si="22"/>
        <v>939339.18104737846</v>
      </c>
      <c r="AV16" s="28">
        <f t="shared" si="22"/>
        <v>956190.51169840619</v>
      </c>
      <c r="AW16" s="28">
        <f t="shared" si="22"/>
        <v>973378.86896245438</v>
      </c>
      <c r="AX16" s="28">
        <f t="shared" ref="AX16:BB16" si="23">AX14-AX15</f>
        <v>990910.99337178352</v>
      </c>
      <c r="AY16" s="28">
        <f t="shared" si="23"/>
        <v>1008793.7602692991</v>
      </c>
      <c r="AZ16" s="28">
        <f t="shared" si="23"/>
        <v>1027034.1825047651</v>
      </c>
      <c r="BA16" s="28">
        <f t="shared" si="23"/>
        <v>1045639.4131849408</v>
      </c>
      <c r="BB16" s="28">
        <f t="shared" si="23"/>
        <v>1064616.7484787193</v>
      </c>
      <c r="BI16" s="2">
        <v>57387.845035311439</v>
      </c>
    </row>
    <row r="17" spans="4:61" x14ac:dyDescent="0.2">
      <c r="D17" s="2" t="s">
        <v>196</v>
      </c>
      <c r="E17" s="28">
        <f>E16/12</f>
        <v>24093.147828177094</v>
      </c>
      <c r="F17" s="28">
        <f t="shared" ref="F17:AW17" si="24">F16/12</f>
        <v>24581.496277247305</v>
      </c>
      <c r="G17" s="28">
        <f t="shared" si="24"/>
        <v>25079.611695298914</v>
      </c>
      <c r="H17" s="28">
        <f t="shared" si="24"/>
        <v>26980.218574924718</v>
      </c>
      <c r="I17" s="28">
        <f t="shared" si="24"/>
        <v>27526.308438929886</v>
      </c>
      <c r="J17" s="28">
        <f t="shared" si="24"/>
        <v>28083.320100215158</v>
      </c>
      <c r="K17" s="28">
        <f t="shared" si="24"/>
        <v>28651.471994726122</v>
      </c>
      <c r="L17" s="28">
        <f t="shared" si="24"/>
        <v>30819.309729208962</v>
      </c>
      <c r="M17" s="28">
        <f t="shared" si="24"/>
        <v>31442.181416299816</v>
      </c>
      <c r="N17" s="28">
        <f t="shared" si="24"/>
        <v>32077.510537132479</v>
      </c>
      <c r="O17" s="28">
        <f t="shared" si="24"/>
        <v>32725.546240381798</v>
      </c>
      <c r="P17" s="28">
        <f t="shared" si="24"/>
        <v>35127.778295643169</v>
      </c>
      <c r="Q17" s="28">
        <f t="shared" si="24"/>
        <v>35669.046114062709</v>
      </c>
      <c r="R17" s="28">
        <f t="shared" si="24"/>
        <v>36221.139288850631</v>
      </c>
      <c r="S17" s="28">
        <f t="shared" si="24"/>
        <v>38327.703446813815</v>
      </c>
      <c r="T17" s="28">
        <f t="shared" si="24"/>
        <v>38932.969768256771</v>
      </c>
      <c r="U17" s="28">
        <f t="shared" si="24"/>
        <v>39550.341416128562</v>
      </c>
      <c r="V17" s="28">
        <f t="shared" si="24"/>
        <v>41754.358199030896</v>
      </c>
      <c r="W17" s="28">
        <f t="shared" si="24"/>
        <v>42428.157615518176</v>
      </c>
      <c r="X17" s="28">
        <f t="shared" si="24"/>
        <v>43115.433020335215</v>
      </c>
      <c r="Y17" s="28">
        <f t="shared" si="24"/>
        <v>43816.453933248587</v>
      </c>
      <c r="Z17" s="28">
        <f t="shared" si="24"/>
        <v>46319.098592349321</v>
      </c>
      <c r="AA17" s="28">
        <f t="shared" si="24"/>
        <v>47084.192816702969</v>
      </c>
      <c r="AB17" s="28">
        <f t="shared" si="24"/>
        <v>47864.588925543685</v>
      </c>
      <c r="AC17" s="28">
        <f t="shared" si="24"/>
        <v>48660.592956561224</v>
      </c>
      <c r="AD17" s="28">
        <f t="shared" si="24"/>
        <v>51502.327347293845</v>
      </c>
      <c r="AE17" s="28">
        <f t="shared" si="24"/>
        <v>52371.086146746413</v>
      </c>
      <c r="AF17" s="28">
        <f t="shared" si="24"/>
        <v>53257.220122188002</v>
      </c>
      <c r="AG17" s="28">
        <f t="shared" si="24"/>
        <v>56420.718414514493</v>
      </c>
      <c r="AH17" s="28">
        <f t="shared" si="24"/>
        <v>57387.845035311439</v>
      </c>
      <c r="AI17" s="28">
        <f t="shared" si="24"/>
        <v>58374.314188524346</v>
      </c>
      <c r="AJ17" s="28">
        <f t="shared" si="24"/>
        <v>59380.512724801491</v>
      </c>
      <c r="AK17" s="28">
        <f t="shared" si="24"/>
        <v>60406.83523180418</v>
      </c>
      <c r="AL17" s="28">
        <f t="shared" si="24"/>
        <v>64070.806581803823</v>
      </c>
      <c r="AM17" s="28">
        <f t="shared" si="24"/>
        <v>65190.934965946559</v>
      </c>
      <c r="AN17" s="28">
        <f t="shared" si="24"/>
        <v>66333.465917772162</v>
      </c>
      <c r="AO17" s="28">
        <f t="shared" si="24"/>
        <v>67498.847488634274</v>
      </c>
      <c r="AP17" s="28">
        <f t="shared" si="24"/>
        <v>71659.259696612004</v>
      </c>
      <c r="AQ17" s="28">
        <f t="shared" si="24"/>
        <v>72931.157143050921</v>
      </c>
      <c r="AR17" s="28">
        <f t="shared" si="24"/>
        <v>74228.492538418606</v>
      </c>
      <c r="AS17" s="28">
        <f t="shared" si="24"/>
        <v>75551.774641693642</v>
      </c>
      <c r="AT17" s="28">
        <f t="shared" si="24"/>
        <v>76901.522387034202</v>
      </c>
      <c r="AU17" s="28">
        <f t="shared" si="24"/>
        <v>78278.265087281543</v>
      </c>
      <c r="AV17" s="28">
        <f t="shared" si="24"/>
        <v>79682.542641533844</v>
      </c>
      <c r="AW17" s="28">
        <f t="shared" si="24"/>
        <v>81114.905746871198</v>
      </c>
      <c r="AX17" s="28">
        <f t="shared" ref="AX17:BB17" si="25">AX16/12</f>
        <v>82575.916114315289</v>
      </c>
      <c r="AY17" s="28">
        <f t="shared" si="25"/>
        <v>84066.146689108267</v>
      </c>
      <c r="AZ17" s="28">
        <f t="shared" si="25"/>
        <v>85586.181875397087</v>
      </c>
      <c r="BA17" s="28">
        <f t="shared" si="25"/>
        <v>87136.617765411735</v>
      </c>
      <c r="BB17" s="28">
        <f t="shared" si="25"/>
        <v>88718.06237322661</v>
      </c>
      <c r="BI17" s="2">
        <v>58374.314188524346</v>
      </c>
    </row>
    <row r="18" spans="4:61" x14ac:dyDescent="0.2">
      <c r="BI18" s="2">
        <v>59380.512724801491</v>
      </c>
    </row>
    <row r="19" spans="4:61" x14ac:dyDescent="0.2">
      <c r="BI19" s="2">
        <v>60406.83523180418</v>
      </c>
    </row>
    <row r="20" spans="4:61" x14ac:dyDescent="0.2">
      <c r="D20" s="26"/>
      <c r="BI20" s="2">
        <v>64070.806581803823</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65190.934965946559</v>
      </c>
    </row>
    <row r="22" spans="4:61" x14ac:dyDescent="0.2">
      <c r="D22" s="2" t="s">
        <v>202</v>
      </c>
      <c r="E22" s="26">
        <f>'Pensions P2'!$B$18+'Pensions P2'!$B$22+'Pensions P2'!$B$31</f>
        <v>64289.287280760669</v>
      </c>
      <c r="F22" s="26">
        <f>'Pensions P2'!$B$18+'Pensions P2'!$B$22+'Pensions P2'!$B$31</f>
        <v>64289.287280760669</v>
      </c>
      <c r="G22" s="26">
        <f>'Pensions P2'!$B$18+'Pensions P2'!$B$22+'Pensions P2'!$B$31</f>
        <v>64289.287280760669</v>
      </c>
      <c r="H22" s="26">
        <f>'Pensions P2'!$B$18+'Pensions P2'!$B$22+'Pensions P2'!$B$31</f>
        <v>64289.287280760669</v>
      </c>
      <c r="I22" s="26">
        <f>'Pensions P2'!$B$18+'Pensions P2'!$B$22+'Pensions P2'!$B$31</f>
        <v>64289.287280760669</v>
      </c>
      <c r="J22" s="26">
        <f>'Pensions P2'!$B$18+'Pensions P2'!$B$22+'Pensions P2'!$B$31</f>
        <v>64289.287280760669</v>
      </c>
      <c r="K22" s="26">
        <f>'Pensions P2'!$B$18+'Pensions P2'!$B$22+'Pensions P2'!$B$31</f>
        <v>64289.287280760669</v>
      </c>
      <c r="L22" s="26">
        <f>'Pensions P2'!$B$18+'Pensions P2'!$B$22+'Pensions P2'!$B$31</f>
        <v>64289.287280760669</v>
      </c>
      <c r="M22" s="26">
        <f>'Pensions P2'!$B$18+'Pensions P2'!$B$22+'Pensions P2'!$B$31</f>
        <v>64289.287280760669</v>
      </c>
      <c r="N22" s="26">
        <f>'Pensions P2'!$B$18+'Pensions P2'!$B$22+'Pensions P2'!$B$31</f>
        <v>64289.287280760669</v>
      </c>
      <c r="O22" s="26">
        <f>'Pensions P2'!$B$18+'Pensions P2'!$B$22+'Pensions P2'!$B$31</f>
        <v>64289.287280760669</v>
      </c>
      <c r="P22" s="26">
        <f>'Pensions P2'!$B$18+'Pensions P2'!$B$22+'Pensions P2'!$B$31</f>
        <v>64289.287280760669</v>
      </c>
      <c r="Q22" s="26">
        <f>'Pensions P2'!$B$18+'Pensions P2'!$B$22+'Pensions P2'!$B$31</f>
        <v>64289.287280760669</v>
      </c>
      <c r="R22" s="26">
        <f>'Pensions P2'!$B$18+'Pensions P2'!$B$22+'Pensions P2'!$B$31</f>
        <v>64289.287280760669</v>
      </c>
      <c r="S22" s="26">
        <f>'Pensions P2'!$B$18+'Pensions P2'!$B$22+'Pensions P2'!$B$31</f>
        <v>64289.287280760669</v>
      </c>
      <c r="T22" s="26">
        <f>'Pensions P2'!$B$18+'Pensions P2'!$B$22+'Pensions P2'!$B$31</f>
        <v>64289.287280760669</v>
      </c>
      <c r="U22" s="26">
        <f>'Pensions P2'!$B$18+'Pensions P2'!$B$22+'Pensions P2'!$B$31</f>
        <v>64289.287280760669</v>
      </c>
      <c r="V22" s="26">
        <f>'Pensions P2'!$B$18+'Pensions P2'!$B$22+'Pensions P2'!$B$31</f>
        <v>64289.287280760669</v>
      </c>
      <c r="W22" s="26">
        <f>'Pensions P2'!$B$18+'Pensions P2'!$B$22+'Pensions P2'!$B$31</f>
        <v>64289.287280760669</v>
      </c>
      <c r="X22" s="26">
        <f>'Pensions P2'!$B$18+'Pensions P2'!$B$22+'Pensions P2'!$B$31</f>
        <v>64289.287280760669</v>
      </c>
      <c r="Y22" s="26">
        <f>'Pensions P2'!$B$18+'Pensions P2'!$B$22+'Pensions P2'!$B$31</f>
        <v>64289.287280760669</v>
      </c>
      <c r="Z22" s="26">
        <f>'Pensions P2'!$B$18+'Pensions P2'!$B$22+'Pensions P2'!$B$31</f>
        <v>64289.287280760669</v>
      </c>
      <c r="AA22" s="26">
        <f>'Pensions P2'!$B$18+'Pensions P2'!$B$22+'Pensions P2'!$B$31</f>
        <v>64289.287280760669</v>
      </c>
      <c r="AB22" s="26">
        <f>'Pensions P2'!$B$18+'Pensions P2'!$B$22+'Pensions P2'!$B$31</f>
        <v>64289.287280760669</v>
      </c>
      <c r="AC22" s="26">
        <f>'Pensions P2'!$B$18+'Pensions P2'!$B$22+'Pensions P2'!$B$31</f>
        <v>64289.287280760669</v>
      </c>
      <c r="BI22" s="2">
        <v>66333.465917772162</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67498.847488634274</v>
      </c>
    </row>
    <row r="24" spans="4:61" x14ac:dyDescent="0.2">
      <c r="D24" s="2" t="s">
        <v>203</v>
      </c>
      <c r="E24" s="26">
        <f>E22*12</f>
        <v>771471.447369128</v>
      </c>
      <c r="F24" s="26">
        <f t="shared" ref="F24:AC24" si="26">F22*12</f>
        <v>771471.447369128</v>
      </c>
      <c r="G24" s="26">
        <f t="shared" si="26"/>
        <v>771471.447369128</v>
      </c>
      <c r="H24" s="26">
        <f t="shared" si="26"/>
        <v>771471.447369128</v>
      </c>
      <c r="I24" s="26">
        <f t="shared" si="26"/>
        <v>771471.447369128</v>
      </c>
      <c r="J24" s="26">
        <f t="shared" si="26"/>
        <v>771471.447369128</v>
      </c>
      <c r="K24" s="26">
        <f t="shared" si="26"/>
        <v>771471.447369128</v>
      </c>
      <c r="L24" s="26">
        <f t="shared" si="26"/>
        <v>771471.447369128</v>
      </c>
      <c r="M24" s="26">
        <f t="shared" si="26"/>
        <v>771471.447369128</v>
      </c>
      <c r="N24" s="26">
        <f t="shared" si="26"/>
        <v>771471.447369128</v>
      </c>
      <c r="O24" s="26">
        <f t="shared" si="26"/>
        <v>771471.447369128</v>
      </c>
      <c r="P24" s="26">
        <f t="shared" si="26"/>
        <v>771471.447369128</v>
      </c>
      <c r="Q24" s="26">
        <f t="shared" si="26"/>
        <v>771471.447369128</v>
      </c>
      <c r="R24" s="26">
        <f t="shared" si="26"/>
        <v>771471.447369128</v>
      </c>
      <c r="S24" s="26">
        <f t="shared" si="26"/>
        <v>771471.447369128</v>
      </c>
      <c r="T24" s="26">
        <f t="shared" si="26"/>
        <v>771471.447369128</v>
      </c>
      <c r="U24" s="26">
        <f t="shared" si="26"/>
        <v>771471.447369128</v>
      </c>
      <c r="V24" s="26">
        <f t="shared" si="26"/>
        <v>771471.447369128</v>
      </c>
      <c r="W24" s="26">
        <f t="shared" si="26"/>
        <v>771471.447369128</v>
      </c>
      <c r="X24" s="26">
        <f t="shared" si="26"/>
        <v>771471.447369128</v>
      </c>
      <c r="Y24" s="26">
        <f t="shared" si="26"/>
        <v>771471.447369128</v>
      </c>
      <c r="Z24" s="26">
        <f t="shared" si="26"/>
        <v>771471.447369128</v>
      </c>
      <c r="AA24" s="26">
        <f t="shared" si="26"/>
        <v>771471.447369128</v>
      </c>
      <c r="AB24" s="26">
        <f t="shared" si="26"/>
        <v>771471.447369128</v>
      </c>
      <c r="AC24" s="26">
        <f t="shared" si="26"/>
        <v>771471.447369128</v>
      </c>
      <c r="BI24" s="2">
        <v>71659.259696612004</v>
      </c>
    </row>
    <row r="25" spans="4:61" x14ac:dyDescent="0.2">
      <c r="D25" s="2" t="s">
        <v>189</v>
      </c>
      <c r="E25" s="26">
        <f>E24*$B$9</f>
        <v>192867.861842282</v>
      </c>
      <c r="F25" s="26">
        <f t="shared" ref="F25:AC25" si="27">F24*$B$9</f>
        <v>192867.861842282</v>
      </c>
      <c r="G25" s="26">
        <f t="shared" si="27"/>
        <v>192867.861842282</v>
      </c>
      <c r="H25" s="26">
        <f t="shared" si="27"/>
        <v>192867.861842282</v>
      </c>
      <c r="I25" s="26">
        <f t="shared" si="27"/>
        <v>192867.861842282</v>
      </c>
      <c r="J25" s="26">
        <f t="shared" si="27"/>
        <v>192867.861842282</v>
      </c>
      <c r="K25" s="26">
        <f t="shared" si="27"/>
        <v>192867.861842282</v>
      </c>
      <c r="L25" s="26">
        <f t="shared" si="27"/>
        <v>192867.861842282</v>
      </c>
      <c r="M25" s="26">
        <f t="shared" si="27"/>
        <v>192867.861842282</v>
      </c>
      <c r="N25" s="26">
        <f t="shared" si="27"/>
        <v>192867.861842282</v>
      </c>
      <c r="O25" s="26">
        <f t="shared" si="27"/>
        <v>192867.861842282</v>
      </c>
      <c r="P25" s="26">
        <f t="shared" si="27"/>
        <v>192867.861842282</v>
      </c>
      <c r="Q25" s="26">
        <f t="shared" si="27"/>
        <v>192867.861842282</v>
      </c>
      <c r="R25" s="26">
        <f t="shared" si="27"/>
        <v>192867.861842282</v>
      </c>
      <c r="S25" s="26">
        <f t="shared" si="27"/>
        <v>192867.861842282</v>
      </c>
      <c r="T25" s="26">
        <f t="shared" si="27"/>
        <v>192867.861842282</v>
      </c>
      <c r="U25" s="26">
        <f t="shared" si="27"/>
        <v>192867.861842282</v>
      </c>
      <c r="V25" s="26">
        <f t="shared" si="27"/>
        <v>192867.861842282</v>
      </c>
      <c r="W25" s="26">
        <f t="shared" si="27"/>
        <v>192867.861842282</v>
      </c>
      <c r="X25" s="26">
        <f t="shared" si="27"/>
        <v>192867.861842282</v>
      </c>
      <c r="Y25" s="26">
        <f t="shared" si="27"/>
        <v>192867.861842282</v>
      </c>
      <c r="Z25" s="26">
        <f t="shared" si="27"/>
        <v>192867.861842282</v>
      </c>
      <c r="AA25" s="26">
        <f t="shared" si="27"/>
        <v>192867.861842282</v>
      </c>
      <c r="AB25" s="26">
        <f t="shared" si="27"/>
        <v>192867.861842282</v>
      </c>
      <c r="AC25" s="26">
        <f t="shared" si="27"/>
        <v>192867.861842282</v>
      </c>
      <c r="BI25" s="2">
        <v>72931.157143050921</v>
      </c>
    </row>
    <row r="26" spans="4:61" x14ac:dyDescent="0.2">
      <c r="D26" s="2" t="s">
        <v>190</v>
      </c>
      <c r="E26" s="26">
        <f>MAX(E24-$B$8,0)*$B$7</f>
        <v>22960.7171053692</v>
      </c>
      <c r="F26" s="26">
        <f t="shared" ref="F26:AC26" si="28">MAX(F24-$B$8,0)*$B$7</f>
        <v>22960.7171053692</v>
      </c>
      <c r="G26" s="26">
        <f t="shared" si="28"/>
        <v>22960.7171053692</v>
      </c>
      <c r="H26" s="26">
        <f t="shared" si="28"/>
        <v>22960.7171053692</v>
      </c>
      <c r="I26" s="26">
        <f t="shared" si="28"/>
        <v>22960.7171053692</v>
      </c>
      <c r="J26" s="26">
        <f t="shared" si="28"/>
        <v>22960.7171053692</v>
      </c>
      <c r="K26" s="26">
        <f t="shared" si="28"/>
        <v>22960.7171053692</v>
      </c>
      <c r="L26" s="26">
        <f t="shared" si="28"/>
        <v>22960.7171053692</v>
      </c>
      <c r="M26" s="26">
        <f t="shared" si="28"/>
        <v>22960.7171053692</v>
      </c>
      <c r="N26" s="26">
        <f t="shared" si="28"/>
        <v>22960.7171053692</v>
      </c>
      <c r="O26" s="26">
        <f t="shared" si="28"/>
        <v>22960.7171053692</v>
      </c>
      <c r="P26" s="26">
        <f t="shared" si="28"/>
        <v>22960.7171053692</v>
      </c>
      <c r="Q26" s="26">
        <f t="shared" si="28"/>
        <v>22960.7171053692</v>
      </c>
      <c r="R26" s="26">
        <f t="shared" si="28"/>
        <v>22960.7171053692</v>
      </c>
      <c r="S26" s="26">
        <f t="shared" si="28"/>
        <v>22960.7171053692</v>
      </c>
      <c r="T26" s="26">
        <f t="shared" si="28"/>
        <v>22960.7171053692</v>
      </c>
      <c r="U26" s="26">
        <f t="shared" si="28"/>
        <v>22960.7171053692</v>
      </c>
      <c r="V26" s="26">
        <f t="shared" si="28"/>
        <v>22960.7171053692</v>
      </c>
      <c r="W26" s="26">
        <f t="shared" si="28"/>
        <v>22960.7171053692</v>
      </c>
      <c r="X26" s="26">
        <f t="shared" si="28"/>
        <v>22960.7171053692</v>
      </c>
      <c r="Y26" s="26">
        <f t="shared" si="28"/>
        <v>22960.7171053692</v>
      </c>
      <c r="Z26" s="26">
        <f t="shared" si="28"/>
        <v>22960.7171053692</v>
      </c>
      <c r="AA26" s="26">
        <f t="shared" si="28"/>
        <v>22960.7171053692</v>
      </c>
      <c r="AB26" s="26">
        <f t="shared" si="28"/>
        <v>22960.7171053692</v>
      </c>
      <c r="AC26" s="26">
        <f t="shared" si="28"/>
        <v>22960.7171053692</v>
      </c>
      <c r="BI26" s="2">
        <v>74228.492538418606</v>
      </c>
    </row>
    <row r="27" spans="4:61" x14ac:dyDescent="0.2">
      <c r="D27" s="2" t="s">
        <v>191</v>
      </c>
      <c r="E27" s="26">
        <f>E24*$B$6</f>
        <v>92653.720829032274</v>
      </c>
      <c r="F27" s="26">
        <f t="shared" ref="F27:AC27" si="29">F24*$B$6</f>
        <v>92653.720829032274</v>
      </c>
      <c r="G27" s="26">
        <f t="shared" si="29"/>
        <v>92653.720829032274</v>
      </c>
      <c r="H27" s="26">
        <f t="shared" si="29"/>
        <v>92653.720829032274</v>
      </c>
      <c r="I27" s="26">
        <f t="shared" si="29"/>
        <v>92653.720829032274</v>
      </c>
      <c r="J27" s="26">
        <f t="shared" si="29"/>
        <v>92653.720829032274</v>
      </c>
      <c r="K27" s="26">
        <f t="shared" si="29"/>
        <v>92653.720829032274</v>
      </c>
      <c r="L27" s="26">
        <f t="shared" si="29"/>
        <v>92653.720829032274</v>
      </c>
      <c r="M27" s="26">
        <f t="shared" si="29"/>
        <v>92653.720829032274</v>
      </c>
      <c r="N27" s="26">
        <f t="shared" si="29"/>
        <v>92653.720829032274</v>
      </c>
      <c r="O27" s="26">
        <f t="shared" si="29"/>
        <v>92653.720829032274</v>
      </c>
      <c r="P27" s="26">
        <f t="shared" si="29"/>
        <v>92653.720829032274</v>
      </c>
      <c r="Q27" s="26">
        <f t="shared" si="29"/>
        <v>92653.720829032274</v>
      </c>
      <c r="R27" s="26">
        <f t="shared" si="29"/>
        <v>92653.720829032274</v>
      </c>
      <c r="S27" s="26">
        <f t="shared" si="29"/>
        <v>92653.720829032274</v>
      </c>
      <c r="T27" s="26">
        <f t="shared" si="29"/>
        <v>92653.720829032274</v>
      </c>
      <c r="U27" s="26">
        <f t="shared" si="29"/>
        <v>92653.720829032274</v>
      </c>
      <c r="V27" s="26">
        <f t="shared" si="29"/>
        <v>92653.720829032274</v>
      </c>
      <c r="W27" s="26">
        <f t="shared" si="29"/>
        <v>92653.720829032274</v>
      </c>
      <c r="X27" s="26">
        <f t="shared" si="29"/>
        <v>92653.720829032274</v>
      </c>
      <c r="Y27" s="26">
        <f t="shared" si="29"/>
        <v>92653.720829032274</v>
      </c>
      <c r="Z27" s="26">
        <f t="shared" si="29"/>
        <v>92653.720829032274</v>
      </c>
      <c r="AA27" s="26">
        <f t="shared" si="29"/>
        <v>92653.720829032274</v>
      </c>
      <c r="AB27" s="26">
        <f t="shared" si="29"/>
        <v>92653.720829032274</v>
      </c>
      <c r="AC27" s="26">
        <f t="shared" si="29"/>
        <v>92653.720829032274</v>
      </c>
      <c r="BI27" s="2">
        <v>75551.774641693642</v>
      </c>
    </row>
    <row r="28" spans="4:61" x14ac:dyDescent="0.2">
      <c r="D28" s="2" t="s">
        <v>192</v>
      </c>
      <c r="E28" s="26">
        <f>SUM(E25:E27)</f>
        <v>308482.29977668345</v>
      </c>
      <c r="F28" s="26">
        <f>SUM(F25:F27)</f>
        <v>308482.29977668345</v>
      </c>
      <c r="G28" s="26">
        <f t="shared" ref="G28:AC28" si="30">SUM(G25:G27)</f>
        <v>308482.29977668345</v>
      </c>
      <c r="H28" s="26">
        <f t="shared" si="30"/>
        <v>308482.29977668345</v>
      </c>
      <c r="I28" s="26">
        <f t="shared" si="30"/>
        <v>308482.29977668345</v>
      </c>
      <c r="J28" s="26">
        <f t="shared" si="30"/>
        <v>308482.29977668345</v>
      </c>
      <c r="K28" s="26">
        <f t="shared" si="30"/>
        <v>308482.29977668345</v>
      </c>
      <c r="L28" s="26">
        <f t="shared" si="30"/>
        <v>308482.29977668345</v>
      </c>
      <c r="M28" s="26">
        <f t="shared" si="30"/>
        <v>308482.29977668345</v>
      </c>
      <c r="N28" s="26">
        <f t="shared" si="30"/>
        <v>308482.29977668345</v>
      </c>
      <c r="O28" s="26">
        <f t="shared" si="30"/>
        <v>308482.29977668345</v>
      </c>
      <c r="P28" s="26">
        <f t="shared" si="30"/>
        <v>308482.29977668345</v>
      </c>
      <c r="Q28" s="26">
        <f t="shared" si="30"/>
        <v>308482.29977668345</v>
      </c>
      <c r="R28" s="26">
        <f t="shared" si="30"/>
        <v>308482.29977668345</v>
      </c>
      <c r="S28" s="26">
        <f t="shared" si="30"/>
        <v>308482.29977668345</v>
      </c>
      <c r="T28" s="26">
        <f t="shared" si="30"/>
        <v>308482.29977668345</v>
      </c>
      <c r="U28" s="26">
        <f t="shared" si="30"/>
        <v>308482.29977668345</v>
      </c>
      <c r="V28" s="26">
        <f t="shared" si="30"/>
        <v>308482.29977668345</v>
      </c>
      <c r="W28" s="26">
        <f t="shared" si="30"/>
        <v>308482.29977668345</v>
      </c>
      <c r="X28" s="26">
        <f t="shared" si="30"/>
        <v>308482.29977668345</v>
      </c>
      <c r="Y28" s="26">
        <f t="shared" si="30"/>
        <v>308482.29977668345</v>
      </c>
      <c r="Z28" s="26">
        <f t="shared" si="30"/>
        <v>308482.29977668345</v>
      </c>
      <c r="AA28" s="26">
        <f t="shared" si="30"/>
        <v>308482.29977668345</v>
      </c>
      <c r="AB28" s="26">
        <f t="shared" si="30"/>
        <v>308482.29977668345</v>
      </c>
      <c r="AC28" s="26">
        <f t="shared" si="30"/>
        <v>308482.29977668345</v>
      </c>
      <c r="BI28" s="2">
        <v>76901.522387034202</v>
      </c>
    </row>
    <row r="29" spans="4:61" x14ac:dyDescent="0.2">
      <c r="D29" s="2" t="s">
        <v>193</v>
      </c>
      <c r="E29" s="26">
        <f>E24-E28</f>
        <v>462989.14759244455</v>
      </c>
      <c r="F29" s="26">
        <f t="shared" ref="F29:AC29" si="31">F24-F28</f>
        <v>462989.14759244455</v>
      </c>
      <c r="G29" s="26">
        <f t="shared" si="31"/>
        <v>462989.14759244455</v>
      </c>
      <c r="H29" s="26">
        <f t="shared" si="31"/>
        <v>462989.14759244455</v>
      </c>
      <c r="I29" s="26">
        <f t="shared" si="31"/>
        <v>462989.14759244455</v>
      </c>
      <c r="J29" s="26">
        <f t="shared" si="31"/>
        <v>462989.14759244455</v>
      </c>
      <c r="K29" s="26">
        <f t="shared" si="31"/>
        <v>462989.14759244455</v>
      </c>
      <c r="L29" s="26">
        <f t="shared" si="31"/>
        <v>462989.14759244455</v>
      </c>
      <c r="M29" s="26">
        <f t="shared" si="31"/>
        <v>462989.14759244455</v>
      </c>
      <c r="N29" s="26">
        <f t="shared" si="31"/>
        <v>462989.14759244455</v>
      </c>
      <c r="O29" s="26">
        <f t="shared" si="31"/>
        <v>462989.14759244455</v>
      </c>
      <c r="P29" s="26">
        <f t="shared" si="31"/>
        <v>462989.14759244455</v>
      </c>
      <c r="Q29" s="26">
        <f t="shared" si="31"/>
        <v>462989.14759244455</v>
      </c>
      <c r="R29" s="26">
        <f t="shared" si="31"/>
        <v>462989.14759244455</v>
      </c>
      <c r="S29" s="26">
        <f t="shared" si="31"/>
        <v>462989.14759244455</v>
      </c>
      <c r="T29" s="26">
        <f t="shared" si="31"/>
        <v>462989.14759244455</v>
      </c>
      <c r="U29" s="26">
        <f t="shared" si="31"/>
        <v>462989.14759244455</v>
      </c>
      <c r="V29" s="26">
        <f t="shared" si="31"/>
        <v>462989.14759244455</v>
      </c>
      <c r="W29" s="26">
        <f t="shared" si="31"/>
        <v>462989.14759244455</v>
      </c>
      <c r="X29" s="26">
        <f t="shared" si="31"/>
        <v>462989.14759244455</v>
      </c>
      <c r="Y29" s="26">
        <f t="shared" si="31"/>
        <v>462989.14759244455</v>
      </c>
      <c r="Z29" s="26">
        <f t="shared" si="31"/>
        <v>462989.14759244455</v>
      </c>
      <c r="AA29" s="26">
        <f t="shared" si="31"/>
        <v>462989.14759244455</v>
      </c>
      <c r="AB29" s="26">
        <f t="shared" si="31"/>
        <v>462989.14759244455</v>
      </c>
      <c r="AC29" s="26">
        <f t="shared" si="31"/>
        <v>462989.14759244455</v>
      </c>
      <c r="BI29" s="2">
        <v>78278.265087281543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79682.542641533844</v>
      </c>
    </row>
    <row r="31" spans="4:61" x14ac:dyDescent="0.2">
      <c r="D31" s="2" t="s">
        <v>196</v>
      </c>
      <c r="E31" s="26">
        <f>(E29/12)+E30</f>
        <v>41751.793534671087</v>
      </c>
      <c r="F31" s="26">
        <f t="shared" ref="F31:AC31" si="32">(F29/12)+F30</f>
        <v>41751.793534671087</v>
      </c>
      <c r="G31" s="26">
        <f t="shared" si="32"/>
        <v>41751.793534671087</v>
      </c>
      <c r="H31" s="26">
        <f t="shared" si="32"/>
        <v>41751.793534671087</v>
      </c>
      <c r="I31" s="26">
        <f t="shared" si="32"/>
        <v>41751.793534671087</v>
      </c>
      <c r="J31" s="26">
        <f t="shared" si="32"/>
        <v>41751.793534671087</v>
      </c>
      <c r="K31" s="26">
        <f t="shared" si="32"/>
        <v>41751.793534671087</v>
      </c>
      <c r="L31" s="26">
        <f t="shared" si="32"/>
        <v>41751.793534671087</v>
      </c>
      <c r="M31" s="26">
        <f t="shared" si="32"/>
        <v>41751.793534671087</v>
      </c>
      <c r="N31" s="26">
        <f t="shared" si="32"/>
        <v>41751.793534671087</v>
      </c>
      <c r="O31" s="26">
        <f t="shared" si="32"/>
        <v>41751.793534671087</v>
      </c>
      <c r="P31" s="26">
        <f t="shared" si="32"/>
        <v>41751.793534671087</v>
      </c>
      <c r="Q31" s="26">
        <f t="shared" si="32"/>
        <v>41751.793534671087</v>
      </c>
      <c r="R31" s="26">
        <f t="shared" si="32"/>
        <v>41751.793534671087</v>
      </c>
      <c r="S31" s="26">
        <f t="shared" si="32"/>
        <v>41751.793534671087</v>
      </c>
      <c r="T31" s="26">
        <f t="shared" si="32"/>
        <v>41751.793534671087</v>
      </c>
      <c r="U31" s="26">
        <f t="shared" si="32"/>
        <v>41751.793534671087</v>
      </c>
      <c r="V31" s="26">
        <f t="shared" si="32"/>
        <v>41751.793534671087</v>
      </c>
      <c r="W31" s="26">
        <f t="shared" si="32"/>
        <v>41751.793534671087</v>
      </c>
      <c r="X31" s="26">
        <f t="shared" si="32"/>
        <v>41751.793534671087</v>
      </c>
      <c r="Y31" s="26">
        <f t="shared" si="32"/>
        <v>41751.793534671087</v>
      </c>
      <c r="Z31" s="26">
        <f t="shared" si="32"/>
        <v>41751.793534671087</v>
      </c>
      <c r="AA31" s="26">
        <f t="shared" si="32"/>
        <v>41751.793534671087</v>
      </c>
      <c r="AB31" s="26">
        <f t="shared" si="32"/>
        <v>41751.793534671087</v>
      </c>
      <c r="AC31" s="26">
        <f t="shared" si="32"/>
        <v>41751.793534671087</v>
      </c>
      <c r="BI31" s="2">
        <v>81114.905746871198</v>
      </c>
    </row>
    <row r="32" spans="4:61" x14ac:dyDescent="0.2">
      <c r="D32" s="2" t="s">
        <v>274</v>
      </c>
      <c r="E32" s="26">
        <f>Income!$L$37</f>
        <v>70974.449898581282</v>
      </c>
      <c r="F32" s="26">
        <f>Income!$L$37</f>
        <v>70974.449898581282</v>
      </c>
      <c r="G32" s="26">
        <f>Income!$L$37</f>
        <v>70974.449898581282</v>
      </c>
      <c r="H32" s="26">
        <f>Income!$L$37</f>
        <v>70974.449898581282</v>
      </c>
      <c r="I32" s="26">
        <f>Income!$L$37</f>
        <v>70974.449898581282</v>
      </c>
      <c r="J32" s="26">
        <f>Income!$L$37</f>
        <v>70974.449898581282</v>
      </c>
      <c r="K32" s="26">
        <f>Income!$L$37</f>
        <v>70974.449898581282</v>
      </c>
      <c r="L32" s="26">
        <f>Income!$L$37</f>
        <v>70974.449898581282</v>
      </c>
      <c r="M32" s="26">
        <f>Income!$L$37</f>
        <v>70974.449898581282</v>
      </c>
      <c r="N32" s="26">
        <f>Income!$L$37</f>
        <v>70974.449898581282</v>
      </c>
      <c r="O32" s="26">
        <f>Income!$L$37</f>
        <v>70974.449898581282</v>
      </c>
      <c r="P32" s="26">
        <f>Income!$L$37</f>
        <v>70974.449898581282</v>
      </c>
      <c r="Q32" s="26">
        <f>Income!$L$37</f>
        <v>70974.449898581282</v>
      </c>
      <c r="R32" s="26">
        <f>Income!$L$37</f>
        <v>70974.449898581282</v>
      </c>
      <c r="S32" s="26">
        <f>Income!$L$37</f>
        <v>70974.449898581282</v>
      </c>
      <c r="T32" s="26">
        <f>Income!$L$37</f>
        <v>70974.449898581282</v>
      </c>
      <c r="U32" s="26">
        <f>Income!$L$37</f>
        <v>70974.449898581282</v>
      </c>
      <c r="V32" s="26">
        <f>Income!$L$37</f>
        <v>70974.449898581282</v>
      </c>
      <c r="W32" s="26">
        <f>Income!$L$37</f>
        <v>70974.449898581282</v>
      </c>
      <c r="X32" s="26">
        <f>Income!$L$37</f>
        <v>70974.449898581282</v>
      </c>
      <c r="Y32" s="26">
        <f>Income!$L$37</f>
        <v>70974.449898581282</v>
      </c>
      <c r="Z32" s="26">
        <f>Income!$L$37</f>
        <v>70974.449898581282</v>
      </c>
      <c r="AA32" s="26">
        <f>Income!$L$37</f>
        <v>70974.449898581282</v>
      </c>
      <c r="AB32" s="26">
        <f>Income!$L$37</f>
        <v>70974.449898581282</v>
      </c>
      <c r="AC32" s="26">
        <f>Income!$L$37</f>
        <v>70974.449898581282</v>
      </c>
      <c r="BI32" s="2">
        <v>82575.916114315289</v>
      </c>
    </row>
    <row r="33" spans="4:61" x14ac:dyDescent="0.2">
      <c r="D33" s="2" t="s">
        <v>204</v>
      </c>
      <c r="E33" s="26">
        <f>E32-E31</f>
        <v>29222.656363910195</v>
      </c>
      <c r="F33" s="26">
        <f t="shared" ref="F33:AC33" si="33">F32-F31</f>
        <v>29222.656363910195</v>
      </c>
      <c r="G33" s="26">
        <f t="shared" si="33"/>
        <v>29222.656363910195</v>
      </c>
      <c r="H33" s="26">
        <f t="shared" si="33"/>
        <v>29222.656363910195</v>
      </c>
      <c r="I33" s="26">
        <f t="shared" si="33"/>
        <v>29222.656363910195</v>
      </c>
      <c r="J33" s="26">
        <f t="shared" si="33"/>
        <v>29222.656363910195</v>
      </c>
      <c r="K33" s="26">
        <f t="shared" si="33"/>
        <v>29222.656363910195</v>
      </c>
      <c r="L33" s="26">
        <f t="shared" si="33"/>
        <v>29222.656363910195</v>
      </c>
      <c r="M33" s="26">
        <f t="shared" si="33"/>
        <v>29222.656363910195</v>
      </c>
      <c r="N33" s="26">
        <f t="shared" si="33"/>
        <v>29222.656363910195</v>
      </c>
      <c r="O33" s="26">
        <f t="shared" si="33"/>
        <v>29222.656363910195</v>
      </c>
      <c r="P33" s="26">
        <f t="shared" si="33"/>
        <v>29222.656363910195</v>
      </c>
      <c r="Q33" s="26">
        <f t="shared" si="33"/>
        <v>29222.656363910195</v>
      </c>
      <c r="R33" s="26">
        <f t="shared" si="33"/>
        <v>29222.656363910195</v>
      </c>
      <c r="S33" s="26">
        <f t="shared" si="33"/>
        <v>29222.656363910195</v>
      </c>
      <c r="T33" s="26">
        <f t="shared" si="33"/>
        <v>29222.656363910195</v>
      </c>
      <c r="U33" s="26">
        <f t="shared" si="33"/>
        <v>29222.656363910195</v>
      </c>
      <c r="V33" s="26">
        <f t="shared" si="33"/>
        <v>29222.656363910195</v>
      </c>
      <c r="W33" s="26">
        <f t="shared" si="33"/>
        <v>29222.656363910195</v>
      </c>
      <c r="X33" s="26">
        <f t="shared" si="33"/>
        <v>29222.656363910195</v>
      </c>
      <c r="Y33" s="26">
        <f t="shared" si="33"/>
        <v>29222.656363910195</v>
      </c>
      <c r="Z33" s="26">
        <f t="shared" si="33"/>
        <v>29222.656363910195</v>
      </c>
      <c r="AA33" s="26">
        <f t="shared" si="33"/>
        <v>29222.656363910195</v>
      </c>
      <c r="AB33" s="26">
        <f t="shared" si="33"/>
        <v>29222.656363910195</v>
      </c>
      <c r="AC33" s="26">
        <f t="shared" si="33"/>
        <v>29222.656363910195</v>
      </c>
      <c r="BI33" s="2">
        <v>84066.146689108267</v>
      </c>
    </row>
    <row r="34" spans="4:61" x14ac:dyDescent="0.2">
      <c r="D34" s="2" t="s">
        <v>264</v>
      </c>
      <c r="E34" s="26">
        <f>E33*(1+$B$10)</f>
        <v>37112.773582165952</v>
      </c>
      <c r="F34" s="26">
        <f t="shared" ref="F34:AC34" si="34">F33*(1+$B$10)</f>
        <v>37112.773582165952</v>
      </c>
      <c r="G34" s="26">
        <f t="shared" si="34"/>
        <v>37112.773582165952</v>
      </c>
      <c r="H34" s="26">
        <f t="shared" si="34"/>
        <v>37112.773582165952</v>
      </c>
      <c r="I34" s="26">
        <f t="shared" si="34"/>
        <v>37112.773582165952</v>
      </c>
      <c r="J34" s="26">
        <f t="shared" si="34"/>
        <v>37112.773582165952</v>
      </c>
      <c r="K34" s="26">
        <f t="shared" si="34"/>
        <v>37112.773582165952</v>
      </c>
      <c r="L34" s="26">
        <f t="shared" si="34"/>
        <v>37112.773582165952</v>
      </c>
      <c r="M34" s="26">
        <f t="shared" si="34"/>
        <v>37112.773582165952</v>
      </c>
      <c r="N34" s="26">
        <f t="shared" si="34"/>
        <v>37112.773582165952</v>
      </c>
      <c r="O34" s="26">
        <f t="shared" si="34"/>
        <v>37112.773582165952</v>
      </c>
      <c r="P34" s="26">
        <f t="shared" si="34"/>
        <v>37112.773582165952</v>
      </c>
      <c r="Q34" s="26">
        <f t="shared" si="34"/>
        <v>37112.773582165952</v>
      </c>
      <c r="R34" s="26">
        <f t="shared" si="34"/>
        <v>37112.773582165952</v>
      </c>
      <c r="S34" s="26">
        <f t="shared" si="34"/>
        <v>37112.773582165952</v>
      </c>
      <c r="T34" s="26">
        <f t="shared" si="34"/>
        <v>37112.773582165952</v>
      </c>
      <c r="U34" s="26">
        <f t="shared" si="34"/>
        <v>37112.773582165952</v>
      </c>
      <c r="V34" s="26">
        <f t="shared" si="34"/>
        <v>37112.773582165952</v>
      </c>
      <c r="W34" s="26">
        <f t="shared" si="34"/>
        <v>37112.773582165952</v>
      </c>
      <c r="X34" s="26">
        <f t="shared" si="34"/>
        <v>37112.773582165952</v>
      </c>
      <c r="Y34" s="26">
        <f t="shared" si="34"/>
        <v>37112.773582165952</v>
      </c>
      <c r="Z34" s="26">
        <f t="shared" si="34"/>
        <v>37112.773582165952</v>
      </c>
      <c r="AA34" s="26">
        <f t="shared" si="34"/>
        <v>37112.773582165952</v>
      </c>
      <c r="AB34" s="26">
        <f t="shared" si="34"/>
        <v>37112.773582165952</v>
      </c>
      <c r="AC34" s="26">
        <f t="shared" si="34"/>
        <v>37112.773582165952</v>
      </c>
      <c r="BI34" s="2">
        <v>85586.181875397087</v>
      </c>
    </row>
    <row r="35" spans="4:61" x14ac:dyDescent="0.2">
      <c r="D35" s="2" t="s">
        <v>265</v>
      </c>
      <c r="E35" s="26">
        <f>E34*12</f>
        <v>445353.28298599145</v>
      </c>
      <c r="F35" s="26">
        <f t="shared" ref="F35:AC35" si="35">F34*12</f>
        <v>445353.28298599145</v>
      </c>
      <c r="G35" s="26">
        <f t="shared" si="35"/>
        <v>445353.28298599145</v>
      </c>
      <c r="H35" s="26">
        <f t="shared" si="35"/>
        <v>445353.28298599145</v>
      </c>
      <c r="I35" s="26">
        <f t="shared" si="35"/>
        <v>445353.28298599145</v>
      </c>
      <c r="J35" s="26">
        <f t="shared" si="35"/>
        <v>445353.28298599145</v>
      </c>
      <c r="K35" s="26">
        <f t="shared" si="35"/>
        <v>445353.28298599145</v>
      </c>
      <c r="L35" s="26">
        <f t="shared" si="35"/>
        <v>445353.28298599145</v>
      </c>
      <c r="M35" s="26">
        <f t="shared" si="35"/>
        <v>445353.28298599145</v>
      </c>
      <c r="N35" s="26">
        <f t="shared" si="35"/>
        <v>445353.28298599145</v>
      </c>
      <c r="O35" s="26">
        <f t="shared" si="35"/>
        <v>445353.28298599145</v>
      </c>
      <c r="P35" s="26">
        <f t="shared" si="35"/>
        <v>445353.28298599145</v>
      </c>
      <c r="Q35" s="26">
        <f t="shared" si="35"/>
        <v>445353.28298599145</v>
      </c>
      <c r="R35" s="26">
        <f t="shared" si="35"/>
        <v>445353.28298599145</v>
      </c>
      <c r="S35" s="26">
        <f t="shared" si="35"/>
        <v>445353.28298599145</v>
      </c>
      <c r="T35" s="26">
        <f t="shared" si="35"/>
        <v>445353.28298599145</v>
      </c>
      <c r="U35" s="26">
        <f t="shared" si="35"/>
        <v>445353.28298599145</v>
      </c>
      <c r="V35" s="26">
        <f t="shared" si="35"/>
        <v>445353.28298599145</v>
      </c>
      <c r="W35" s="26">
        <f t="shared" si="35"/>
        <v>445353.28298599145</v>
      </c>
      <c r="X35" s="26">
        <f t="shared" si="35"/>
        <v>445353.28298599145</v>
      </c>
      <c r="Y35" s="26">
        <f t="shared" si="35"/>
        <v>445353.28298599145</v>
      </c>
      <c r="Z35" s="26">
        <f t="shared" si="35"/>
        <v>445353.28298599145</v>
      </c>
      <c r="AA35" s="26">
        <f t="shared" si="35"/>
        <v>445353.28298599145</v>
      </c>
      <c r="AB35" s="26">
        <f t="shared" si="35"/>
        <v>445353.28298599145</v>
      </c>
      <c r="AC35" s="26">
        <f t="shared" si="35"/>
        <v>445353.28298599145</v>
      </c>
      <c r="BI35" s="2">
        <v>87136.617765411735</v>
      </c>
    </row>
    <row r="36" spans="4:61" x14ac:dyDescent="0.2">
      <c r="BI36" s="2">
        <v>88718.06237322661</v>
      </c>
    </row>
    <row r="37" spans="4:61" x14ac:dyDescent="0.2">
      <c r="D37" s="2" t="s">
        <v>205</v>
      </c>
      <c r="E37" s="27">
        <f>SUM(E35:AC35)</f>
        <v>11133832.074649785</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0.01</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43851.485148514854</v>
      </c>
      <c r="F2" s="29">
        <v>44728.514851485153</v>
      </c>
      <c r="G2" s="29">
        <v>47859.510891089114</v>
      </c>
      <c r="H2" s="29">
        <v>48816.7011089109</v>
      </c>
      <c r="I2" s="29">
        <v>49793.03513108912</v>
      </c>
      <c r="J2" s="29">
        <v>50788.895833710907</v>
      </c>
      <c r="K2" s="29">
        <v>54344.118542070668</v>
      </c>
      <c r="L2" s="29">
        <v>55431.000912912081</v>
      </c>
      <c r="M2" s="29">
        <v>56539.620931170321</v>
      </c>
      <c r="N2" s="29">
        <v>57670.413349793729</v>
      </c>
      <c r="O2" s="29">
        <v>61707.342284279286</v>
      </c>
      <c r="P2" s="29">
        <v>62941.489129964873</v>
      </c>
      <c r="Q2" s="29">
        <v>64200.318912564173</v>
      </c>
      <c r="R2" s="29">
        <v>68694.341236443666</v>
      </c>
      <c r="S2" s="29">
        <v>70068.228061172544</v>
      </c>
      <c r="T2" s="29">
        <v>71469.592622395998</v>
      </c>
      <c r="U2" s="29">
        <v>72898.984474843921</v>
      </c>
      <c r="V2" s="29">
        <v>74356.964164340796</v>
      </c>
      <c r="W2" s="29">
        <v>79561.951655844648</v>
      </c>
      <c r="X2" s="29">
        <v>81153.190688961549</v>
      </c>
      <c r="Y2" s="29">
        <v>82776.254502740776</v>
      </c>
      <c r="Z2" s="29">
        <v>84431.779592795589</v>
      </c>
      <c r="AA2" s="29">
        <v>90342.004164291284</v>
      </c>
      <c r="AB2" s="29">
        <v>92148.844247577115</v>
      </c>
      <c r="AC2" s="29">
        <v>93991.821132528654</v>
      </c>
      <c r="AD2" s="29">
        <v>95871.657555179234</v>
      </c>
      <c r="AE2" s="29">
        <v>97789.090706282819</v>
      </c>
      <c r="AF2" s="29">
        <v>99744.872520408477</v>
      </c>
      <c r="AG2" s="29">
        <v>101739.76997081665</v>
      </c>
      <c r="AH2" s="29">
        <v>103774.56537023299</v>
      </c>
      <c r="AI2" s="29">
        <v>105850.05667763765</v>
      </c>
      <c r="AJ2" s="29">
        <v>107967.0578111904</v>
      </c>
      <c r="AK2" s="29">
        <v>110126.39896741421</v>
      </c>
      <c r="AL2" s="29">
        <v>112328.9269467625</v>
      </c>
      <c r="AM2" s="29">
        <v>114575.50548569775</v>
      </c>
      <c r="AN2" s="29">
        <v>122595.79086969659</v>
      </c>
      <c r="AO2" s="29">
        <v>125047.70668709053</v>
      </c>
      <c r="AP2" s="29">
        <v>127548.66082083235</v>
      </c>
      <c r="AQ2" s="29">
        <v>130099.63403724899</v>
      </c>
      <c r="AR2" s="29">
        <v>132701.62671799399</v>
      </c>
      <c r="AS2" s="29">
        <v>135355.65925235389</v>
      </c>
      <c r="AT2" s="29">
        <v>138062.77243740097</v>
      </c>
      <c r="AU2" s="29">
        <v>140824.02788614898</v>
      </c>
      <c r="AV2" s="29">
        <v>143640.50844387195</v>
      </c>
      <c r="AW2" s="29">
        <v>146513.3186127494</v>
      </c>
      <c r="AX2" s="2">
        <v>149443.58498500439</v>
      </c>
      <c r="AY2" s="2">
        <v>152432.45668470449</v>
      </c>
      <c r="AZ2" s="2">
        <v>155481.10581839859</v>
      </c>
      <c r="BA2" s="2">
        <v>158590.72793476656</v>
      </c>
      <c r="BB2" s="2">
        <v>161762.54249346189</v>
      </c>
      <c r="BH2" s="2" t="s">
        <v>206</v>
      </c>
      <c r="BI2" s="2" cm="1">
        <f t="array" ref="BI2:BI52">TRANSPOSE(E17:BC17)</f>
        <v>23817.397507339938</v>
      </c>
    </row>
    <row r="3" spans="1:61" x14ac:dyDescent="0.2">
      <c r="D3" s="2" t="s">
        <v>186</v>
      </c>
      <c r="E3" s="29">
        <f>E2*12</f>
        <v>526217.82178217825</v>
      </c>
      <c r="F3" s="29">
        <f t="shared" ref="F3:AV3" si="0">F2*12</f>
        <v>536742.17821782187</v>
      </c>
      <c r="G3" s="29">
        <f t="shared" si="0"/>
        <v>574314.13069306943</v>
      </c>
      <c r="H3" s="29">
        <f t="shared" si="0"/>
        <v>585800.4133069308</v>
      </c>
      <c r="I3" s="29">
        <f t="shared" si="0"/>
        <v>597516.42157306941</v>
      </c>
      <c r="J3" s="29">
        <f t="shared" si="0"/>
        <v>609466.75000453088</v>
      </c>
      <c r="K3" s="29">
        <f t="shared" si="0"/>
        <v>652129.42250484799</v>
      </c>
      <c r="L3" s="29">
        <f t="shared" si="0"/>
        <v>665172.010954945</v>
      </c>
      <c r="M3" s="29">
        <f t="shared" si="0"/>
        <v>678475.45117404382</v>
      </c>
      <c r="N3" s="29">
        <f t="shared" si="0"/>
        <v>692044.96019752475</v>
      </c>
      <c r="O3" s="29">
        <f t="shared" si="0"/>
        <v>740488.1074113514</v>
      </c>
      <c r="P3" s="29">
        <f t="shared" si="0"/>
        <v>755297.86955957848</v>
      </c>
      <c r="Q3" s="29">
        <f t="shared" si="0"/>
        <v>770403.8269507701</v>
      </c>
      <c r="R3" s="29">
        <f t="shared" si="0"/>
        <v>824332.094837324</v>
      </c>
      <c r="S3" s="29">
        <f t="shared" si="0"/>
        <v>840818.73673407058</v>
      </c>
      <c r="T3" s="29">
        <f t="shared" si="0"/>
        <v>857635.11146875191</v>
      </c>
      <c r="U3" s="29">
        <f t="shared" si="0"/>
        <v>874787.81369812705</v>
      </c>
      <c r="V3" s="29">
        <f t="shared" si="0"/>
        <v>892283.56997208949</v>
      </c>
      <c r="W3" s="29">
        <f t="shared" si="0"/>
        <v>954743.41987013584</v>
      </c>
      <c r="X3" s="29">
        <f t="shared" si="0"/>
        <v>973838.28826753865</v>
      </c>
      <c r="Y3" s="29">
        <f t="shared" si="0"/>
        <v>993315.05403288931</v>
      </c>
      <c r="Z3" s="29">
        <f t="shared" si="0"/>
        <v>1013181.3551135471</v>
      </c>
      <c r="AA3" s="29">
        <f t="shared" si="0"/>
        <v>1084104.0499714953</v>
      </c>
      <c r="AB3" s="29">
        <f t="shared" si="0"/>
        <v>1105786.1309709253</v>
      </c>
      <c r="AC3" s="29">
        <f t="shared" si="0"/>
        <v>1127901.8535903438</v>
      </c>
      <c r="AD3" s="29">
        <f t="shared" si="0"/>
        <v>1150459.8906621509</v>
      </c>
      <c r="AE3" s="29">
        <f t="shared" si="0"/>
        <v>1173469.0884753938</v>
      </c>
      <c r="AF3" s="29">
        <f t="shared" si="0"/>
        <v>1196938.4702449017</v>
      </c>
      <c r="AG3" s="29">
        <f t="shared" si="0"/>
        <v>1220877.2396497997</v>
      </c>
      <c r="AH3" s="29">
        <f t="shared" si="0"/>
        <v>1245294.7844427959</v>
      </c>
      <c r="AI3" s="29">
        <f t="shared" si="0"/>
        <v>1270200.6801316519</v>
      </c>
      <c r="AJ3" s="29">
        <f t="shared" si="0"/>
        <v>1295604.693734285</v>
      </c>
      <c r="AK3" s="29">
        <f t="shared" si="0"/>
        <v>1321516.7876089704</v>
      </c>
      <c r="AL3" s="29">
        <f t="shared" si="0"/>
        <v>1347947.12336115</v>
      </c>
      <c r="AM3" s="29">
        <f t="shared" si="0"/>
        <v>1374906.065828373</v>
      </c>
      <c r="AN3" s="29">
        <f t="shared" si="0"/>
        <v>1471149.4904363591</v>
      </c>
      <c r="AO3" s="29">
        <f t="shared" si="0"/>
        <v>1500572.4802450864</v>
      </c>
      <c r="AP3" s="29">
        <f t="shared" si="0"/>
        <v>1530583.9298499881</v>
      </c>
      <c r="AQ3" s="29">
        <f t="shared" si="0"/>
        <v>1561195.6084469878</v>
      </c>
      <c r="AR3" s="29">
        <f t="shared" si="0"/>
        <v>1592419.5206159279</v>
      </c>
      <c r="AS3" s="29">
        <f t="shared" si="0"/>
        <v>1624267.9110282466</v>
      </c>
      <c r="AT3" s="29">
        <f t="shared" si="0"/>
        <v>1656753.2692488115</v>
      </c>
      <c r="AU3" s="29">
        <f t="shared" si="0"/>
        <v>1689888.3346337876</v>
      </c>
      <c r="AV3" s="29">
        <f t="shared" si="0"/>
        <v>1723686.1013264633</v>
      </c>
      <c r="AW3" s="29">
        <f t="shared" ref="AW3:BB3" si="1">AW2*12</f>
        <v>1758159.8233529928</v>
      </c>
      <c r="AX3" s="29">
        <f t="shared" si="1"/>
        <v>1793323.0198200527</v>
      </c>
      <c r="AY3" s="29">
        <f t="shared" si="1"/>
        <v>1829189.4802164538</v>
      </c>
      <c r="AZ3" s="29">
        <f t="shared" si="1"/>
        <v>1865773.2698207831</v>
      </c>
      <c r="BA3" s="29">
        <f t="shared" si="1"/>
        <v>1903088.7352171987</v>
      </c>
      <c r="BB3" s="29">
        <f t="shared" si="1"/>
        <v>1941150.5099215428</v>
      </c>
      <c r="BI3" s="2">
        <v>24300.230949993405</v>
      </c>
    </row>
    <row r="4" spans="1:61" x14ac:dyDescent="0.2">
      <c r="A4" s="2" t="str" cm="1">
        <f t="array" ref="A4:B12">'Salary Variables'!$B$16:$C$24</f>
        <v>AM (%)</v>
      </c>
      <c r="B4" s="25">
        <v>0.08</v>
      </c>
      <c r="D4" s="2" t="s">
        <v>277</v>
      </c>
      <c r="E4" s="29">
        <f>'Pensions P1'!B4*12</f>
        <v>26310.891089108914</v>
      </c>
      <c r="F4" s="29">
        <f>'Pensions P1'!C4*12</f>
        <v>26837.108910891089</v>
      </c>
      <c r="G4" s="29">
        <f>'Pensions P1'!D4*12</f>
        <v>28715.706534653465</v>
      </c>
      <c r="H4" s="29">
        <f>'Pensions P1'!E4*12</f>
        <v>29290.020665346543</v>
      </c>
      <c r="I4" s="29">
        <f>'Pensions P1'!F4*12</f>
        <v>29875.821078653476</v>
      </c>
      <c r="J4" s="29">
        <f>'Pensions P1'!G4*12</f>
        <v>30473.337500226546</v>
      </c>
      <c r="K4" s="29">
        <f>'Pensions P1'!H4*12</f>
        <v>32606.471125242402</v>
      </c>
      <c r="L4" s="29">
        <f>'Pensions P1'!I4*12</f>
        <v>33258.60054774725</v>
      </c>
      <c r="M4" s="29">
        <f>'Pensions P1'!J4*12</f>
        <v>33923.772558702192</v>
      </c>
      <c r="N4" s="29">
        <f>'Pensions P1'!K4*12</f>
        <v>34602.248009876239</v>
      </c>
      <c r="O4" s="29">
        <f>'Pensions P1'!L4*12</f>
        <v>37024.405370567576</v>
      </c>
      <c r="P4" s="29">
        <f>'Pensions P1'!M4*12</f>
        <v>37764.893477978927</v>
      </c>
      <c r="Q4" s="29">
        <f>'Pensions P1'!N4*12</f>
        <v>38520.191347538508</v>
      </c>
      <c r="R4" s="29">
        <f>'Pensions P1'!O4*12</f>
        <v>41216.604741866206</v>
      </c>
      <c r="S4" s="29">
        <f>'Pensions P1'!P4*12</f>
        <v>42040.936836703528</v>
      </c>
      <c r="T4" s="29">
        <f>'Pensions P1'!Q4*12</f>
        <v>42881.7555734376</v>
      </c>
      <c r="U4" s="29">
        <f>'Pensions P1'!R4*12</f>
        <v>43739.390684906357</v>
      </c>
      <c r="V4" s="29">
        <f>'Pensions P1'!S4*12</f>
        <v>44614.17849860448</v>
      </c>
      <c r="W4" s="29">
        <f>'Pensions P1'!T4*12</f>
        <v>47737.170993506792</v>
      </c>
      <c r="X4" s="29">
        <f>'Pensions P1'!U4*12</f>
        <v>48691.91441337693</v>
      </c>
      <c r="Y4" s="29">
        <f>'Pensions P1'!V4*12</f>
        <v>49665.752701644466</v>
      </c>
      <c r="Z4" s="29">
        <f>'Pensions P1'!W4*12</f>
        <v>50659.067755677359</v>
      </c>
      <c r="AA4" s="29">
        <f>'Pensions P1'!X4*12</f>
        <v>54205.20249857477</v>
      </c>
      <c r="AB4" s="29">
        <f>'Pensions P1'!Y4*12</f>
        <v>55289.306548546272</v>
      </c>
      <c r="AC4" s="29">
        <f>'Pensions P1'!Z4*12</f>
        <v>56395.092679517198</v>
      </c>
      <c r="AD4" s="29">
        <f>'Pensions P1'!AA4*12</f>
        <v>57522.994533107543</v>
      </c>
      <c r="AE4" s="29">
        <f>'Pensions P1'!AB4*12</f>
        <v>58673.454423769697</v>
      </c>
      <c r="AF4" s="29">
        <f>'Pensions P1'!AC4*12</f>
        <v>59846.923512245092</v>
      </c>
      <c r="AG4" s="29">
        <f>'Pensions P1'!AD4*12</f>
        <v>61043.861982489994</v>
      </c>
      <c r="AH4" s="29">
        <f>'Pensions P1'!AE4*12</f>
        <v>62264.739222139797</v>
      </c>
      <c r="AI4" s="29">
        <f>'Pensions P1'!AF4*12</f>
        <v>63510.034006582595</v>
      </c>
      <c r="AJ4" s="29">
        <f>'Pensions P1'!AG4*12</f>
        <v>64780.234686714248</v>
      </c>
      <c r="AK4" s="29">
        <f>'Pensions P1'!AH4*12</f>
        <v>66075.839380448524</v>
      </c>
      <c r="AL4" s="29">
        <f>'Pensions P1'!AI4*12</f>
        <v>67397.356168057508</v>
      </c>
      <c r="AM4" s="29">
        <f>'Pensions P1'!AJ4*12</f>
        <v>68745.303291418648</v>
      </c>
      <c r="AN4" s="29">
        <f>'Pensions P1'!AK4*12</f>
        <v>73557.47452181796</v>
      </c>
      <c r="AO4" s="29">
        <f>'Pensions P1'!AL4*12</f>
        <v>75028.624012254324</v>
      </c>
      <c r="AP4" s="29">
        <f>'Pensions P1'!AM4*12</f>
        <v>76529.19649249941</v>
      </c>
      <c r="AQ4" s="29">
        <f>'Pensions P1'!AN4*12</f>
        <v>78059.780422349402</v>
      </c>
      <c r="AR4" s="29">
        <f>'Pensions P1'!AO4*12</f>
        <v>79620.976030796402</v>
      </c>
      <c r="AS4" s="29">
        <f>'Pensions P1'!AP4*12</f>
        <v>81213.395551412337</v>
      </c>
      <c r="AT4" s="29">
        <f>'Pensions P1'!AQ4*12</f>
        <v>82837.663462440585</v>
      </c>
      <c r="AU4" s="29">
        <f>'Pensions P1'!AR4*12</f>
        <v>84494.416731689387</v>
      </c>
      <c r="AV4" s="29">
        <f>'Pensions P1'!AS4*12</f>
        <v>86184.30506632317</v>
      </c>
      <c r="AW4" s="29">
        <f>'Pensions P1'!AT4*12</f>
        <v>87907.991167649641</v>
      </c>
      <c r="AX4" s="29">
        <f>'Pensions P1'!AU4*12</f>
        <v>89666.150991002636</v>
      </c>
      <c r="AY4" s="29">
        <f>'Pensions P1'!AV4*12</f>
        <v>91459.474010822698</v>
      </c>
      <c r="AZ4" s="29">
        <f>'Pensions P1'!AW4*12</f>
        <v>93288.663491039159</v>
      </c>
      <c r="BA4" s="29">
        <f>'Pensions P1'!AX4*12</f>
        <v>95154.436760859942</v>
      </c>
      <c r="BB4" s="29">
        <f>'Pensions P1'!AY4*12</f>
        <v>97057.525496077142</v>
      </c>
      <c r="BI4" s="2">
        <v>26023.946340266277</v>
      </c>
    </row>
    <row r="5" spans="1:61" x14ac:dyDescent="0.2">
      <c r="A5" s="2" t="str">
        <v>Personal Allowance</v>
      </c>
      <c r="B5" s="28">
        <v>51600</v>
      </c>
      <c r="D5" s="2" t="s">
        <v>187</v>
      </c>
      <c r="E5" s="29">
        <f>E3-E4</f>
        <v>499906.93069306936</v>
      </c>
      <c r="F5" s="29">
        <f t="shared" ref="F5:AW5" si="2">F3-F4</f>
        <v>509905.06930693076</v>
      </c>
      <c r="G5" s="29">
        <f t="shared" si="2"/>
        <v>545598.42415841599</v>
      </c>
      <c r="H5" s="29">
        <f t="shared" si="2"/>
        <v>556510.39264158427</v>
      </c>
      <c r="I5" s="29">
        <f t="shared" si="2"/>
        <v>567640.60049441596</v>
      </c>
      <c r="J5" s="29">
        <f t="shared" si="2"/>
        <v>578993.41250430432</v>
      </c>
      <c r="K5" s="29">
        <f t="shared" si="2"/>
        <v>619522.95137960557</v>
      </c>
      <c r="L5" s="29">
        <f t="shared" si="2"/>
        <v>631913.41040719778</v>
      </c>
      <c r="M5" s="29">
        <f t="shared" si="2"/>
        <v>644551.67861534166</v>
      </c>
      <c r="N5" s="29">
        <f t="shared" si="2"/>
        <v>657442.71218764852</v>
      </c>
      <c r="O5" s="29">
        <f t="shared" si="2"/>
        <v>703463.70204078383</v>
      </c>
      <c r="P5" s="29">
        <f t="shared" si="2"/>
        <v>717532.9760815996</v>
      </c>
      <c r="Q5" s="29">
        <f t="shared" si="2"/>
        <v>731883.63560323161</v>
      </c>
      <c r="R5" s="29">
        <f t="shared" si="2"/>
        <v>783115.49009545776</v>
      </c>
      <c r="S5" s="29">
        <f t="shared" si="2"/>
        <v>798777.79989736702</v>
      </c>
      <c r="T5" s="29">
        <f t="shared" si="2"/>
        <v>814753.35589531437</v>
      </c>
      <c r="U5" s="29">
        <f t="shared" si="2"/>
        <v>831048.42301322066</v>
      </c>
      <c r="V5" s="29">
        <f t="shared" si="2"/>
        <v>847669.39147348504</v>
      </c>
      <c r="W5" s="29">
        <f t="shared" si="2"/>
        <v>907006.24887662905</v>
      </c>
      <c r="X5" s="29">
        <f t="shared" si="2"/>
        <v>925146.37385416171</v>
      </c>
      <c r="Y5" s="29">
        <f t="shared" si="2"/>
        <v>943649.30133124487</v>
      </c>
      <c r="Z5" s="29">
        <f t="shared" si="2"/>
        <v>962522.28735786967</v>
      </c>
      <c r="AA5" s="29">
        <f t="shared" si="2"/>
        <v>1029898.8474729205</v>
      </c>
      <c r="AB5" s="29">
        <f t="shared" si="2"/>
        <v>1050496.824422379</v>
      </c>
      <c r="AC5" s="29">
        <f t="shared" si="2"/>
        <v>1071506.7609108267</v>
      </c>
      <c r="AD5" s="29">
        <f t="shared" si="2"/>
        <v>1092936.8961290433</v>
      </c>
      <c r="AE5" s="29">
        <f t="shared" si="2"/>
        <v>1114795.6340516242</v>
      </c>
      <c r="AF5" s="29">
        <f t="shared" si="2"/>
        <v>1137091.5467326567</v>
      </c>
      <c r="AG5" s="29">
        <f t="shared" si="2"/>
        <v>1159833.3776673097</v>
      </c>
      <c r="AH5" s="29">
        <f t="shared" si="2"/>
        <v>1183030.0452206561</v>
      </c>
      <c r="AI5" s="29">
        <f t="shared" si="2"/>
        <v>1206690.6461250694</v>
      </c>
      <c r="AJ5" s="29">
        <f t="shared" si="2"/>
        <v>1230824.4590475708</v>
      </c>
      <c r="AK5" s="29">
        <f t="shared" si="2"/>
        <v>1255440.948228522</v>
      </c>
      <c r="AL5" s="29">
        <f t="shared" si="2"/>
        <v>1280549.7671930925</v>
      </c>
      <c r="AM5" s="29">
        <f t="shared" si="2"/>
        <v>1306160.7625369544</v>
      </c>
      <c r="AN5" s="29">
        <f t="shared" si="2"/>
        <v>1397592.0159145412</v>
      </c>
      <c r="AO5" s="29">
        <f t="shared" si="2"/>
        <v>1425543.856232832</v>
      </c>
      <c r="AP5" s="29">
        <f t="shared" si="2"/>
        <v>1454054.7333574886</v>
      </c>
      <c r="AQ5" s="29">
        <f t="shared" si="2"/>
        <v>1483135.8280246384</v>
      </c>
      <c r="AR5" s="29">
        <f t="shared" si="2"/>
        <v>1512798.5445851316</v>
      </c>
      <c r="AS5" s="29">
        <f t="shared" si="2"/>
        <v>1543054.5154768343</v>
      </c>
      <c r="AT5" s="29">
        <f t="shared" si="2"/>
        <v>1573915.605786371</v>
      </c>
      <c r="AU5" s="29">
        <f t="shared" si="2"/>
        <v>1605393.9179020983</v>
      </c>
      <c r="AV5" s="29">
        <f t="shared" si="2"/>
        <v>1637501.7962601401</v>
      </c>
      <c r="AW5" s="29">
        <f t="shared" si="2"/>
        <v>1670251.8321853431</v>
      </c>
      <c r="AX5" s="29">
        <f t="shared" ref="AX5:BB5" si="3">AX3-AX4</f>
        <v>1703656.8688290501</v>
      </c>
      <c r="AY5" s="29">
        <f t="shared" si="3"/>
        <v>1737730.0062056312</v>
      </c>
      <c r="AZ5" s="29">
        <f t="shared" si="3"/>
        <v>1772484.606329744</v>
      </c>
      <c r="BA5" s="29">
        <f t="shared" si="3"/>
        <v>1807934.2984563387</v>
      </c>
      <c r="BB5" s="29">
        <f t="shared" si="3"/>
        <v>1844092.9844254656</v>
      </c>
      <c r="BI5" s="2">
        <v>26550.91075957827</v>
      </c>
    </row>
    <row r="6" spans="1:61" x14ac:dyDescent="0.2">
      <c r="A6" s="2" t="str">
        <v>Bottom-Bracket State Tax rate (%)</v>
      </c>
      <c r="B6" s="25">
        <v>0.1201</v>
      </c>
      <c r="D6" s="2" t="s">
        <v>256</v>
      </c>
      <c r="E6" s="28">
        <f>E5-$B$14</f>
        <v>498718.93069306936</v>
      </c>
      <c r="F6" s="28">
        <f t="shared" ref="F6:AW6" si="4">F5-$B$14</f>
        <v>508717.06930693076</v>
      </c>
      <c r="G6" s="28">
        <f t="shared" si="4"/>
        <v>544410.42415841599</v>
      </c>
      <c r="H6" s="28">
        <f t="shared" si="4"/>
        <v>555322.39264158427</v>
      </c>
      <c r="I6" s="28">
        <f t="shared" si="4"/>
        <v>566452.60049441596</v>
      </c>
      <c r="J6" s="28">
        <f t="shared" si="4"/>
        <v>577805.41250430432</v>
      </c>
      <c r="K6" s="28">
        <f t="shared" si="4"/>
        <v>618334.95137960557</v>
      </c>
      <c r="L6" s="28">
        <f t="shared" si="4"/>
        <v>630725.41040719778</v>
      </c>
      <c r="M6" s="28">
        <f t="shared" si="4"/>
        <v>643363.67861534166</v>
      </c>
      <c r="N6" s="28">
        <f t="shared" si="4"/>
        <v>656254.71218764852</v>
      </c>
      <c r="O6" s="28">
        <f t="shared" si="4"/>
        <v>702275.70204078383</v>
      </c>
      <c r="P6" s="28">
        <f t="shared" si="4"/>
        <v>716344.9760815996</v>
      </c>
      <c r="Q6" s="28">
        <f t="shared" si="4"/>
        <v>730695.63560323161</v>
      </c>
      <c r="R6" s="28">
        <f t="shared" si="4"/>
        <v>781927.49009545776</v>
      </c>
      <c r="S6" s="28">
        <f t="shared" si="4"/>
        <v>797589.79989736702</v>
      </c>
      <c r="T6" s="28">
        <f t="shared" si="4"/>
        <v>813565.35589531437</v>
      </c>
      <c r="U6" s="28">
        <f t="shared" si="4"/>
        <v>829860.42301322066</v>
      </c>
      <c r="V6" s="28">
        <f t="shared" si="4"/>
        <v>846481.39147348504</v>
      </c>
      <c r="W6" s="28">
        <f t="shared" si="4"/>
        <v>905818.24887662905</v>
      </c>
      <c r="X6" s="28">
        <f t="shared" si="4"/>
        <v>923958.37385416171</v>
      </c>
      <c r="Y6" s="28">
        <f t="shared" si="4"/>
        <v>942461.30133124487</v>
      </c>
      <c r="Z6" s="28">
        <f t="shared" si="4"/>
        <v>961334.28735786967</v>
      </c>
      <c r="AA6" s="28">
        <f t="shared" si="4"/>
        <v>1028710.8474729205</v>
      </c>
      <c r="AB6" s="28">
        <f t="shared" si="4"/>
        <v>1049308.824422379</v>
      </c>
      <c r="AC6" s="28">
        <f t="shared" si="4"/>
        <v>1070318.7609108267</v>
      </c>
      <c r="AD6" s="28">
        <f t="shared" si="4"/>
        <v>1091748.8961290433</v>
      </c>
      <c r="AE6" s="28">
        <f t="shared" si="4"/>
        <v>1113607.6340516242</v>
      </c>
      <c r="AF6" s="28">
        <f t="shared" si="4"/>
        <v>1135903.5467326567</v>
      </c>
      <c r="AG6" s="28">
        <f t="shared" si="4"/>
        <v>1158645.3776673097</v>
      </c>
      <c r="AH6" s="28">
        <f t="shared" si="4"/>
        <v>1181842.0452206561</v>
      </c>
      <c r="AI6" s="28">
        <f t="shared" si="4"/>
        <v>1205502.6461250694</v>
      </c>
      <c r="AJ6" s="28">
        <f t="shared" si="4"/>
        <v>1229636.4590475708</v>
      </c>
      <c r="AK6" s="28">
        <f t="shared" si="4"/>
        <v>1254252.948228522</v>
      </c>
      <c r="AL6" s="28">
        <f t="shared" si="4"/>
        <v>1279361.7671930925</v>
      </c>
      <c r="AM6" s="28">
        <f t="shared" si="4"/>
        <v>1304972.7625369544</v>
      </c>
      <c r="AN6" s="28">
        <f t="shared" si="4"/>
        <v>1396404.0159145412</v>
      </c>
      <c r="AO6" s="28">
        <f t="shared" si="4"/>
        <v>1424355.856232832</v>
      </c>
      <c r="AP6" s="28">
        <f t="shared" si="4"/>
        <v>1452866.7333574886</v>
      </c>
      <c r="AQ6" s="28">
        <f t="shared" si="4"/>
        <v>1481947.8280246384</v>
      </c>
      <c r="AR6" s="28">
        <f t="shared" si="4"/>
        <v>1511610.5445851316</v>
      </c>
      <c r="AS6" s="28">
        <f t="shared" si="4"/>
        <v>1541866.5154768343</v>
      </c>
      <c r="AT6" s="28">
        <f t="shared" si="4"/>
        <v>1572727.605786371</v>
      </c>
      <c r="AU6" s="28">
        <f t="shared" si="4"/>
        <v>1604205.9179020983</v>
      </c>
      <c r="AV6" s="28">
        <f t="shared" si="4"/>
        <v>1636313.7962601401</v>
      </c>
      <c r="AW6" s="28">
        <f t="shared" si="4"/>
        <v>1669063.8321853431</v>
      </c>
      <c r="AX6" s="28">
        <f t="shared" ref="AX6:BB6" si="5">AX5-$B$14</f>
        <v>1702468.8688290501</v>
      </c>
      <c r="AY6" s="28">
        <f t="shared" si="5"/>
        <v>1736542.0062056312</v>
      </c>
      <c r="AZ6" s="28">
        <f t="shared" si="5"/>
        <v>1771296.606329744</v>
      </c>
      <c r="BA6" s="28">
        <f t="shared" si="5"/>
        <v>1806746.2984563387</v>
      </c>
      <c r="BB6" s="28">
        <f t="shared" si="5"/>
        <v>1842904.9844254656</v>
      </c>
      <c r="BI6" s="2">
        <v>27088.4144672765</v>
      </c>
    </row>
    <row r="7" spans="1:61" x14ac:dyDescent="0.2">
      <c r="A7" s="2" t="str">
        <v>Top-bracket State Tax rate (%)</v>
      </c>
      <c r="B7" s="25">
        <v>0.15</v>
      </c>
      <c r="D7" s="2" t="s">
        <v>234</v>
      </c>
      <c r="E7" s="28">
        <f>E6*(1-$B$4)</f>
        <v>458821.41623762384</v>
      </c>
      <c r="F7" s="28">
        <f t="shared" ref="F7:AW7" si="6">F6*(1-$B$4)</f>
        <v>468019.70376237633</v>
      </c>
      <c r="G7" s="28">
        <f t="shared" si="6"/>
        <v>500857.59022574272</v>
      </c>
      <c r="H7" s="28">
        <f t="shared" si="6"/>
        <v>510896.60123025754</v>
      </c>
      <c r="I7" s="28">
        <f t="shared" si="6"/>
        <v>521136.39245486271</v>
      </c>
      <c r="J7" s="28">
        <f t="shared" si="6"/>
        <v>531580.97950396</v>
      </c>
      <c r="K7" s="28">
        <f t="shared" si="6"/>
        <v>568868.15526923712</v>
      </c>
      <c r="L7" s="28">
        <f t="shared" si="6"/>
        <v>580267.37757462193</v>
      </c>
      <c r="M7" s="28">
        <f t="shared" si="6"/>
        <v>591894.58432611439</v>
      </c>
      <c r="N7" s="28">
        <f t="shared" si="6"/>
        <v>603754.33521263662</v>
      </c>
      <c r="O7" s="28">
        <f t="shared" si="6"/>
        <v>646093.64587752114</v>
      </c>
      <c r="P7" s="28">
        <f t="shared" si="6"/>
        <v>659037.3779950717</v>
      </c>
      <c r="Q7" s="28">
        <f t="shared" si="6"/>
        <v>672239.98475497309</v>
      </c>
      <c r="R7" s="28">
        <f t="shared" si="6"/>
        <v>719373.29088782112</v>
      </c>
      <c r="S7" s="28">
        <f t="shared" si="6"/>
        <v>733782.61590557767</v>
      </c>
      <c r="T7" s="28">
        <f t="shared" si="6"/>
        <v>748480.12742368924</v>
      </c>
      <c r="U7" s="28">
        <f t="shared" si="6"/>
        <v>763471.58917216305</v>
      </c>
      <c r="V7" s="28">
        <f t="shared" si="6"/>
        <v>778762.88015560631</v>
      </c>
      <c r="W7" s="28">
        <f t="shared" si="6"/>
        <v>833352.7889664988</v>
      </c>
      <c r="X7" s="28">
        <f t="shared" si="6"/>
        <v>850041.70394582883</v>
      </c>
      <c r="Y7" s="28">
        <f t="shared" si="6"/>
        <v>867064.39722474536</v>
      </c>
      <c r="Z7" s="28">
        <f t="shared" si="6"/>
        <v>884427.54436924018</v>
      </c>
      <c r="AA7" s="28">
        <f t="shared" si="6"/>
        <v>946413.97967508691</v>
      </c>
      <c r="AB7" s="28">
        <f t="shared" si="6"/>
        <v>965364.1184685888</v>
      </c>
      <c r="AC7" s="28">
        <f t="shared" si="6"/>
        <v>984693.2600379606</v>
      </c>
      <c r="AD7" s="28">
        <f t="shared" si="6"/>
        <v>1004408.9844387199</v>
      </c>
      <c r="AE7" s="28">
        <f t="shared" si="6"/>
        <v>1024519.0233274943</v>
      </c>
      <c r="AF7" s="28">
        <f t="shared" si="6"/>
        <v>1045031.2629940442</v>
      </c>
      <c r="AG7" s="28">
        <f t="shared" si="6"/>
        <v>1065953.747453925</v>
      </c>
      <c r="AH7" s="28">
        <f t="shared" si="6"/>
        <v>1087294.6816030038</v>
      </c>
      <c r="AI7" s="28">
        <f t="shared" si="6"/>
        <v>1109062.4344350637</v>
      </c>
      <c r="AJ7" s="28">
        <f t="shared" si="6"/>
        <v>1131265.5423237651</v>
      </c>
      <c r="AK7" s="28">
        <f t="shared" si="6"/>
        <v>1153912.7123702404</v>
      </c>
      <c r="AL7" s="28">
        <f t="shared" si="6"/>
        <v>1177012.8258176451</v>
      </c>
      <c r="AM7" s="28">
        <f t="shared" si="6"/>
        <v>1200574.9415339981</v>
      </c>
      <c r="AN7" s="28">
        <f t="shared" si="6"/>
        <v>1284691.694641378</v>
      </c>
      <c r="AO7" s="28">
        <f t="shared" si="6"/>
        <v>1310407.3877342055</v>
      </c>
      <c r="AP7" s="28">
        <f t="shared" si="6"/>
        <v>1336637.3946888896</v>
      </c>
      <c r="AQ7" s="28">
        <f t="shared" si="6"/>
        <v>1363392.0017826674</v>
      </c>
      <c r="AR7" s="28">
        <f t="shared" si="6"/>
        <v>1390681.7010183211</v>
      </c>
      <c r="AS7" s="28">
        <f t="shared" si="6"/>
        <v>1418517.1942386876</v>
      </c>
      <c r="AT7" s="28">
        <f t="shared" si="6"/>
        <v>1446909.3973234615</v>
      </c>
      <c r="AU7" s="28">
        <f t="shared" si="6"/>
        <v>1475869.4444699304</v>
      </c>
      <c r="AV7" s="28">
        <f t="shared" si="6"/>
        <v>1505408.6925593291</v>
      </c>
      <c r="AW7" s="28">
        <f t="shared" si="6"/>
        <v>1535538.7256105158</v>
      </c>
      <c r="AX7" s="28">
        <f t="shared" ref="AX7:BB7" si="7">AX6*(1-$B$4)</f>
        <v>1566271.3593227263</v>
      </c>
      <c r="AY7" s="28">
        <f t="shared" si="7"/>
        <v>1597618.6457091807</v>
      </c>
      <c r="AZ7" s="28">
        <f t="shared" si="7"/>
        <v>1629592.8778233645</v>
      </c>
      <c r="BA7" s="28">
        <f t="shared" si="7"/>
        <v>1662206.5945798317</v>
      </c>
      <c r="BB7" s="28">
        <f t="shared" si="7"/>
        <v>1695472.5856714284</v>
      </c>
      <c r="BI7" s="2">
        <v>27636.668249128703</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29593.934250341041</v>
      </c>
    </row>
    <row r="9" spans="1:61" x14ac:dyDescent="0.2">
      <c r="A9" s="2" t="str">
        <v>Municipal Tax (%)</v>
      </c>
      <c r="B9" s="25">
        <v>0.25</v>
      </c>
      <c r="D9" s="2" t="s">
        <v>235</v>
      </c>
      <c r="E9" s="28">
        <f>E7-E8</f>
        <v>407221.41623762384</v>
      </c>
      <c r="F9" s="28">
        <f t="shared" ref="F9:AW9" si="9">F7-F8</f>
        <v>416419.70376237633</v>
      </c>
      <c r="G9" s="28">
        <f t="shared" si="9"/>
        <v>449257.59022574272</v>
      </c>
      <c r="H9" s="28">
        <f t="shared" si="9"/>
        <v>459296.60123025754</v>
      </c>
      <c r="I9" s="28">
        <f t="shared" si="9"/>
        <v>469536.39245486271</v>
      </c>
      <c r="J9" s="28">
        <f t="shared" si="9"/>
        <v>479980.97950396</v>
      </c>
      <c r="K9" s="28">
        <f t="shared" si="9"/>
        <v>517268.15526923712</v>
      </c>
      <c r="L9" s="28">
        <f t="shared" si="9"/>
        <v>528667.37757462193</v>
      </c>
      <c r="M9" s="28">
        <f t="shared" si="9"/>
        <v>540294.58432611439</v>
      </c>
      <c r="N9" s="28">
        <f t="shared" si="9"/>
        <v>552154.33521263662</v>
      </c>
      <c r="O9" s="28">
        <f t="shared" si="9"/>
        <v>594493.64587752114</v>
      </c>
      <c r="P9" s="28">
        <f t="shared" si="9"/>
        <v>607437.3779950717</v>
      </c>
      <c r="Q9" s="28">
        <f t="shared" si="9"/>
        <v>620639.98475497309</v>
      </c>
      <c r="R9" s="28">
        <f t="shared" si="9"/>
        <v>667773.29088782112</v>
      </c>
      <c r="S9" s="28">
        <f t="shared" si="9"/>
        <v>682182.61590557767</v>
      </c>
      <c r="T9" s="28">
        <f t="shared" si="9"/>
        <v>696880.12742368924</v>
      </c>
      <c r="U9" s="28">
        <f t="shared" si="9"/>
        <v>711871.58917216305</v>
      </c>
      <c r="V9" s="28">
        <f t="shared" si="9"/>
        <v>727162.88015560631</v>
      </c>
      <c r="W9" s="28">
        <f t="shared" si="9"/>
        <v>781752.7889664988</v>
      </c>
      <c r="X9" s="28">
        <f t="shared" si="9"/>
        <v>798441.70394582883</v>
      </c>
      <c r="Y9" s="28">
        <f t="shared" si="9"/>
        <v>815464.39722474536</v>
      </c>
      <c r="Z9" s="28">
        <f t="shared" si="9"/>
        <v>832827.54436924018</v>
      </c>
      <c r="AA9" s="28">
        <f t="shared" si="9"/>
        <v>894813.97967508691</v>
      </c>
      <c r="AB9" s="28">
        <f t="shared" si="9"/>
        <v>913764.1184685888</v>
      </c>
      <c r="AC9" s="28">
        <f t="shared" si="9"/>
        <v>933093.2600379606</v>
      </c>
      <c r="AD9" s="28">
        <f t="shared" si="9"/>
        <v>952808.98443871993</v>
      </c>
      <c r="AE9" s="28">
        <f t="shared" si="9"/>
        <v>972919.02332749427</v>
      </c>
      <c r="AF9" s="28">
        <f t="shared" si="9"/>
        <v>993431.26299404423</v>
      </c>
      <c r="AG9" s="28">
        <f t="shared" si="9"/>
        <v>1014353.747453925</v>
      </c>
      <c r="AH9" s="28">
        <f t="shared" si="9"/>
        <v>1035694.6816030038</v>
      </c>
      <c r="AI9" s="28">
        <f t="shared" si="9"/>
        <v>1057462.4344350637</v>
      </c>
      <c r="AJ9" s="28">
        <f t="shared" si="9"/>
        <v>1079665.5423237651</v>
      </c>
      <c r="AK9" s="28">
        <f t="shared" si="9"/>
        <v>1102312.7123702404</v>
      </c>
      <c r="AL9" s="28">
        <f t="shared" si="9"/>
        <v>1125412.8258176451</v>
      </c>
      <c r="AM9" s="28">
        <f t="shared" si="9"/>
        <v>1148974.9415339981</v>
      </c>
      <c r="AN9" s="28">
        <f t="shared" si="9"/>
        <v>1233091.694641378</v>
      </c>
      <c r="AO9" s="28">
        <f t="shared" si="9"/>
        <v>1258807.3877342055</v>
      </c>
      <c r="AP9" s="28">
        <f t="shared" si="9"/>
        <v>1285037.3946888896</v>
      </c>
      <c r="AQ9" s="28">
        <f t="shared" si="9"/>
        <v>1311792.0017826674</v>
      </c>
      <c r="AR9" s="28">
        <f t="shared" si="9"/>
        <v>1339081.7010183211</v>
      </c>
      <c r="AS9" s="28">
        <f t="shared" si="9"/>
        <v>1366917.1942386876</v>
      </c>
      <c r="AT9" s="28">
        <f t="shared" si="9"/>
        <v>1395309.3973234615</v>
      </c>
      <c r="AU9" s="28">
        <f t="shared" si="9"/>
        <v>1424269.4444699304</v>
      </c>
      <c r="AV9" s="28">
        <f t="shared" si="9"/>
        <v>1453808.6925593291</v>
      </c>
      <c r="AW9" s="28">
        <f t="shared" si="9"/>
        <v>1483938.7256105158</v>
      </c>
      <c r="AX9" s="28">
        <f t="shared" ref="AX9:BB9" si="10">AX7-AX8</f>
        <v>1514671.3593227263</v>
      </c>
      <c r="AY9" s="28">
        <f t="shared" si="10"/>
        <v>1546018.6457091807</v>
      </c>
      <c r="AZ9" s="28">
        <f t="shared" si="10"/>
        <v>1577992.8778233645</v>
      </c>
      <c r="BA9" s="28">
        <f t="shared" si="10"/>
        <v>1610606.5945798317</v>
      </c>
      <c r="BB9" s="28">
        <f t="shared" si="10"/>
        <v>1643872.5856714284</v>
      </c>
      <c r="BI9" s="2">
        <v>30192.29842785453</v>
      </c>
    </row>
    <row r="10" spans="1:61" x14ac:dyDescent="0.2">
      <c r="A10" s="2" t="str">
        <v>Capital Gains &lt; 67,500DKK</v>
      </c>
      <c r="B10" s="28">
        <v>0.27</v>
      </c>
      <c r="D10" s="2" t="s">
        <v>189</v>
      </c>
      <c r="E10" s="28">
        <f>E7*$B$9</f>
        <v>114705.35405940596</v>
      </c>
      <c r="F10" s="28">
        <f t="shared" ref="F10:AW10" si="11">F7*$B$9</f>
        <v>117004.92594059408</v>
      </c>
      <c r="G10" s="28">
        <f t="shared" si="11"/>
        <v>125214.39755643568</v>
      </c>
      <c r="H10" s="28">
        <f t="shared" si="11"/>
        <v>127724.15030756439</v>
      </c>
      <c r="I10" s="28">
        <f t="shared" si="11"/>
        <v>130284.09811371568</v>
      </c>
      <c r="J10" s="28">
        <f t="shared" si="11"/>
        <v>132895.24487599</v>
      </c>
      <c r="K10" s="28">
        <f t="shared" si="11"/>
        <v>142217.03881730928</v>
      </c>
      <c r="L10" s="28">
        <f t="shared" si="11"/>
        <v>145066.84439365548</v>
      </c>
      <c r="M10" s="28">
        <f t="shared" si="11"/>
        <v>147973.6460815286</v>
      </c>
      <c r="N10" s="28">
        <f t="shared" si="11"/>
        <v>150938.58380315916</v>
      </c>
      <c r="O10" s="28">
        <f t="shared" si="11"/>
        <v>161523.41146938028</v>
      </c>
      <c r="P10" s="28">
        <f t="shared" si="11"/>
        <v>164759.34449876792</v>
      </c>
      <c r="Q10" s="28">
        <f t="shared" si="11"/>
        <v>168059.99618874327</v>
      </c>
      <c r="R10" s="28">
        <f t="shared" si="11"/>
        <v>179843.32272195528</v>
      </c>
      <c r="S10" s="28">
        <f t="shared" si="11"/>
        <v>183445.65397639442</v>
      </c>
      <c r="T10" s="28">
        <f t="shared" si="11"/>
        <v>187120.03185592231</v>
      </c>
      <c r="U10" s="28">
        <f t="shared" si="11"/>
        <v>190867.89729304076</v>
      </c>
      <c r="V10" s="28">
        <f t="shared" si="11"/>
        <v>194690.72003890158</v>
      </c>
      <c r="W10" s="28">
        <f t="shared" si="11"/>
        <v>208338.1972416247</v>
      </c>
      <c r="X10" s="28">
        <f t="shared" si="11"/>
        <v>212510.42598645721</v>
      </c>
      <c r="Y10" s="28">
        <f t="shared" si="11"/>
        <v>216766.09930618634</v>
      </c>
      <c r="Z10" s="28">
        <f t="shared" si="11"/>
        <v>221106.88609231004</v>
      </c>
      <c r="AA10" s="28">
        <f t="shared" si="11"/>
        <v>236603.49491877173</v>
      </c>
      <c r="AB10" s="28">
        <f t="shared" si="11"/>
        <v>241341.0296171472</v>
      </c>
      <c r="AC10" s="28">
        <f t="shared" si="11"/>
        <v>246173.31500949015</v>
      </c>
      <c r="AD10" s="28">
        <f t="shared" si="11"/>
        <v>251102.24610967998</v>
      </c>
      <c r="AE10" s="28">
        <f t="shared" si="11"/>
        <v>256129.75583187357</v>
      </c>
      <c r="AF10" s="28">
        <f t="shared" si="11"/>
        <v>261257.81574851106</v>
      </c>
      <c r="AG10" s="28">
        <f t="shared" si="11"/>
        <v>266488.43686348124</v>
      </c>
      <c r="AH10" s="28">
        <f t="shared" si="11"/>
        <v>271823.67040075094</v>
      </c>
      <c r="AI10" s="28">
        <f t="shared" si="11"/>
        <v>277265.60860876594</v>
      </c>
      <c r="AJ10" s="28">
        <f t="shared" si="11"/>
        <v>282816.38558094128</v>
      </c>
      <c r="AK10" s="28">
        <f t="shared" si="11"/>
        <v>288478.17809256009</v>
      </c>
      <c r="AL10" s="28">
        <f t="shared" si="11"/>
        <v>294253.20645441127</v>
      </c>
      <c r="AM10" s="28">
        <f t="shared" si="11"/>
        <v>300143.73538349953</v>
      </c>
      <c r="AN10" s="28">
        <f t="shared" si="11"/>
        <v>321172.9236603445</v>
      </c>
      <c r="AO10" s="28">
        <f t="shared" si="11"/>
        <v>327601.84693355137</v>
      </c>
      <c r="AP10" s="28">
        <f t="shared" si="11"/>
        <v>334159.3486722224</v>
      </c>
      <c r="AQ10" s="28">
        <f t="shared" si="11"/>
        <v>340848.00044566684</v>
      </c>
      <c r="AR10" s="28">
        <f t="shared" si="11"/>
        <v>347670.42525458027</v>
      </c>
      <c r="AS10" s="28">
        <f t="shared" si="11"/>
        <v>354629.29855967191</v>
      </c>
      <c r="AT10" s="28">
        <f t="shared" si="11"/>
        <v>361727.34933086537</v>
      </c>
      <c r="AU10" s="28">
        <f t="shared" si="11"/>
        <v>368967.36111748259</v>
      </c>
      <c r="AV10" s="28">
        <f t="shared" si="11"/>
        <v>376352.17313983227</v>
      </c>
      <c r="AW10" s="28">
        <f t="shared" si="11"/>
        <v>383884.68140262895</v>
      </c>
      <c r="AX10" s="28">
        <f t="shared" ref="AX10:BB10" si="12">AX7*$B$9</f>
        <v>391567.83983068157</v>
      </c>
      <c r="AY10" s="28">
        <f t="shared" si="12"/>
        <v>399404.66142729518</v>
      </c>
      <c r="AZ10" s="28">
        <f t="shared" si="12"/>
        <v>407398.21945584111</v>
      </c>
      <c r="BA10" s="28">
        <f t="shared" si="12"/>
        <v>415551.64864495792</v>
      </c>
      <c r="BB10" s="28">
        <f t="shared" si="12"/>
        <v>423868.14641785709</v>
      </c>
      <c r="BI10" s="2">
        <v>30802.629888918291</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335.99771324596367</v>
      </c>
      <c r="R11" s="28">
        <f t="shared" si="13"/>
        <v>7405.9936331731669</v>
      </c>
      <c r="S11" s="28">
        <f t="shared" si="13"/>
        <v>9567.3923858366488</v>
      </c>
      <c r="T11" s="28">
        <f t="shared" si="13"/>
        <v>11772.019113553384</v>
      </c>
      <c r="U11" s="28">
        <f t="shared" si="13"/>
        <v>14020.738375824456</v>
      </c>
      <c r="V11" s="28">
        <f t="shared" si="13"/>
        <v>16314.432023340945</v>
      </c>
      <c r="W11" s="28">
        <f t="shared" si="13"/>
        <v>24502.91834497482</v>
      </c>
      <c r="X11" s="28">
        <f t="shared" si="13"/>
        <v>27006.255591874324</v>
      </c>
      <c r="Y11" s="28">
        <f t="shared" si="13"/>
        <v>29559.659583711804</v>
      </c>
      <c r="Z11" s="28">
        <f t="shared" si="13"/>
        <v>32164.131655386023</v>
      </c>
      <c r="AA11" s="28">
        <f t="shared" si="13"/>
        <v>41462.096951263033</v>
      </c>
      <c r="AB11" s="28">
        <f t="shared" si="13"/>
        <v>44304.617770288321</v>
      </c>
      <c r="AC11" s="28">
        <f t="shared" si="13"/>
        <v>47203.989005694086</v>
      </c>
      <c r="AD11" s="28">
        <f t="shared" si="13"/>
        <v>50161.347665807989</v>
      </c>
      <c r="AE11" s="28">
        <f t="shared" si="13"/>
        <v>53177.853499124139</v>
      </c>
      <c r="AF11" s="28">
        <f t="shared" si="13"/>
        <v>56254.689449106634</v>
      </c>
      <c r="AG11" s="28">
        <f t="shared" si="13"/>
        <v>59393.062118088739</v>
      </c>
      <c r="AH11" s="28">
        <f t="shared" si="13"/>
        <v>62594.202240450562</v>
      </c>
      <c r="AI11" s="28">
        <f t="shared" si="13"/>
        <v>65859.365165259558</v>
      </c>
      <c r="AJ11" s="28">
        <f t="shared" si="13"/>
        <v>69189.831348564767</v>
      </c>
      <c r="AK11" s="28">
        <f t="shared" si="13"/>
        <v>72586.906855536057</v>
      </c>
      <c r="AL11" s="28">
        <f t="shared" si="13"/>
        <v>76051.923872646759</v>
      </c>
      <c r="AM11" s="28">
        <f t="shared" si="13"/>
        <v>79586.241230099709</v>
      </c>
      <c r="AN11" s="28">
        <f t="shared" si="13"/>
        <v>92203.754196206704</v>
      </c>
      <c r="AO11" s="28">
        <f t="shared" si="13"/>
        <v>96061.108160130811</v>
      </c>
      <c r="AP11" s="28">
        <f t="shared" si="13"/>
        <v>99995.609203333443</v>
      </c>
      <c r="AQ11" s="28">
        <f t="shared" si="13"/>
        <v>104008.8002674001</v>
      </c>
      <c r="AR11" s="28">
        <f t="shared" si="13"/>
        <v>108102.25515274816</v>
      </c>
      <c r="AS11" s="28">
        <f t="shared" si="13"/>
        <v>112277.57913580314</v>
      </c>
      <c r="AT11" s="28">
        <f t="shared" si="13"/>
        <v>116536.40959851923</v>
      </c>
      <c r="AU11" s="28">
        <f t="shared" si="13"/>
        <v>120880.41667048955</v>
      </c>
      <c r="AV11" s="28">
        <f t="shared" si="13"/>
        <v>125311.30388389935</v>
      </c>
      <c r="AW11" s="28">
        <f t="shared" si="13"/>
        <v>129830.80884157737</v>
      </c>
      <c r="AX11" s="28">
        <f t="shared" ref="AX11:BB11" si="14">MAX(AX9-$B$8,0)*$B$7</f>
        <v>134440.70389840894</v>
      </c>
      <c r="AY11" s="28">
        <f t="shared" si="14"/>
        <v>139142.7968563771</v>
      </c>
      <c r="AZ11" s="28">
        <f t="shared" si="14"/>
        <v>143938.93167350467</v>
      </c>
      <c r="BA11" s="28">
        <f t="shared" si="14"/>
        <v>148830.98918697474</v>
      </c>
      <c r="BB11" s="28">
        <f t="shared" si="14"/>
        <v>153820.88785071424</v>
      </c>
      <c r="BI11" s="2">
        <v>31425.167979203321</v>
      </c>
    </row>
    <row r="12" spans="1:61" x14ac:dyDescent="0.2">
      <c r="A12" s="2" t="str">
        <v>Capital Gains Threshold</v>
      </c>
      <c r="B12" s="53">
        <v>67500</v>
      </c>
      <c r="D12" s="2" t="s">
        <v>191</v>
      </c>
      <c r="E12" s="28">
        <f>E9*$B$6</f>
        <v>48907.292090138624</v>
      </c>
      <c r="F12" s="28">
        <f t="shared" ref="F12:AW12" si="15">F9*$B$6</f>
        <v>50012.006421861399</v>
      </c>
      <c r="G12" s="28">
        <f t="shared" si="15"/>
        <v>53955.836586111698</v>
      </c>
      <c r="H12" s="28">
        <f t="shared" si="15"/>
        <v>55161.521807753932</v>
      </c>
      <c r="I12" s="28">
        <f t="shared" si="15"/>
        <v>56391.320733829009</v>
      </c>
      <c r="J12" s="28">
        <f t="shared" si="15"/>
        <v>57645.715638425594</v>
      </c>
      <c r="K12" s="28">
        <f t="shared" si="15"/>
        <v>62123.905447835379</v>
      </c>
      <c r="L12" s="28">
        <f t="shared" si="15"/>
        <v>63492.952046712096</v>
      </c>
      <c r="M12" s="28">
        <f t="shared" si="15"/>
        <v>64889.379577566338</v>
      </c>
      <c r="N12" s="28">
        <f t="shared" si="15"/>
        <v>66313.735659037658</v>
      </c>
      <c r="O12" s="28">
        <f t="shared" si="15"/>
        <v>71398.686869890284</v>
      </c>
      <c r="P12" s="28">
        <f t="shared" si="15"/>
        <v>72953.22909720811</v>
      </c>
      <c r="Q12" s="28">
        <f t="shared" si="15"/>
        <v>74538.862169072265</v>
      </c>
      <c r="R12" s="28">
        <f t="shared" si="15"/>
        <v>80199.572235627318</v>
      </c>
      <c r="S12" s="28">
        <f t="shared" si="15"/>
        <v>81930.13217025988</v>
      </c>
      <c r="T12" s="28">
        <f t="shared" si="15"/>
        <v>83695.303303585082</v>
      </c>
      <c r="U12" s="28">
        <f t="shared" si="15"/>
        <v>85495.777859576774</v>
      </c>
      <c r="V12" s="28">
        <f t="shared" si="15"/>
        <v>87332.26190668832</v>
      </c>
      <c r="W12" s="28">
        <f t="shared" si="15"/>
        <v>93888.509954876499</v>
      </c>
      <c r="X12" s="28">
        <f t="shared" si="15"/>
        <v>95892.848643894045</v>
      </c>
      <c r="Y12" s="28">
        <f t="shared" si="15"/>
        <v>97937.274106691912</v>
      </c>
      <c r="Z12" s="28">
        <f t="shared" si="15"/>
        <v>100022.58807874574</v>
      </c>
      <c r="AA12" s="28">
        <f t="shared" si="15"/>
        <v>107467.15895897793</v>
      </c>
      <c r="AB12" s="28">
        <f t="shared" si="15"/>
        <v>109743.07062807752</v>
      </c>
      <c r="AC12" s="28">
        <f t="shared" si="15"/>
        <v>112064.50053055906</v>
      </c>
      <c r="AD12" s="28">
        <f t="shared" si="15"/>
        <v>114432.35903109027</v>
      </c>
      <c r="AE12" s="28">
        <f t="shared" si="15"/>
        <v>116847.57470163207</v>
      </c>
      <c r="AF12" s="28">
        <f t="shared" si="15"/>
        <v>119311.09468558471</v>
      </c>
      <c r="AG12" s="28">
        <f t="shared" si="15"/>
        <v>121823.88506921638</v>
      </c>
      <c r="AH12" s="28">
        <f t="shared" si="15"/>
        <v>124386.93126052075</v>
      </c>
      <c r="AI12" s="28">
        <f t="shared" si="15"/>
        <v>127001.23837565116</v>
      </c>
      <c r="AJ12" s="28">
        <f t="shared" si="15"/>
        <v>129667.83163308419</v>
      </c>
      <c r="AK12" s="28">
        <f t="shared" si="15"/>
        <v>132387.75675566588</v>
      </c>
      <c r="AL12" s="28">
        <f t="shared" si="15"/>
        <v>135162.08038069916</v>
      </c>
      <c r="AM12" s="28">
        <f t="shared" si="15"/>
        <v>137991.89047823317</v>
      </c>
      <c r="AN12" s="28">
        <f t="shared" si="15"/>
        <v>148094.31252642951</v>
      </c>
      <c r="AO12" s="28">
        <f t="shared" si="15"/>
        <v>151182.76726687807</v>
      </c>
      <c r="AP12" s="28">
        <f t="shared" si="15"/>
        <v>154332.99110213565</v>
      </c>
      <c r="AQ12" s="28">
        <f t="shared" si="15"/>
        <v>157546.21941409833</v>
      </c>
      <c r="AR12" s="28">
        <f t="shared" si="15"/>
        <v>160823.71229230036</v>
      </c>
      <c r="AS12" s="28">
        <f t="shared" si="15"/>
        <v>164166.75502806637</v>
      </c>
      <c r="AT12" s="28">
        <f t="shared" si="15"/>
        <v>167576.65861854772</v>
      </c>
      <c r="AU12" s="28">
        <f t="shared" si="15"/>
        <v>171054.76028083864</v>
      </c>
      <c r="AV12" s="28">
        <f t="shared" si="15"/>
        <v>174602.42397637543</v>
      </c>
      <c r="AW12" s="28">
        <f t="shared" si="15"/>
        <v>178221.04094582296</v>
      </c>
      <c r="AX12" s="28">
        <f t="shared" ref="AX12:BB12" si="16">AX9*$B$6</f>
        <v>181912.03025465942</v>
      </c>
      <c r="AY12" s="28">
        <f t="shared" si="16"/>
        <v>185676.83934967261</v>
      </c>
      <c r="AZ12" s="28">
        <f t="shared" si="16"/>
        <v>189516.94462658608</v>
      </c>
      <c r="BA12" s="28">
        <f t="shared" si="16"/>
        <v>193433.85200903777</v>
      </c>
      <c r="BB12" s="28">
        <f t="shared" si="16"/>
        <v>197429.09753913854</v>
      </c>
      <c r="BI12" s="2">
        <v>33647.628961520881</v>
      </c>
    </row>
    <row r="13" spans="1:61" x14ac:dyDescent="0.2">
      <c r="A13" s="2" t="s">
        <v>254</v>
      </c>
      <c r="B13" s="58">
        <v>99</v>
      </c>
      <c r="D13" s="2" t="s">
        <v>192</v>
      </c>
      <c r="E13" s="28">
        <f>SUM(E10:E12)</f>
        <v>163612.64614954457</v>
      </c>
      <c r="F13" s="28">
        <f t="shared" ref="F13:AW13" si="17">SUM(F10:F12)</f>
        <v>167016.93236245547</v>
      </c>
      <c r="G13" s="28">
        <f t="shared" si="17"/>
        <v>179170.23414254739</v>
      </c>
      <c r="H13" s="28">
        <f t="shared" si="17"/>
        <v>182885.6721153183</v>
      </c>
      <c r="I13" s="28">
        <f t="shared" si="17"/>
        <v>186675.4188475447</v>
      </c>
      <c r="J13" s="28">
        <f t="shared" si="17"/>
        <v>190540.96051441558</v>
      </c>
      <c r="K13" s="28">
        <f t="shared" si="17"/>
        <v>204340.94426514464</v>
      </c>
      <c r="L13" s="28">
        <f t="shared" si="17"/>
        <v>208559.79644036759</v>
      </c>
      <c r="M13" s="28">
        <f t="shared" si="17"/>
        <v>212863.02565909494</v>
      </c>
      <c r="N13" s="28">
        <f t="shared" si="17"/>
        <v>217252.31946219681</v>
      </c>
      <c r="O13" s="28">
        <f t="shared" si="17"/>
        <v>232922.09833927057</v>
      </c>
      <c r="P13" s="28">
        <f t="shared" si="17"/>
        <v>237712.57359597605</v>
      </c>
      <c r="Q13" s="28">
        <f t="shared" si="17"/>
        <v>242934.85607106151</v>
      </c>
      <c r="R13" s="28">
        <f t="shared" si="17"/>
        <v>267448.88859075576</v>
      </c>
      <c r="S13" s="28">
        <f t="shared" si="17"/>
        <v>274943.17853249097</v>
      </c>
      <c r="T13" s="28">
        <f t="shared" si="17"/>
        <v>282587.3542730608</v>
      </c>
      <c r="U13" s="28">
        <f t="shared" si="17"/>
        <v>290384.41352844203</v>
      </c>
      <c r="V13" s="28">
        <f t="shared" si="17"/>
        <v>298337.41396893084</v>
      </c>
      <c r="W13" s="28">
        <f t="shared" si="17"/>
        <v>326729.62554147601</v>
      </c>
      <c r="X13" s="28">
        <f t="shared" si="17"/>
        <v>335409.53022222559</v>
      </c>
      <c r="Y13" s="28">
        <f t="shared" si="17"/>
        <v>344263.03299659002</v>
      </c>
      <c r="Z13" s="28">
        <f t="shared" si="17"/>
        <v>353293.60582644184</v>
      </c>
      <c r="AA13" s="28">
        <f t="shared" si="17"/>
        <v>385532.75082901272</v>
      </c>
      <c r="AB13" s="28">
        <f t="shared" si="17"/>
        <v>395388.71801551303</v>
      </c>
      <c r="AC13" s="28">
        <f t="shared" si="17"/>
        <v>405441.80454574327</v>
      </c>
      <c r="AD13" s="28">
        <f t="shared" si="17"/>
        <v>415695.95280657825</v>
      </c>
      <c r="AE13" s="28">
        <f t="shared" si="17"/>
        <v>426155.18403262977</v>
      </c>
      <c r="AF13" s="28">
        <f t="shared" si="17"/>
        <v>436823.59988320241</v>
      </c>
      <c r="AG13" s="28">
        <f t="shared" si="17"/>
        <v>447705.38405078638</v>
      </c>
      <c r="AH13" s="28">
        <f t="shared" si="17"/>
        <v>458804.80390172225</v>
      </c>
      <c r="AI13" s="28">
        <f t="shared" si="17"/>
        <v>470126.21214967663</v>
      </c>
      <c r="AJ13" s="28">
        <f t="shared" si="17"/>
        <v>481674.04856259027</v>
      </c>
      <c r="AK13" s="28">
        <f t="shared" si="17"/>
        <v>493452.84170376201</v>
      </c>
      <c r="AL13" s="28">
        <f t="shared" si="17"/>
        <v>505467.21070775716</v>
      </c>
      <c r="AM13" s="28">
        <f t="shared" si="17"/>
        <v>517721.86709183239</v>
      </c>
      <c r="AN13" s="28">
        <f t="shared" si="17"/>
        <v>561470.99038298067</v>
      </c>
      <c r="AO13" s="28">
        <f t="shared" si="17"/>
        <v>574845.7223605602</v>
      </c>
      <c r="AP13" s="28">
        <f t="shared" si="17"/>
        <v>588487.94897769147</v>
      </c>
      <c r="AQ13" s="28">
        <f t="shared" si="17"/>
        <v>602403.02012716525</v>
      </c>
      <c r="AR13" s="28">
        <f t="shared" si="17"/>
        <v>616596.39269962884</v>
      </c>
      <c r="AS13" s="28">
        <f t="shared" si="17"/>
        <v>631073.63272354146</v>
      </c>
      <c r="AT13" s="28">
        <f t="shared" si="17"/>
        <v>645840.41754793236</v>
      </c>
      <c r="AU13" s="28">
        <f t="shared" si="17"/>
        <v>660902.53806881071</v>
      </c>
      <c r="AV13" s="28">
        <f t="shared" si="17"/>
        <v>676265.90100010706</v>
      </c>
      <c r="AW13" s="28">
        <f t="shared" si="17"/>
        <v>691936.53119002935</v>
      </c>
      <c r="AX13" s="28">
        <f t="shared" ref="AX13:BB13" si="18">SUM(AX10:AX12)</f>
        <v>707920.57398374984</v>
      </c>
      <c r="AY13" s="28">
        <f t="shared" si="18"/>
        <v>724224.29763334501</v>
      </c>
      <c r="AZ13" s="28">
        <f t="shared" si="18"/>
        <v>740854.0957559318</v>
      </c>
      <c r="BA13" s="28">
        <f t="shared" si="18"/>
        <v>757816.48984097037</v>
      </c>
      <c r="BB13" s="28">
        <f t="shared" si="18"/>
        <v>775118.13180770981</v>
      </c>
      <c r="BI13" s="2">
        <v>34327.067033257968</v>
      </c>
    </row>
    <row r="14" spans="1:61" x14ac:dyDescent="0.2">
      <c r="A14" s="2" t="s">
        <v>255</v>
      </c>
      <c r="B14" s="28">
        <f>B13*12</f>
        <v>1188</v>
      </c>
      <c r="D14" s="2" t="s">
        <v>193</v>
      </c>
      <c r="E14" s="28">
        <f>E7-E13</f>
        <v>295208.77008807927</v>
      </c>
      <c r="F14" s="28">
        <f t="shared" ref="F14:AW14" si="19">F7-F13</f>
        <v>301002.77139992086</v>
      </c>
      <c r="G14" s="28">
        <f t="shared" si="19"/>
        <v>321687.35608319531</v>
      </c>
      <c r="H14" s="28">
        <f t="shared" si="19"/>
        <v>328010.92911493924</v>
      </c>
      <c r="I14" s="28">
        <f t="shared" si="19"/>
        <v>334460.97360731801</v>
      </c>
      <c r="J14" s="28">
        <f t="shared" si="19"/>
        <v>341040.01898954442</v>
      </c>
      <c r="K14" s="28">
        <f t="shared" si="19"/>
        <v>364527.21100409247</v>
      </c>
      <c r="L14" s="28">
        <f t="shared" si="19"/>
        <v>371707.58113425435</v>
      </c>
      <c r="M14" s="28">
        <f t="shared" si="19"/>
        <v>379031.55866701948</v>
      </c>
      <c r="N14" s="28">
        <f t="shared" si="19"/>
        <v>386502.01575043984</v>
      </c>
      <c r="O14" s="28">
        <f t="shared" si="19"/>
        <v>413171.54753825057</v>
      </c>
      <c r="P14" s="28">
        <f t="shared" si="19"/>
        <v>421324.80439909565</v>
      </c>
      <c r="Q14" s="28">
        <f t="shared" si="19"/>
        <v>429305.12868391158</v>
      </c>
      <c r="R14" s="28">
        <f t="shared" si="19"/>
        <v>451924.40229706536</v>
      </c>
      <c r="S14" s="28">
        <f t="shared" si="19"/>
        <v>458839.43737308669</v>
      </c>
      <c r="T14" s="28">
        <f t="shared" si="19"/>
        <v>465892.77315062843</v>
      </c>
      <c r="U14" s="28">
        <f t="shared" si="19"/>
        <v>473087.17564372101</v>
      </c>
      <c r="V14" s="28">
        <f t="shared" si="19"/>
        <v>480425.46618667548</v>
      </c>
      <c r="W14" s="28">
        <f t="shared" si="19"/>
        <v>506623.16342502279</v>
      </c>
      <c r="X14" s="28">
        <f t="shared" si="19"/>
        <v>514632.17372360325</v>
      </c>
      <c r="Y14" s="28">
        <f t="shared" si="19"/>
        <v>522801.36422815535</v>
      </c>
      <c r="Z14" s="28">
        <f t="shared" si="19"/>
        <v>531133.93854279839</v>
      </c>
      <c r="AA14" s="28">
        <f t="shared" si="19"/>
        <v>560881.2288460742</v>
      </c>
      <c r="AB14" s="28">
        <f t="shared" si="19"/>
        <v>569975.40045307577</v>
      </c>
      <c r="AC14" s="28">
        <f t="shared" si="19"/>
        <v>579251.45549221733</v>
      </c>
      <c r="AD14" s="28">
        <f t="shared" si="19"/>
        <v>588713.03163214168</v>
      </c>
      <c r="AE14" s="28">
        <f t="shared" si="19"/>
        <v>598363.83929486456</v>
      </c>
      <c r="AF14" s="28">
        <f t="shared" si="19"/>
        <v>608207.66311084176</v>
      </c>
      <c r="AG14" s="28">
        <f t="shared" si="19"/>
        <v>618248.36340313859</v>
      </c>
      <c r="AH14" s="28">
        <f t="shared" si="19"/>
        <v>628489.87770128157</v>
      </c>
      <c r="AI14" s="28">
        <f t="shared" si="19"/>
        <v>638936.22228538711</v>
      </c>
      <c r="AJ14" s="28">
        <f t="shared" si="19"/>
        <v>649591.49376117485</v>
      </c>
      <c r="AK14" s="28">
        <f t="shared" si="19"/>
        <v>660459.87066647829</v>
      </c>
      <c r="AL14" s="28">
        <f t="shared" si="19"/>
        <v>671545.61510988791</v>
      </c>
      <c r="AM14" s="28">
        <f t="shared" si="19"/>
        <v>682853.07444216567</v>
      </c>
      <c r="AN14" s="28">
        <f t="shared" si="19"/>
        <v>723220.70425839734</v>
      </c>
      <c r="AO14" s="28">
        <f t="shared" si="19"/>
        <v>735561.66537364526</v>
      </c>
      <c r="AP14" s="28">
        <f t="shared" si="19"/>
        <v>748149.44571119815</v>
      </c>
      <c r="AQ14" s="28">
        <f t="shared" si="19"/>
        <v>760988.98165550211</v>
      </c>
      <c r="AR14" s="28">
        <f t="shared" si="19"/>
        <v>774085.30831869226</v>
      </c>
      <c r="AS14" s="28">
        <f t="shared" si="19"/>
        <v>787443.56151514617</v>
      </c>
      <c r="AT14" s="28">
        <f t="shared" si="19"/>
        <v>801068.97977552912</v>
      </c>
      <c r="AU14" s="28">
        <f t="shared" si="19"/>
        <v>814966.90640111966</v>
      </c>
      <c r="AV14" s="28">
        <f t="shared" si="19"/>
        <v>829142.79155922204</v>
      </c>
      <c r="AW14" s="28">
        <f t="shared" si="19"/>
        <v>843602.19442048646</v>
      </c>
      <c r="AX14" s="28">
        <f t="shared" ref="AX14:BB14" si="20">AX7-AX13</f>
        <v>858350.78533897642</v>
      </c>
      <c r="AY14" s="28">
        <f t="shared" si="20"/>
        <v>873394.34807583573</v>
      </c>
      <c r="AZ14" s="28">
        <f t="shared" si="20"/>
        <v>888738.78206743265</v>
      </c>
      <c r="BA14" s="28">
        <f t="shared" si="20"/>
        <v>904390.10473886132</v>
      </c>
      <c r="BB14" s="28">
        <f t="shared" si="20"/>
        <v>920354.45386371855</v>
      </c>
      <c r="BI14" s="2">
        <v>34992.094056992632</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36877.033524755447</v>
      </c>
    </row>
    <row r="16" spans="1:61" x14ac:dyDescent="0.2">
      <c r="D16" s="2" t="s">
        <v>267</v>
      </c>
      <c r="E16" s="28">
        <f>E14-E15</f>
        <v>285808.77008807927</v>
      </c>
      <c r="F16" s="28">
        <f t="shared" ref="F16:AW16" si="22">F14-F15</f>
        <v>291602.77139992086</v>
      </c>
      <c r="G16" s="28">
        <f t="shared" si="22"/>
        <v>312287.35608319531</v>
      </c>
      <c r="H16" s="28">
        <f t="shared" si="22"/>
        <v>318610.92911493924</v>
      </c>
      <c r="I16" s="28">
        <f t="shared" si="22"/>
        <v>325060.97360731801</v>
      </c>
      <c r="J16" s="28">
        <f t="shared" si="22"/>
        <v>331640.01898954442</v>
      </c>
      <c r="K16" s="28">
        <f t="shared" si="22"/>
        <v>355127.21100409247</v>
      </c>
      <c r="L16" s="28">
        <f t="shared" si="22"/>
        <v>362307.58113425435</v>
      </c>
      <c r="M16" s="28">
        <f t="shared" si="22"/>
        <v>369631.55866701948</v>
      </c>
      <c r="N16" s="28">
        <f t="shared" si="22"/>
        <v>377102.01575043984</v>
      </c>
      <c r="O16" s="28">
        <f t="shared" si="22"/>
        <v>403771.54753825057</v>
      </c>
      <c r="P16" s="28">
        <f t="shared" si="22"/>
        <v>411924.80439909565</v>
      </c>
      <c r="Q16" s="28">
        <f t="shared" si="22"/>
        <v>419905.12868391158</v>
      </c>
      <c r="R16" s="28">
        <f t="shared" si="22"/>
        <v>442524.40229706536</v>
      </c>
      <c r="S16" s="28">
        <f t="shared" si="22"/>
        <v>449439.43737308669</v>
      </c>
      <c r="T16" s="28">
        <f t="shared" si="22"/>
        <v>456492.77315062843</v>
      </c>
      <c r="U16" s="28">
        <f t="shared" si="22"/>
        <v>463687.17564372101</v>
      </c>
      <c r="V16" s="28">
        <f t="shared" si="22"/>
        <v>471025.46618667548</v>
      </c>
      <c r="W16" s="28">
        <f t="shared" si="22"/>
        <v>497223.16342502279</v>
      </c>
      <c r="X16" s="28">
        <f t="shared" si="22"/>
        <v>505232.17372360325</v>
      </c>
      <c r="Y16" s="28">
        <f t="shared" si="22"/>
        <v>513401.36422815535</v>
      </c>
      <c r="Z16" s="28">
        <f t="shared" si="22"/>
        <v>521733.93854279839</v>
      </c>
      <c r="AA16" s="28">
        <f t="shared" si="22"/>
        <v>551481.2288460742</v>
      </c>
      <c r="AB16" s="28">
        <f t="shared" si="22"/>
        <v>560575.40045307577</v>
      </c>
      <c r="AC16" s="28">
        <f t="shared" si="22"/>
        <v>569851.45549221733</v>
      </c>
      <c r="AD16" s="28">
        <f t="shared" si="22"/>
        <v>579313.03163214168</v>
      </c>
      <c r="AE16" s="28">
        <f t="shared" si="22"/>
        <v>588963.83929486456</v>
      </c>
      <c r="AF16" s="28">
        <f t="shared" si="22"/>
        <v>598807.66311084176</v>
      </c>
      <c r="AG16" s="28">
        <f t="shared" si="22"/>
        <v>608848.36340313859</v>
      </c>
      <c r="AH16" s="28">
        <f t="shared" si="22"/>
        <v>619089.87770128157</v>
      </c>
      <c r="AI16" s="28">
        <f t="shared" si="22"/>
        <v>629536.22228538711</v>
      </c>
      <c r="AJ16" s="28">
        <f t="shared" si="22"/>
        <v>640191.49376117485</v>
      </c>
      <c r="AK16" s="28">
        <f t="shared" si="22"/>
        <v>651059.87066647829</v>
      </c>
      <c r="AL16" s="28">
        <f t="shared" si="22"/>
        <v>662145.61510988791</v>
      </c>
      <c r="AM16" s="28">
        <f t="shared" si="22"/>
        <v>673453.07444216567</v>
      </c>
      <c r="AN16" s="28">
        <f t="shared" si="22"/>
        <v>713820.70425839734</v>
      </c>
      <c r="AO16" s="28">
        <f t="shared" si="22"/>
        <v>726161.66537364526</v>
      </c>
      <c r="AP16" s="28">
        <f t="shared" si="22"/>
        <v>738749.44571119815</v>
      </c>
      <c r="AQ16" s="28">
        <f t="shared" si="22"/>
        <v>751588.98165550211</v>
      </c>
      <c r="AR16" s="28">
        <f t="shared" si="22"/>
        <v>764685.30831869226</v>
      </c>
      <c r="AS16" s="28">
        <f t="shared" si="22"/>
        <v>778043.56151514617</v>
      </c>
      <c r="AT16" s="28">
        <f t="shared" si="22"/>
        <v>791668.97977552912</v>
      </c>
      <c r="AU16" s="28">
        <f t="shared" si="22"/>
        <v>805566.90640111966</v>
      </c>
      <c r="AV16" s="28">
        <f t="shared" si="22"/>
        <v>819742.79155922204</v>
      </c>
      <c r="AW16" s="28">
        <f t="shared" si="22"/>
        <v>834202.19442048646</v>
      </c>
      <c r="AX16" s="28">
        <f t="shared" ref="AX16:BB16" si="23">AX14-AX15</f>
        <v>848950.78533897642</v>
      </c>
      <c r="AY16" s="28">
        <f t="shared" si="23"/>
        <v>863994.34807583573</v>
      </c>
      <c r="AZ16" s="28">
        <f t="shared" si="23"/>
        <v>879338.78206743265</v>
      </c>
      <c r="BA16" s="28">
        <f t="shared" si="23"/>
        <v>894990.10473886132</v>
      </c>
      <c r="BB16" s="28">
        <f t="shared" si="23"/>
        <v>910954.45386371855</v>
      </c>
      <c r="BI16" s="2">
        <v>37453.286447757222</v>
      </c>
    </row>
    <row r="17" spans="4:61" x14ac:dyDescent="0.2">
      <c r="D17" s="2" t="s">
        <v>196</v>
      </c>
      <c r="E17" s="28">
        <f>E16/12</f>
        <v>23817.397507339938</v>
      </c>
      <c r="F17" s="28">
        <f t="shared" ref="F17:AW17" si="24">F16/12</f>
        <v>24300.230949993405</v>
      </c>
      <c r="G17" s="28">
        <f t="shared" si="24"/>
        <v>26023.946340266277</v>
      </c>
      <c r="H17" s="28">
        <f t="shared" si="24"/>
        <v>26550.91075957827</v>
      </c>
      <c r="I17" s="28">
        <f t="shared" si="24"/>
        <v>27088.4144672765</v>
      </c>
      <c r="J17" s="28">
        <f t="shared" si="24"/>
        <v>27636.668249128703</v>
      </c>
      <c r="K17" s="28">
        <f t="shared" si="24"/>
        <v>29593.934250341041</v>
      </c>
      <c r="L17" s="28">
        <f t="shared" si="24"/>
        <v>30192.29842785453</v>
      </c>
      <c r="M17" s="28">
        <f t="shared" si="24"/>
        <v>30802.629888918291</v>
      </c>
      <c r="N17" s="28">
        <f t="shared" si="24"/>
        <v>31425.167979203321</v>
      </c>
      <c r="O17" s="28">
        <f t="shared" si="24"/>
        <v>33647.628961520881</v>
      </c>
      <c r="P17" s="28">
        <f t="shared" si="24"/>
        <v>34327.067033257968</v>
      </c>
      <c r="Q17" s="28">
        <f t="shared" si="24"/>
        <v>34992.094056992632</v>
      </c>
      <c r="R17" s="28">
        <f t="shared" si="24"/>
        <v>36877.033524755447</v>
      </c>
      <c r="S17" s="28">
        <f t="shared" si="24"/>
        <v>37453.286447757222</v>
      </c>
      <c r="T17" s="28">
        <f t="shared" si="24"/>
        <v>38041.064429219034</v>
      </c>
      <c r="U17" s="28">
        <f t="shared" si="24"/>
        <v>38640.597970310082</v>
      </c>
      <c r="V17" s="28">
        <f t="shared" si="24"/>
        <v>39252.122182222956</v>
      </c>
      <c r="W17" s="28">
        <f t="shared" si="24"/>
        <v>41435.263618751902</v>
      </c>
      <c r="X17" s="28">
        <f t="shared" si="24"/>
        <v>42102.681143633607</v>
      </c>
      <c r="Y17" s="28">
        <f t="shared" si="24"/>
        <v>42783.447019012943</v>
      </c>
      <c r="Z17" s="28">
        <f t="shared" si="24"/>
        <v>43477.828211899869</v>
      </c>
      <c r="AA17" s="28">
        <f t="shared" si="24"/>
        <v>45956.769070506183</v>
      </c>
      <c r="AB17" s="28">
        <f t="shared" si="24"/>
        <v>46714.616704422981</v>
      </c>
      <c r="AC17" s="28">
        <f t="shared" si="24"/>
        <v>47487.621291018113</v>
      </c>
      <c r="AD17" s="28">
        <f t="shared" si="24"/>
        <v>48276.085969345142</v>
      </c>
      <c r="AE17" s="28">
        <f t="shared" si="24"/>
        <v>49080.319941238711</v>
      </c>
      <c r="AF17" s="28">
        <f t="shared" si="24"/>
        <v>49900.638592570147</v>
      </c>
      <c r="AG17" s="28">
        <f t="shared" si="24"/>
        <v>50737.363616928218</v>
      </c>
      <c r="AH17" s="28">
        <f t="shared" si="24"/>
        <v>51590.823141773464</v>
      </c>
      <c r="AI17" s="28">
        <f t="shared" si="24"/>
        <v>52461.351857115595</v>
      </c>
      <c r="AJ17" s="28">
        <f t="shared" si="24"/>
        <v>53349.291146764568</v>
      </c>
      <c r="AK17" s="28">
        <f t="shared" si="24"/>
        <v>54254.989222206525</v>
      </c>
      <c r="AL17" s="28">
        <f t="shared" si="24"/>
        <v>55178.801259157328</v>
      </c>
      <c r="AM17" s="28">
        <f t="shared" si="24"/>
        <v>56121.089536847139</v>
      </c>
      <c r="AN17" s="28">
        <f t="shared" si="24"/>
        <v>59485.058688199781</v>
      </c>
      <c r="AO17" s="28">
        <f t="shared" si="24"/>
        <v>60513.472114470438</v>
      </c>
      <c r="AP17" s="28">
        <f t="shared" si="24"/>
        <v>61562.45380926651</v>
      </c>
      <c r="AQ17" s="28">
        <f t="shared" si="24"/>
        <v>62632.415137958509</v>
      </c>
      <c r="AR17" s="28">
        <f t="shared" si="24"/>
        <v>63723.775693224357</v>
      </c>
      <c r="AS17" s="28">
        <f t="shared" si="24"/>
        <v>64836.963459595514</v>
      </c>
      <c r="AT17" s="28">
        <f t="shared" si="24"/>
        <v>65972.414981294089</v>
      </c>
      <c r="AU17" s="28">
        <f t="shared" si="24"/>
        <v>67130.575533426643</v>
      </c>
      <c r="AV17" s="28">
        <f t="shared" si="24"/>
        <v>68311.899296601841</v>
      </c>
      <c r="AW17" s="28">
        <f t="shared" si="24"/>
        <v>69516.849535040543</v>
      </c>
      <c r="AX17" s="28">
        <f t="shared" ref="AX17:BB17" si="25">AX16/12</f>
        <v>70745.89877824804</v>
      </c>
      <c r="AY17" s="28">
        <f t="shared" si="25"/>
        <v>71999.529006319644</v>
      </c>
      <c r="AZ17" s="28">
        <f t="shared" si="25"/>
        <v>73278.231838952721</v>
      </c>
      <c r="BA17" s="28">
        <f t="shared" si="25"/>
        <v>74582.508728238448</v>
      </c>
      <c r="BB17" s="28">
        <f t="shared" si="25"/>
        <v>75912.871155309884</v>
      </c>
      <c r="BI17" s="2">
        <v>38041.064429219034</v>
      </c>
    </row>
    <row r="18" spans="4:61" x14ac:dyDescent="0.2">
      <c r="BI18" s="2">
        <v>38640.597970310082</v>
      </c>
    </row>
    <row r="19" spans="4:61" x14ac:dyDescent="0.2">
      <c r="BI19" s="2">
        <v>39252.122182222956</v>
      </c>
    </row>
    <row r="20" spans="4:61" x14ac:dyDescent="0.2">
      <c r="D20" s="26"/>
      <c r="BI20" s="2">
        <v>41435.263618751902</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42102.681143633607</v>
      </c>
    </row>
    <row r="22" spans="4:61" x14ac:dyDescent="0.2">
      <c r="D22" s="2" t="s">
        <v>202</v>
      </c>
      <c r="E22" s="26">
        <f>'Pensions P1'!$B$18+'Pensions P1'!$B$22+'Pensions P1'!$B$31</f>
        <v>59627.962281628948</v>
      </c>
      <c r="F22" s="26">
        <f>'Pensions P1'!$B$18+'Pensions P1'!$B$22+'Pensions P1'!$B$31</f>
        <v>59627.962281628948</v>
      </c>
      <c r="G22" s="26">
        <f>'Pensions P1'!$B$18+'Pensions P1'!$B$22+'Pensions P1'!$B$31</f>
        <v>59627.962281628948</v>
      </c>
      <c r="H22" s="26">
        <f>'Pensions P1'!$B$18+'Pensions P1'!$B$22+'Pensions P1'!$B$31</f>
        <v>59627.962281628948</v>
      </c>
      <c r="I22" s="26">
        <f>'Pensions P1'!$B$18+'Pensions P1'!$B$22+'Pensions P1'!$B$31</f>
        <v>59627.962281628948</v>
      </c>
      <c r="J22" s="26">
        <f>'Pensions P1'!$B$18+'Pensions P1'!$B$22+'Pensions P1'!$B$31</f>
        <v>59627.962281628948</v>
      </c>
      <c r="K22" s="26">
        <f>'Pensions P1'!$B$18+'Pensions P1'!$B$22+'Pensions P1'!$B$31</f>
        <v>59627.962281628948</v>
      </c>
      <c r="L22" s="26">
        <f>'Pensions P1'!$B$18+'Pensions P1'!$B$22+'Pensions P1'!$B$31</f>
        <v>59627.962281628948</v>
      </c>
      <c r="M22" s="26">
        <f>'Pensions P1'!$B$18+'Pensions P1'!$B$22+'Pensions P1'!$B$31</f>
        <v>59627.962281628948</v>
      </c>
      <c r="N22" s="26">
        <f>'Pensions P1'!$B$18+'Pensions P1'!$B$22+'Pensions P1'!$B$31</f>
        <v>59627.962281628948</v>
      </c>
      <c r="O22" s="26">
        <f>'Pensions P1'!$B$18+'Pensions P1'!$B$22+'Pensions P1'!$B$31</f>
        <v>59627.962281628948</v>
      </c>
      <c r="P22" s="26">
        <f>'Pensions P1'!$B$18+'Pensions P1'!$B$22+'Pensions P1'!$B$31</f>
        <v>59627.962281628948</v>
      </c>
      <c r="Q22" s="26">
        <f>'Pensions P1'!$B$18+'Pensions P1'!$B$22+'Pensions P1'!$B$31</f>
        <v>59627.962281628948</v>
      </c>
      <c r="R22" s="26">
        <f>'Pensions P1'!$B$18+'Pensions P1'!$B$22+'Pensions P1'!$B$31</f>
        <v>59627.962281628948</v>
      </c>
      <c r="S22" s="26">
        <f>'Pensions P1'!$B$18+'Pensions P1'!$B$22+'Pensions P1'!$B$31</f>
        <v>59627.962281628948</v>
      </c>
      <c r="T22" s="26">
        <f>'Pensions P1'!$B$18+'Pensions P1'!$B$22+'Pensions P1'!$B$31</f>
        <v>59627.962281628948</v>
      </c>
      <c r="U22" s="26">
        <f>'Pensions P1'!$B$18+'Pensions P1'!$B$22+'Pensions P1'!$B$31</f>
        <v>59627.962281628948</v>
      </c>
      <c r="V22" s="26">
        <f>'Pensions P1'!$B$18+'Pensions P1'!$B$22+'Pensions P1'!$B$31</f>
        <v>59627.962281628948</v>
      </c>
      <c r="W22" s="26">
        <f>'Pensions P1'!$B$18+'Pensions P1'!$B$22+'Pensions P1'!$B$31</f>
        <v>59627.962281628948</v>
      </c>
      <c r="X22" s="26">
        <f>'Pensions P1'!$B$18+'Pensions P1'!$B$22+'Pensions P1'!$B$31</f>
        <v>59627.962281628948</v>
      </c>
      <c r="Y22" s="26">
        <f>'Pensions P1'!$B$18+'Pensions P1'!$B$22+'Pensions P1'!$B$31</f>
        <v>59627.962281628948</v>
      </c>
      <c r="Z22" s="26">
        <f>'Pensions P1'!$B$18+'Pensions P1'!$B$22+'Pensions P1'!$B$31</f>
        <v>59627.962281628948</v>
      </c>
      <c r="AA22" s="26">
        <f>'Pensions P1'!$B$18+'Pensions P1'!$B$22+'Pensions P1'!$B$31</f>
        <v>59627.962281628948</v>
      </c>
      <c r="AB22" s="26">
        <f>'Pensions P1'!$B$18+'Pensions P1'!$B$22+'Pensions P1'!$B$31</f>
        <v>59627.962281628948</v>
      </c>
      <c r="AC22" s="26">
        <f>'Pensions P1'!$B$18+'Pensions P1'!$B$22+'Pensions P1'!$B$31</f>
        <v>59627.962281628948</v>
      </c>
      <c r="BI22" s="2">
        <v>42783.447019012943</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43477.828211899869</v>
      </c>
    </row>
    <row r="24" spans="4:61" x14ac:dyDescent="0.2">
      <c r="D24" s="2" t="s">
        <v>203</v>
      </c>
      <c r="E24" s="26">
        <f>E22*12</f>
        <v>715535.54737954738</v>
      </c>
      <c r="F24" s="26">
        <f t="shared" ref="F24:AC24" si="26">F22*12</f>
        <v>715535.54737954738</v>
      </c>
      <c r="G24" s="26">
        <f t="shared" si="26"/>
        <v>715535.54737954738</v>
      </c>
      <c r="H24" s="26">
        <f t="shared" si="26"/>
        <v>715535.54737954738</v>
      </c>
      <c r="I24" s="26">
        <f t="shared" si="26"/>
        <v>715535.54737954738</v>
      </c>
      <c r="J24" s="26">
        <f t="shared" si="26"/>
        <v>715535.54737954738</v>
      </c>
      <c r="K24" s="26">
        <f t="shared" si="26"/>
        <v>715535.54737954738</v>
      </c>
      <c r="L24" s="26">
        <f t="shared" si="26"/>
        <v>715535.54737954738</v>
      </c>
      <c r="M24" s="26">
        <f t="shared" si="26"/>
        <v>715535.54737954738</v>
      </c>
      <c r="N24" s="26">
        <f t="shared" si="26"/>
        <v>715535.54737954738</v>
      </c>
      <c r="O24" s="26">
        <f t="shared" si="26"/>
        <v>715535.54737954738</v>
      </c>
      <c r="P24" s="26">
        <f t="shared" si="26"/>
        <v>715535.54737954738</v>
      </c>
      <c r="Q24" s="26">
        <f t="shared" si="26"/>
        <v>715535.54737954738</v>
      </c>
      <c r="R24" s="26">
        <f t="shared" si="26"/>
        <v>715535.54737954738</v>
      </c>
      <c r="S24" s="26">
        <f t="shared" si="26"/>
        <v>715535.54737954738</v>
      </c>
      <c r="T24" s="26">
        <f t="shared" si="26"/>
        <v>715535.54737954738</v>
      </c>
      <c r="U24" s="26">
        <f t="shared" si="26"/>
        <v>715535.54737954738</v>
      </c>
      <c r="V24" s="26">
        <f t="shared" si="26"/>
        <v>715535.54737954738</v>
      </c>
      <c r="W24" s="26">
        <f t="shared" si="26"/>
        <v>715535.54737954738</v>
      </c>
      <c r="X24" s="26">
        <f t="shared" si="26"/>
        <v>715535.54737954738</v>
      </c>
      <c r="Y24" s="26">
        <f t="shared" si="26"/>
        <v>715535.54737954738</v>
      </c>
      <c r="Z24" s="26">
        <f t="shared" si="26"/>
        <v>715535.54737954738</v>
      </c>
      <c r="AA24" s="26">
        <f t="shared" si="26"/>
        <v>715535.54737954738</v>
      </c>
      <c r="AB24" s="26">
        <f t="shared" si="26"/>
        <v>715535.54737954738</v>
      </c>
      <c r="AC24" s="26">
        <f t="shared" si="26"/>
        <v>715535.54737954738</v>
      </c>
      <c r="BI24" s="2">
        <v>45956.769070506183</v>
      </c>
    </row>
    <row r="25" spans="4:61" x14ac:dyDescent="0.2">
      <c r="D25" s="2" t="s">
        <v>189</v>
      </c>
      <c r="E25" s="26">
        <f>E24*$B$9</f>
        <v>178883.88684488685</v>
      </c>
      <c r="F25" s="26">
        <f t="shared" ref="F25:AC25" si="27">F24*$B$9</f>
        <v>178883.88684488685</v>
      </c>
      <c r="G25" s="26">
        <f t="shared" si="27"/>
        <v>178883.88684488685</v>
      </c>
      <c r="H25" s="26">
        <f t="shared" si="27"/>
        <v>178883.88684488685</v>
      </c>
      <c r="I25" s="26">
        <f t="shared" si="27"/>
        <v>178883.88684488685</v>
      </c>
      <c r="J25" s="26">
        <f t="shared" si="27"/>
        <v>178883.88684488685</v>
      </c>
      <c r="K25" s="26">
        <f t="shared" si="27"/>
        <v>178883.88684488685</v>
      </c>
      <c r="L25" s="26">
        <f t="shared" si="27"/>
        <v>178883.88684488685</v>
      </c>
      <c r="M25" s="26">
        <f t="shared" si="27"/>
        <v>178883.88684488685</v>
      </c>
      <c r="N25" s="26">
        <f t="shared" si="27"/>
        <v>178883.88684488685</v>
      </c>
      <c r="O25" s="26">
        <f t="shared" si="27"/>
        <v>178883.88684488685</v>
      </c>
      <c r="P25" s="26">
        <f t="shared" si="27"/>
        <v>178883.88684488685</v>
      </c>
      <c r="Q25" s="26">
        <f t="shared" si="27"/>
        <v>178883.88684488685</v>
      </c>
      <c r="R25" s="26">
        <f t="shared" si="27"/>
        <v>178883.88684488685</v>
      </c>
      <c r="S25" s="26">
        <f t="shared" si="27"/>
        <v>178883.88684488685</v>
      </c>
      <c r="T25" s="26">
        <f t="shared" si="27"/>
        <v>178883.88684488685</v>
      </c>
      <c r="U25" s="26">
        <f t="shared" si="27"/>
        <v>178883.88684488685</v>
      </c>
      <c r="V25" s="26">
        <f t="shared" si="27"/>
        <v>178883.88684488685</v>
      </c>
      <c r="W25" s="26">
        <f t="shared" si="27"/>
        <v>178883.88684488685</v>
      </c>
      <c r="X25" s="26">
        <f t="shared" si="27"/>
        <v>178883.88684488685</v>
      </c>
      <c r="Y25" s="26">
        <f t="shared" si="27"/>
        <v>178883.88684488685</v>
      </c>
      <c r="Z25" s="26">
        <f t="shared" si="27"/>
        <v>178883.88684488685</v>
      </c>
      <c r="AA25" s="26">
        <f t="shared" si="27"/>
        <v>178883.88684488685</v>
      </c>
      <c r="AB25" s="26">
        <f t="shared" si="27"/>
        <v>178883.88684488685</v>
      </c>
      <c r="AC25" s="26">
        <f t="shared" si="27"/>
        <v>178883.88684488685</v>
      </c>
      <c r="BI25" s="2">
        <v>46714.616704422981</v>
      </c>
    </row>
    <row r="26" spans="4:61" x14ac:dyDescent="0.2">
      <c r="D26" s="2" t="s">
        <v>190</v>
      </c>
      <c r="E26" s="26">
        <f>MAX(E24-$B$8,0)*$B$7</f>
        <v>14570.332106932106</v>
      </c>
      <c r="F26" s="26">
        <f t="shared" ref="F26:AC26" si="28">MAX(F24-$B$8,0)*$B$7</f>
        <v>14570.332106932106</v>
      </c>
      <c r="G26" s="26">
        <f t="shared" si="28"/>
        <v>14570.332106932106</v>
      </c>
      <c r="H26" s="26">
        <f t="shared" si="28"/>
        <v>14570.332106932106</v>
      </c>
      <c r="I26" s="26">
        <f t="shared" si="28"/>
        <v>14570.332106932106</v>
      </c>
      <c r="J26" s="26">
        <f t="shared" si="28"/>
        <v>14570.332106932106</v>
      </c>
      <c r="K26" s="26">
        <f t="shared" si="28"/>
        <v>14570.332106932106</v>
      </c>
      <c r="L26" s="26">
        <f t="shared" si="28"/>
        <v>14570.332106932106</v>
      </c>
      <c r="M26" s="26">
        <f t="shared" si="28"/>
        <v>14570.332106932106</v>
      </c>
      <c r="N26" s="26">
        <f t="shared" si="28"/>
        <v>14570.332106932106</v>
      </c>
      <c r="O26" s="26">
        <f t="shared" si="28"/>
        <v>14570.332106932106</v>
      </c>
      <c r="P26" s="26">
        <f t="shared" si="28"/>
        <v>14570.332106932106</v>
      </c>
      <c r="Q26" s="26">
        <f t="shared" si="28"/>
        <v>14570.332106932106</v>
      </c>
      <c r="R26" s="26">
        <f t="shared" si="28"/>
        <v>14570.332106932106</v>
      </c>
      <c r="S26" s="26">
        <f t="shared" si="28"/>
        <v>14570.332106932106</v>
      </c>
      <c r="T26" s="26">
        <f t="shared" si="28"/>
        <v>14570.332106932106</v>
      </c>
      <c r="U26" s="26">
        <f t="shared" si="28"/>
        <v>14570.332106932106</v>
      </c>
      <c r="V26" s="26">
        <f t="shared" si="28"/>
        <v>14570.332106932106</v>
      </c>
      <c r="W26" s="26">
        <f t="shared" si="28"/>
        <v>14570.332106932106</v>
      </c>
      <c r="X26" s="26">
        <f t="shared" si="28"/>
        <v>14570.332106932106</v>
      </c>
      <c r="Y26" s="26">
        <f t="shared" si="28"/>
        <v>14570.332106932106</v>
      </c>
      <c r="Z26" s="26">
        <f t="shared" si="28"/>
        <v>14570.332106932106</v>
      </c>
      <c r="AA26" s="26">
        <f t="shared" si="28"/>
        <v>14570.332106932106</v>
      </c>
      <c r="AB26" s="26">
        <f t="shared" si="28"/>
        <v>14570.332106932106</v>
      </c>
      <c r="AC26" s="26">
        <f t="shared" si="28"/>
        <v>14570.332106932106</v>
      </c>
      <c r="BI26" s="2">
        <v>47487.621291018113</v>
      </c>
    </row>
    <row r="27" spans="4:61" x14ac:dyDescent="0.2">
      <c r="D27" s="2" t="s">
        <v>191</v>
      </c>
      <c r="E27" s="26">
        <f>E24*$B$6</f>
        <v>85935.819240283643</v>
      </c>
      <c r="F27" s="26">
        <f t="shared" ref="F27:AC27" si="29">F24*$B$6</f>
        <v>85935.819240283643</v>
      </c>
      <c r="G27" s="26">
        <f t="shared" si="29"/>
        <v>85935.819240283643</v>
      </c>
      <c r="H27" s="26">
        <f t="shared" si="29"/>
        <v>85935.819240283643</v>
      </c>
      <c r="I27" s="26">
        <f t="shared" si="29"/>
        <v>85935.819240283643</v>
      </c>
      <c r="J27" s="26">
        <f t="shared" si="29"/>
        <v>85935.819240283643</v>
      </c>
      <c r="K27" s="26">
        <f t="shared" si="29"/>
        <v>85935.819240283643</v>
      </c>
      <c r="L27" s="26">
        <f t="shared" si="29"/>
        <v>85935.819240283643</v>
      </c>
      <c r="M27" s="26">
        <f t="shared" si="29"/>
        <v>85935.819240283643</v>
      </c>
      <c r="N27" s="26">
        <f t="shared" si="29"/>
        <v>85935.819240283643</v>
      </c>
      <c r="O27" s="26">
        <f t="shared" si="29"/>
        <v>85935.819240283643</v>
      </c>
      <c r="P27" s="26">
        <f t="shared" si="29"/>
        <v>85935.819240283643</v>
      </c>
      <c r="Q27" s="26">
        <f t="shared" si="29"/>
        <v>85935.819240283643</v>
      </c>
      <c r="R27" s="26">
        <f t="shared" si="29"/>
        <v>85935.819240283643</v>
      </c>
      <c r="S27" s="26">
        <f t="shared" si="29"/>
        <v>85935.819240283643</v>
      </c>
      <c r="T27" s="26">
        <f t="shared" si="29"/>
        <v>85935.819240283643</v>
      </c>
      <c r="U27" s="26">
        <f t="shared" si="29"/>
        <v>85935.819240283643</v>
      </c>
      <c r="V27" s="26">
        <f t="shared" si="29"/>
        <v>85935.819240283643</v>
      </c>
      <c r="W27" s="26">
        <f t="shared" si="29"/>
        <v>85935.819240283643</v>
      </c>
      <c r="X27" s="26">
        <f t="shared" si="29"/>
        <v>85935.819240283643</v>
      </c>
      <c r="Y27" s="26">
        <f t="shared" si="29"/>
        <v>85935.819240283643</v>
      </c>
      <c r="Z27" s="26">
        <f t="shared" si="29"/>
        <v>85935.819240283643</v>
      </c>
      <c r="AA27" s="26">
        <f t="shared" si="29"/>
        <v>85935.819240283643</v>
      </c>
      <c r="AB27" s="26">
        <f t="shared" si="29"/>
        <v>85935.819240283643</v>
      </c>
      <c r="AC27" s="26">
        <f t="shared" si="29"/>
        <v>85935.819240283643</v>
      </c>
      <c r="BI27" s="2">
        <v>48276.085969345142</v>
      </c>
    </row>
    <row r="28" spans="4:61" x14ac:dyDescent="0.2">
      <c r="D28" s="2" t="s">
        <v>192</v>
      </c>
      <c r="E28" s="26">
        <f>SUM(E25:E27)</f>
        <v>279390.03819210257</v>
      </c>
      <c r="F28" s="26">
        <f>SUM(F25:F27)</f>
        <v>279390.03819210257</v>
      </c>
      <c r="G28" s="26">
        <f t="shared" ref="G28:AC28" si="30">SUM(G25:G27)</f>
        <v>279390.03819210257</v>
      </c>
      <c r="H28" s="26">
        <f t="shared" si="30"/>
        <v>279390.03819210257</v>
      </c>
      <c r="I28" s="26">
        <f t="shared" si="30"/>
        <v>279390.03819210257</v>
      </c>
      <c r="J28" s="26">
        <f t="shared" si="30"/>
        <v>279390.03819210257</v>
      </c>
      <c r="K28" s="26">
        <f t="shared" si="30"/>
        <v>279390.03819210257</v>
      </c>
      <c r="L28" s="26">
        <f t="shared" si="30"/>
        <v>279390.03819210257</v>
      </c>
      <c r="M28" s="26">
        <f t="shared" si="30"/>
        <v>279390.03819210257</v>
      </c>
      <c r="N28" s="26">
        <f t="shared" si="30"/>
        <v>279390.03819210257</v>
      </c>
      <c r="O28" s="26">
        <f t="shared" si="30"/>
        <v>279390.03819210257</v>
      </c>
      <c r="P28" s="26">
        <f t="shared" si="30"/>
        <v>279390.03819210257</v>
      </c>
      <c r="Q28" s="26">
        <f t="shared" si="30"/>
        <v>279390.03819210257</v>
      </c>
      <c r="R28" s="26">
        <f t="shared" si="30"/>
        <v>279390.03819210257</v>
      </c>
      <c r="S28" s="26">
        <f t="shared" si="30"/>
        <v>279390.03819210257</v>
      </c>
      <c r="T28" s="26">
        <f t="shared" si="30"/>
        <v>279390.03819210257</v>
      </c>
      <c r="U28" s="26">
        <f t="shared" si="30"/>
        <v>279390.03819210257</v>
      </c>
      <c r="V28" s="26">
        <f t="shared" si="30"/>
        <v>279390.03819210257</v>
      </c>
      <c r="W28" s="26">
        <f t="shared" si="30"/>
        <v>279390.03819210257</v>
      </c>
      <c r="X28" s="26">
        <f t="shared" si="30"/>
        <v>279390.03819210257</v>
      </c>
      <c r="Y28" s="26">
        <f t="shared" si="30"/>
        <v>279390.03819210257</v>
      </c>
      <c r="Z28" s="26">
        <f t="shared" si="30"/>
        <v>279390.03819210257</v>
      </c>
      <c r="AA28" s="26">
        <f t="shared" si="30"/>
        <v>279390.03819210257</v>
      </c>
      <c r="AB28" s="26">
        <f t="shared" si="30"/>
        <v>279390.03819210257</v>
      </c>
      <c r="AC28" s="26">
        <f t="shared" si="30"/>
        <v>279390.03819210257</v>
      </c>
      <c r="BI28" s="2">
        <v>49080.319941238711</v>
      </c>
    </row>
    <row r="29" spans="4:61" x14ac:dyDescent="0.2">
      <c r="D29" s="2" t="s">
        <v>193</v>
      </c>
      <c r="E29" s="26">
        <f>E24-E28</f>
        <v>436145.50918744481</v>
      </c>
      <c r="F29" s="26">
        <f t="shared" ref="F29:AC29" si="31">F24-F28</f>
        <v>436145.50918744481</v>
      </c>
      <c r="G29" s="26">
        <f t="shared" si="31"/>
        <v>436145.50918744481</v>
      </c>
      <c r="H29" s="26">
        <f t="shared" si="31"/>
        <v>436145.50918744481</v>
      </c>
      <c r="I29" s="26">
        <f t="shared" si="31"/>
        <v>436145.50918744481</v>
      </c>
      <c r="J29" s="26">
        <f t="shared" si="31"/>
        <v>436145.50918744481</v>
      </c>
      <c r="K29" s="26">
        <f t="shared" si="31"/>
        <v>436145.50918744481</v>
      </c>
      <c r="L29" s="26">
        <f t="shared" si="31"/>
        <v>436145.50918744481</v>
      </c>
      <c r="M29" s="26">
        <f t="shared" si="31"/>
        <v>436145.50918744481</v>
      </c>
      <c r="N29" s="26">
        <f t="shared" si="31"/>
        <v>436145.50918744481</v>
      </c>
      <c r="O29" s="26">
        <f t="shared" si="31"/>
        <v>436145.50918744481</v>
      </c>
      <c r="P29" s="26">
        <f t="shared" si="31"/>
        <v>436145.50918744481</v>
      </c>
      <c r="Q29" s="26">
        <f t="shared" si="31"/>
        <v>436145.50918744481</v>
      </c>
      <c r="R29" s="26">
        <f t="shared" si="31"/>
        <v>436145.50918744481</v>
      </c>
      <c r="S29" s="26">
        <f t="shared" si="31"/>
        <v>436145.50918744481</v>
      </c>
      <c r="T29" s="26">
        <f t="shared" si="31"/>
        <v>436145.50918744481</v>
      </c>
      <c r="U29" s="26">
        <f t="shared" si="31"/>
        <v>436145.50918744481</v>
      </c>
      <c r="V29" s="26">
        <f t="shared" si="31"/>
        <v>436145.50918744481</v>
      </c>
      <c r="W29" s="26">
        <f t="shared" si="31"/>
        <v>436145.50918744481</v>
      </c>
      <c r="X29" s="26">
        <f t="shared" si="31"/>
        <v>436145.50918744481</v>
      </c>
      <c r="Y29" s="26">
        <f t="shared" si="31"/>
        <v>436145.50918744481</v>
      </c>
      <c r="Z29" s="26">
        <f t="shared" si="31"/>
        <v>436145.50918744481</v>
      </c>
      <c r="AA29" s="26">
        <f t="shared" si="31"/>
        <v>436145.50918744481</v>
      </c>
      <c r="AB29" s="26">
        <f t="shared" si="31"/>
        <v>436145.50918744481</v>
      </c>
      <c r="AC29" s="26">
        <f t="shared" si="31"/>
        <v>436145.50918744481</v>
      </c>
      <c r="BI29" s="2">
        <v>49900.638592570147</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50737.363616928218</v>
      </c>
    </row>
    <row r="31" spans="4:61" x14ac:dyDescent="0.2">
      <c r="D31" s="2" t="s">
        <v>196</v>
      </c>
      <c r="E31" s="26">
        <f>(E29/12)+E30</f>
        <v>39514.823667587771</v>
      </c>
      <c r="F31" s="26">
        <f t="shared" ref="F31:AC31" si="32">(F29/12)+F30</f>
        <v>39514.823667587771</v>
      </c>
      <c r="G31" s="26">
        <f t="shared" si="32"/>
        <v>39514.823667587771</v>
      </c>
      <c r="H31" s="26">
        <f t="shared" si="32"/>
        <v>39514.823667587771</v>
      </c>
      <c r="I31" s="26">
        <f t="shared" si="32"/>
        <v>39514.823667587771</v>
      </c>
      <c r="J31" s="26">
        <f t="shared" si="32"/>
        <v>39514.823667587771</v>
      </c>
      <c r="K31" s="26">
        <f t="shared" si="32"/>
        <v>39514.823667587771</v>
      </c>
      <c r="L31" s="26">
        <f t="shared" si="32"/>
        <v>39514.823667587771</v>
      </c>
      <c r="M31" s="26">
        <f t="shared" si="32"/>
        <v>39514.823667587771</v>
      </c>
      <c r="N31" s="26">
        <f t="shared" si="32"/>
        <v>39514.823667587771</v>
      </c>
      <c r="O31" s="26">
        <f t="shared" si="32"/>
        <v>39514.823667587771</v>
      </c>
      <c r="P31" s="26">
        <f t="shared" si="32"/>
        <v>39514.823667587771</v>
      </c>
      <c r="Q31" s="26">
        <f t="shared" si="32"/>
        <v>39514.823667587771</v>
      </c>
      <c r="R31" s="26">
        <f t="shared" si="32"/>
        <v>39514.823667587771</v>
      </c>
      <c r="S31" s="26">
        <f t="shared" si="32"/>
        <v>39514.823667587771</v>
      </c>
      <c r="T31" s="26">
        <f t="shared" si="32"/>
        <v>39514.823667587771</v>
      </c>
      <c r="U31" s="26">
        <f t="shared" si="32"/>
        <v>39514.823667587771</v>
      </c>
      <c r="V31" s="26">
        <f t="shared" si="32"/>
        <v>39514.823667587771</v>
      </c>
      <c r="W31" s="26">
        <f t="shared" si="32"/>
        <v>39514.823667587771</v>
      </c>
      <c r="X31" s="26">
        <f t="shared" si="32"/>
        <v>39514.823667587771</v>
      </c>
      <c r="Y31" s="26">
        <f t="shared" si="32"/>
        <v>39514.823667587771</v>
      </c>
      <c r="Z31" s="26">
        <f t="shared" si="32"/>
        <v>39514.823667587771</v>
      </c>
      <c r="AA31" s="26">
        <f t="shared" si="32"/>
        <v>39514.823667587771</v>
      </c>
      <c r="AB31" s="26">
        <f t="shared" si="32"/>
        <v>39514.823667587771</v>
      </c>
      <c r="AC31" s="26">
        <f t="shared" si="32"/>
        <v>39514.823667587771</v>
      </c>
      <c r="BI31" s="2">
        <v>51590.823141773464</v>
      </c>
    </row>
    <row r="32" spans="4:61" x14ac:dyDescent="0.2">
      <c r="D32" s="2" t="s">
        <v>274</v>
      </c>
      <c r="E32" s="26">
        <f>Income!$K$52</f>
        <v>60730.296924247901</v>
      </c>
      <c r="F32" s="26">
        <f>Income!$K$52</f>
        <v>60730.296924247901</v>
      </c>
      <c r="G32" s="26">
        <f>Income!$K$52</f>
        <v>60730.296924247901</v>
      </c>
      <c r="H32" s="26">
        <f>Income!$K$52</f>
        <v>60730.296924247901</v>
      </c>
      <c r="I32" s="26">
        <f>Income!$K$52</f>
        <v>60730.296924247901</v>
      </c>
      <c r="J32" s="26">
        <f>Income!$K$52</f>
        <v>60730.296924247901</v>
      </c>
      <c r="K32" s="26">
        <f>Income!$K$52</f>
        <v>60730.296924247901</v>
      </c>
      <c r="L32" s="26">
        <f>Income!$K$52</f>
        <v>60730.296924247901</v>
      </c>
      <c r="M32" s="26">
        <f>Income!$K$52</f>
        <v>60730.296924247901</v>
      </c>
      <c r="N32" s="26">
        <f>Income!$K$52</f>
        <v>60730.296924247901</v>
      </c>
      <c r="O32" s="26">
        <f>Income!$K$52</f>
        <v>60730.296924247901</v>
      </c>
      <c r="P32" s="26">
        <f>Income!$K$52</f>
        <v>60730.296924247901</v>
      </c>
      <c r="Q32" s="26">
        <f>Income!$K$52</f>
        <v>60730.296924247901</v>
      </c>
      <c r="R32" s="26">
        <f>Income!$K$52</f>
        <v>60730.296924247901</v>
      </c>
      <c r="S32" s="26">
        <f>Income!$K$52</f>
        <v>60730.296924247901</v>
      </c>
      <c r="T32" s="26">
        <f>Income!$K$52</f>
        <v>60730.296924247901</v>
      </c>
      <c r="U32" s="26">
        <f>Income!$K$52</f>
        <v>60730.296924247901</v>
      </c>
      <c r="V32" s="26">
        <f>Income!$K$52</f>
        <v>60730.296924247901</v>
      </c>
      <c r="W32" s="26">
        <f>Income!$K$52</f>
        <v>60730.296924247901</v>
      </c>
      <c r="X32" s="26">
        <f>Income!$K$52</f>
        <v>60730.296924247901</v>
      </c>
      <c r="Y32" s="26">
        <f>Income!$K$52</f>
        <v>60730.296924247901</v>
      </c>
      <c r="Z32" s="26">
        <f>Income!$K$52</f>
        <v>60730.296924247901</v>
      </c>
      <c r="AA32" s="26">
        <f>Income!$K$52</f>
        <v>60730.296924247901</v>
      </c>
      <c r="AB32" s="26">
        <f>Income!$K$52</f>
        <v>60730.296924247901</v>
      </c>
      <c r="AC32" s="26">
        <f>Income!$K$52</f>
        <v>60730.296924247901</v>
      </c>
      <c r="BI32" s="2">
        <v>52461.351857115595</v>
      </c>
    </row>
    <row r="33" spans="4:61" x14ac:dyDescent="0.2">
      <c r="D33" s="2" t="s">
        <v>204</v>
      </c>
      <c r="E33" s="26">
        <f>E32-E31</f>
        <v>21215.473256660131</v>
      </c>
      <c r="F33" s="26">
        <f t="shared" ref="F33:AC33" si="33">F32-F31</f>
        <v>21215.473256660131</v>
      </c>
      <c r="G33" s="26">
        <f t="shared" si="33"/>
        <v>21215.473256660131</v>
      </c>
      <c r="H33" s="26">
        <f t="shared" si="33"/>
        <v>21215.473256660131</v>
      </c>
      <c r="I33" s="26">
        <f t="shared" si="33"/>
        <v>21215.473256660131</v>
      </c>
      <c r="J33" s="26">
        <f t="shared" si="33"/>
        <v>21215.473256660131</v>
      </c>
      <c r="K33" s="26">
        <f t="shared" si="33"/>
        <v>21215.473256660131</v>
      </c>
      <c r="L33" s="26">
        <f t="shared" si="33"/>
        <v>21215.473256660131</v>
      </c>
      <c r="M33" s="26">
        <f t="shared" si="33"/>
        <v>21215.473256660131</v>
      </c>
      <c r="N33" s="26">
        <f t="shared" si="33"/>
        <v>21215.473256660131</v>
      </c>
      <c r="O33" s="26">
        <f t="shared" si="33"/>
        <v>21215.473256660131</v>
      </c>
      <c r="P33" s="26">
        <f t="shared" si="33"/>
        <v>21215.473256660131</v>
      </c>
      <c r="Q33" s="26">
        <f t="shared" si="33"/>
        <v>21215.473256660131</v>
      </c>
      <c r="R33" s="26">
        <f t="shared" si="33"/>
        <v>21215.473256660131</v>
      </c>
      <c r="S33" s="26">
        <f t="shared" si="33"/>
        <v>21215.473256660131</v>
      </c>
      <c r="T33" s="26">
        <f t="shared" si="33"/>
        <v>21215.473256660131</v>
      </c>
      <c r="U33" s="26">
        <f t="shared" si="33"/>
        <v>21215.473256660131</v>
      </c>
      <c r="V33" s="26">
        <f t="shared" si="33"/>
        <v>21215.473256660131</v>
      </c>
      <c r="W33" s="26">
        <f t="shared" si="33"/>
        <v>21215.473256660131</v>
      </c>
      <c r="X33" s="26">
        <f t="shared" si="33"/>
        <v>21215.473256660131</v>
      </c>
      <c r="Y33" s="26">
        <f t="shared" si="33"/>
        <v>21215.473256660131</v>
      </c>
      <c r="Z33" s="26">
        <f t="shared" si="33"/>
        <v>21215.473256660131</v>
      </c>
      <c r="AA33" s="26">
        <f t="shared" si="33"/>
        <v>21215.473256660131</v>
      </c>
      <c r="AB33" s="26">
        <f t="shared" si="33"/>
        <v>21215.473256660131</v>
      </c>
      <c r="AC33" s="26">
        <f t="shared" si="33"/>
        <v>21215.473256660131</v>
      </c>
      <c r="BI33" s="2">
        <v>53349.291146764568</v>
      </c>
    </row>
    <row r="34" spans="4:61" x14ac:dyDescent="0.2">
      <c r="D34" s="2" t="s">
        <v>264</v>
      </c>
      <c r="E34" s="26">
        <f>E33*(1+$B$10)</f>
        <v>26943.651035958366</v>
      </c>
      <c r="F34" s="26">
        <f t="shared" ref="F34:AC34" si="34">F33*(1+$B$10)</f>
        <v>26943.651035958366</v>
      </c>
      <c r="G34" s="26">
        <f t="shared" si="34"/>
        <v>26943.651035958366</v>
      </c>
      <c r="H34" s="26">
        <f t="shared" si="34"/>
        <v>26943.651035958366</v>
      </c>
      <c r="I34" s="26">
        <f t="shared" si="34"/>
        <v>26943.651035958366</v>
      </c>
      <c r="J34" s="26">
        <f t="shared" si="34"/>
        <v>26943.651035958366</v>
      </c>
      <c r="K34" s="26">
        <f t="shared" si="34"/>
        <v>26943.651035958366</v>
      </c>
      <c r="L34" s="26">
        <f t="shared" si="34"/>
        <v>26943.651035958366</v>
      </c>
      <c r="M34" s="26">
        <f t="shared" si="34"/>
        <v>26943.651035958366</v>
      </c>
      <c r="N34" s="26">
        <f t="shared" si="34"/>
        <v>26943.651035958366</v>
      </c>
      <c r="O34" s="26">
        <f t="shared" si="34"/>
        <v>26943.651035958366</v>
      </c>
      <c r="P34" s="26">
        <f t="shared" si="34"/>
        <v>26943.651035958366</v>
      </c>
      <c r="Q34" s="26">
        <f t="shared" si="34"/>
        <v>26943.651035958366</v>
      </c>
      <c r="R34" s="26">
        <f t="shared" si="34"/>
        <v>26943.651035958366</v>
      </c>
      <c r="S34" s="26">
        <f t="shared" si="34"/>
        <v>26943.651035958366</v>
      </c>
      <c r="T34" s="26">
        <f t="shared" si="34"/>
        <v>26943.651035958366</v>
      </c>
      <c r="U34" s="26">
        <f t="shared" si="34"/>
        <v>26943.651035958366</v>
      </c>
      <c r="V34" s="26">
        <f t="shared" si="34"/>
        <v>26943.651035958366</v>
      </c>
      <c r="W34" s="26">
        <f t="shared" si="34"/>
        <v>26943.651035958366</v>
      </c>
      <c r="X34" s="26">
        <f t="shared" si="34"/>
        <v>26943.651035958366</v>
      </c>
      <c r="Y34" s="26">
        <f t="shared" si="34"/>
        <v>26943.651035958366</v>
      </c>
      <c r="Z34" s="26">
        <f t="shared" si="34"/>
        <v>26943.651035958366</v>
      </c>
      <c r="AA34" s="26">
        <f t="shared" si="34"/>
        <v>26943.651035958366</v>
      </c>
      <c r="AB34" s="26">
        <f t="shared" si="34"/>
        <v>26943.651035958366</v>
      </c>
      <c r="AC34" s="26">
        <f t="shared" si="34"/>
        <v>26943.651035958366</v>
      </c>
      <c r="BI34" s="2">
        <v>54254.989222206525</v>
      </c>
    </row>
    <row r="35" spans="4:61" x14ac:dyDescent="0.2">
      <c r="D35" s="2" t="s">
        <v>265</v>
      </c>
      <c r="E35" s="26">
        <f>E34*12</f>
        <v>323323.81243150041</v>
      </c>
      <c r="F35" s="26">
        <f t="shared" ref="F35:AC35" si="35">F34*12</f>
        <v>323323.81243150041</v>
      </c>
      <c r="G35" s="26">
        <f t="shared" si="35"/>
        <v>323323.81243150041</v>
      </c>
      <c r="H35" s="26">
        <f t="shared" si="35"/>
        <v>323323.81243150041</v>
      </c>
      <c r="I35" s="26">
        <f t="shared" si="35"/>
        <v>323323.81243150041</v>
      </c>
      <c r="J35" s="26">
        <f t="shared" si="35"/>
        <v>323323.81243150041</v>
      </c>
      <c r="K35" s="26">
        <f t="shared" si="35"/>
        <v>323323.81243150041</v>
      </c>
      <c r="L35" s="26">
        <f t="shared" si="35"/>
        <v>323323.81243150041</v>
      </c>
      <c r="M35" s="26">
        <f t="shared" si="35"/>
        <v>323323.81243150041</v>
      </c>
      <c r="N35" s="26">
        <f t="shared" si="35"/>
        <v>323323.81243150041</v>
      </c>
      <c r="O35" s="26">
        <f t="shared" si="35"/>
        <v>323323.81243150041</v>
      </c>
      <c r="P35" s="26">
        <f t="shared" si="35"/>
        <v>323323.81243150041</v>
      </c>
      <c r="Q35" s="26">
        <f t="shared" si="35"/>
        <v>323323.81243150041</v>
      </c>
      <c r="R35" s="26">
        <f t="shared" si="35"/>
        <v>323323.81243150041</v>
      </c>
      <c r="S35" s="26">
        <f t="shared" si="35"/>
        <v>323323.81243150041</v>
      </c>
      <c r="T35" s="26">
        <f t="shared" si="35"/>
        <v>323323.81243150041</v>
      </c>
      <c r="U35" s="26">
        <f t="shared" si="35"/>
        <v>323323.81243150041</v>
      </c>
      <c r="V35" s="26">
        <f t="shared" si="35"/>
        <v>323323.81243150041</v>
      </c>
      <c r="W35" s="26">
        <f t="shared" si="35"/>
        <v>323323.81243150041</v>
      </c>
      <c r="X35" s="26">
        <f t="shared" si="35"/>
        <v>323323.81243150041</v>
      </c>
      <c r="Y35" s="26">
        <f t="shared" si="35"/>
        <v>323323.81243150041</v>
      </c>
      <c r="Z35" s="26">
        <f t="shared" si="35"/>
        <v>323323.81243150041</v>
      </c>
      <c r="AA35" s="26">
        <f t="shared" si="35"/>
        <v>323323.81243150041</v>
      </c>
      <c r="AB35" s="26">
        <f t="shared" si="35"/>
        <v>323323.81243150041</v>
      </c>
      <c r="AC35" s="26">
        <f t="shared" si="35"/>
        <v>323323.81243150041</v>
      </c>
      <c r="BI35" s="2">
        <v>55178.801259157328</v>
      </c>
    </row>
    <row r="36" spans="4:61" x14ac:dyDescent="0.2">
      <c r="BI36" s="2">
        <v>56121.089536847139</v>
      </c>
    </row>
    <row r="37" spans="4:61" x14ac:dyDescent="0.2">
      <c r="D37" s="2" t="s">
        <v>205</v>
      </c>
      <c r="E37" s="27">
        <f>SUM(E35:AC35)</f>
        <v>8083095.3107875083</v>
      </c>
      <c r="BI37" s="2">
        <v>59485.058688199781</v>
      </c>
    </row>
    <row r="38" spans="4:61" x14ac:dyDescent="0.2">
      <c r="E38" s="26"/>
      <c r="BI38" s="2">
        <v>60513.472114470438</v>
      </c>
    </row>
    <row r="39" spans="4:61" x14ac:dyDescent="0.2">
      <c r="E39" s="57">
        <f>1500000</f>
        <v>1500000</v>
      </c>
      <c r="F39" s="57">
        <f>E39/25</f>
        <v>60000</v>
      </c>
      <c r="BI39" s="2">
        <v>61562.45380926651</v>
      </c>
    </row>
    <row r="40" spans="4:61" x14ac:dyDescent="0.2">
      <c r="BI40" s="2">
        <v>62632.415137958509</v>
      </c>
    </row>
    <row r="41" spans="4:61" x14ac:dyDescent="0.2">
      <c r="BI41" s="2">
        <v>63723.775693224357</v>
      </c>
    </row>
    <row r="42" spans="4:61" x14ac:dyDescent="0.2">
      <c r="BI42" s="2">
        <v>64836.963459595514</v>
      </c>
    </row>
    <row r="43" spans="4:61" x14ac:dyDescent="0.2">
      <c r="E43" s="28"/>
      <c r="BI43" s="2">
        <v>65972.414981294089</v>
      </c>
    </row>
    <row r="44" spans="4:61" x14ac:dyDescent="0.2">
      <c r="E44" s="28"/>
      <c r="BI44" s="2">
        <v>67130.575533426643</v>
      </c>
    </row>
    <row r="45" spans="4:61" x14ac:dyDescent="0.2">
      <c r="E45" s="26"/>
      <c r="BI45" s="2">
        <v>68311.899296601841</v>
      </c>
    </row>
    <row r="46" spans="4:61" x14ac:dyDescent="0.2">
      <c r="E46" s="26"/>
      <c r="BI46" s="2">
        <v>69516.849535040543</v>
      </c>
    </row>
    <row r="47" spans="4:61" x14ac:dyDescent="0.2">
      <c r="E47" s="26"/>
      <c r="BI47" s="2">
        <v>70745.89877824804</v>
      </c>
    </row>
    <row r="48" spans="4:61" x14ac:dyDescent="0.2">
      <c r="E48" s="26"/>
      <c r="BI48" s="2">
        <v>71999.529006319644</v>
      </c>
    </row>
    <row r="49" spans="5:61" x14ac:dyDescent="0.2">
      <c r="E49" s="26"/>
      <c r="BI49" s="2">
        <v>73278.231838952721</v>
      </c>
    </row>
    <row r="50" spans="5:61" x14ac:dyDescent="0.2">
      <c r="E50" s="26"/>
      <c r="BI50" s="2">
        <v>74582.508728238448</v>
      </c>
    </row>
    <row r="51" spans="5:61" x14ac:dyDescent="0.2">
      <c r="E51" s="26"/>
      <c r="BI51" s="2">
        <v>75912.871155309884</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Y</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Y</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Y</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Y</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Y</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Y</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Y</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Y</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C9" sqref="C9"/>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8083095.3107875083</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v>4212659.32</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57161.754017615858</v>
      </c>
      <c r="D2" s="67">
        <v>58320.554279984179</v>
      </c>
      <c r="E2" s="67">
        <v>62457.471216639067</v>
      </c>
      <c r="F2" s="67">
        <v>63722.185822987849</v>
      </c>
      <c r="G2" s="67">
        <v>65012.194721463602</v>
      </c>
      <c r="H2" s="67">
        <v>66328.003797908881</v>
      </c>
      <c r="I2" s="67">
        <v>71025.442200818492</v>
      </c>
      <c r="J2" s="67">
        <v>72461.516226850872</v>
      </c>
      <c r="K2" s="67">
        <v>73926.311733403898</v>
      </c>
      <c r="L2" s="67">
        <v>75420.403150087965</v>
      </c>
      <c r="M2" s="67">
        <v>80754.309507650119</v>
      </c>
      <c r="N2" s="67">
        <v>82384.960879819118</v>
      </c>
      <c r="O2" s="67">
        <v>83981.025736782321</v>
      </c>
      <c r="P2" s="67">
        <v>88504.880459413078</v>
      </c>
      <c r="Q2" s="67">
        <v>89887.887474617339</v>
      </c>
      <c r="R2" s="67">
        <v>91298.554630125698</v>
      </c>
      <c r="S2" s="67">
        <v>92737.435128744211</v>
      </c>
      <c r="T2" s="67">
        <v>94205.093237335095</v>
      </c>
      <c r="U2" s="67">
        <v>99444.632685004573</v>
      </c>
      <c r="V2" s="67">
        <v>101046.43474472065</v>
      </c>
      <c r="W2" s="67">
        <v>102680.27284563107</v>
      </c>
      <c r="X2" s="67">
        <v>104346.78770855968</v>
      </c>
      <c r="Y2" s="67">
        <v>110296.24576921485</v>
      </c>
      <c r="Z2" s="67">
        <v>112115.08009061516</v>
      </c>
      <c r="AA2" s="67">
        <v>113970.29109844347</v>
      </c>
      <c r="AB2" s="67">
        <v>115862.60632642834</v>
      </c>
      <c r="AC2" s="67">
        <v>117792.76785897292</v>
      </c>
      <c r="AD2" s="67">
        <v>119761.53262216836</v>
      </c>
      <c r="AE2" s="67">
        <v>121769.67268062773</v>
      </c>
      <c r="AF2" s="67">
        <v>123817.97554025632</v>
      </c>
      <c r="AG2" s="67">
        <v>125907.24445707742</v>
      </c>
      <c r="AH2" s="67">
        <v>128038.29875223497</v>
      </c>
      <c r="AI2" s="67">
        <v>130211.97413329566</v>
      </c>
      <c r="AJ2" s="67">
        <v>132429.12302197758</v>
      </c>
      <c r="AK2" s="67">
        <v>134690.61488843313</v>
      </c>
      <c r="AL2" s="67">
        <v>142764.14085167946</v>
      </c>
      <c r="AM2" s="67">
        <v>145232.33307472905</v>
      </c>
      <c r="AN2" s="67">
        <v>147749.88914223964</v>
      </c>
      <c r="AO2" s="67">
        <v>150317.79633110043</v>
      </c>
      <c r="AP2" s="67">
        <v>152937.06166373845</v>
      </c>
      <c r="AQ2" s="67">
        <v>155608.71230302923</v>
      </c>
      <c r="AR2" s="67">
        <v>158333.79595510583</v>
      </c>
      <c r="AS2" s="67">
        <v>161113.38128022396</v>
      </c>
      <c r="AT2" s="67">
        <v>163948.55831184445</v>
      </c>
      <c r="AU2" s="67">
        <v>166840.4388840973</v>
      </c>
      <c r="AV2" s="67">
        <v>169790.15706779528</v>
      </c>
      <c r="AW2" s="67">
        <v>172798.86961516715</v>
      </c>
      <c r="AX2" s="67">
        <v>175867.75641348655</v>
      </c>
      <c r="AY2" s="67">
        <v>178998.02094777228</v>
      </c>
      <c r="AZ2" s="67">
        <v>182190.89077274373</v>
      </c>
      <c r="BA2">
        <v>0</v>
      </c>
    </row>
    <row r="3" spans="1:53" x14ac:dyDescent="0.2">
      <c r="A3" s="67" t="s">
        <v>74</v>
      </c>
      <c r="B3" s="69">
        <v>200000</v>
      </c>
      <c r="C3" s="67" cm="1">
        <f t="array" ref="C3:BA3">TRANSPOSE(TableIncome[InvestmentP2])</f>
        <v>93439.127443816265</v>
      </c>
      <c r="D3" s="67">
        <v>94920.819398708554</v>
      </c>
      <c r="E3" s="67">
        <v>100210.45967767417</v>
      </c>
      <c r="F3" s="67">
        <v>101827.57827724364</v>
      </c>
      <c r="G3" s="67">
        <v>103477.03924880452</v>
      </c>
      <c r="H3" s="67">
        <v>105159.48943979661</v>
      </c>
      <c r="I3" s="67">
        <v>111165.83662163837</v>
      </c>
      <c r="J3" s="67">
        <v>113002.06276008714</v>
      </c>
      <c r="K3" s="67">
        <v>114875.01342130486</v>
      </c>
      <c r="L3" s="67">
        <v>116785.42309574696</v>
      </c>
      <c r="M3" s="67">
        <v>123605.58563350524</v>
      </c>
      <c r="N3" s="67">
        <v>125690.60675219139</v>
      </c>
      <c r="O3" s="67">
        <v>127817.32829325121</v>
      </c>
      <c r="P3" s="67">
        <v>135409.72419483479</v>
      </c>
      <c r="Q3" s="67">
        <v>137730.82808474745</v>
      </c>
      <c r="R3" s="67">
        <v>140098.35405245842</v>
      </c>
      <c r="S3" s="67">
        <v>142513.23053952359</v>
      </c>
      <c r="T3" s="67">
        <v>144976.40455633003</v>
      </c>
      <c r="U3" s="67">
        <v>153769.93579632917</v>
      </c>
      <c r="V3" s="67">
        <v>156458.24391827174</v>
      </c>
      <c r="W3" s="67">
        <v>159200.3182026532</v>
      </c>
      <c r="X3" s="67">
        <v>161997.23397272226</v>
      </c>
      <c r="Y3" s="67">
        <v>171982.2232718688</v>
      </c>
      <c r="Z3" s="67">
        <v>175034.77714332222</v>
      </c>
      <c r="AA3" s="67">
        <v>178148.38209220464</v>
      </c>
      <c r="AB3" s="67">
        <v>181324.25914006477</v>
      </c>
      <c r="AC3" s="67">
        <v>184563.65372888208</v>
      </c>
      <c r="AD3" s="67">
        <v>187867.83620947573</v>
      </c>
      <c r="AE3" s="67">
        <v>191238.10233968124</v>
      </c>
      <c r="AF3" s="67">
        <v>194675.77379249089</v>
      </c>
      <c r="AG3" s="67">
        <v>198182.19867435671</v>
      </c>
      <c r="AH3" s="67">
        <v>201758.75205385985</v>
      </c>
      <c r="AI3" s="67">
        <v>205406.83650095301</v>
      </c>
      <c r="AJ3" s="67">
        <v>209127.88263698819</v>
      </c>
      <c r="AK3" s="67">
        <v>212923.34969574388</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57161.754017615858</v>
      </c>
      <c r="C2" s="71">
        <f>SUMIF(TableIncome[Year], "&lt;=" &amp; C1, TableIncome[InvestmentP1])</f>
        <v>115482.30829760004</v>
      </c>
      <c r="D2" s="71">
        <f>SUMIF(TableIncome[Year], "&lt;=" &amp; D1, TableIncome[InvestmentP1])</f>
        <v>177939.77951423911</v>
      </c>
      <c r="E2" s="71">
        <f>SUMIF(TableIncome[Year], "&lt;=" &amp; E1, TableIncome[InvestmentP1])</f>
        <v>241661.96533722695</v>
      </c>
      <c r="F2" s="71">
        <f>SUMIF(TableIncome[Year], "&lt;=" &amp; F1, TableIncome[InvestmentP1])</f>
        <v>306674.16005869058</v>
      </c>
      <c r="G2" s="71">
        <f>SUMIF(TableIncome[Year], "&lt;=" &amp; G1, TableIncome[InvestmentP1])</f>
        <v>373002.16385659948</v>
      </c>
      <c r="H2" s="71">
        <f>SUMIF(TableIncome[Year], "&lt;=" &amp; H1, TableIncome[InvestmentP1])</f>
        <v>444027.60605741799</v>
      </c>
      <c r="I2" s="71">
        <f>SUMIF(TableIncome[Year], "&lt;=" &amp; I1, TableIncome[InvestmentP1])</f>
        <v>516489.12228426884</v>
      </c>
      <c r="J2" s="71">
        <f>SUMIF(TableIncome[Year], "&lt;=" &amp; J1, TableIncome[InvestmentP1])</f>
        <v>590415.43401767279</v>
      </c>
      <c r="K2" s="71">
        <f>SUMIF(TableIncome[Year], "&lt;=" &amp; K1, TableIncome[InvestmentP1])</f>
        <v>665835.83716776071</v>
      </c>
      <c r="L2" s="71">
        <f>SUMIF(TableIncome[Year], "&lt;=" &amp; L1, TableIncome[InvestmentP1])</f>
        <v>746590.1466754108</v>
      </c>
      <c r="M2" s="71">
        <f>SUMIF(TableIncome[Year], "&lt;=" &amp; M1, TableIncome[InvestmentP1])</f>
        <v>828975.10755522992</v>
      </c>
      <c r="N2" s="71">
        <f>SUMIF(TableIncome[Year], "&lt;=" &amp; N1, TableIncome[InvestmentP1])</f>
        <v>912956.13329201227</v>
      </c>
      <c r="O2" s="71">
        <f>SUMIF(TableIncome[Year], "&lt;=" &amp; O1, TableIncome[InvestmentP1])</f>
        <v>1001461.0137514253</v>
      </c>
      <c r="P2" s="71">
        <f>SUMIF(TableIncome[Year], "&lt;=" &amp; P1, TableIncome[InvestmentP1])</f>
        <v>1091348.9012260428</v>
      </c>
      <c r="Q2" s="71">
        <f>SUMIF(TableIncome[Year], "&lt;=" &amp; Q1, TableIncome[InvestmentP1])</f>
        <v>1182647.4558561684</v>
      </c>
      <c r="R2" s="71">
        <f>SUMIF(TableIncome[Year], "&lt;=" &amp; R1, TableIncome[InvestmentP1])</f>
        <v>1275384.8909849126</v>
      </c>
      <c r="S2" s="71">
        <f>SUMIF(TableIncome[Year], "&lt;=" &amp; S1, TableIncome[InvestmentP1])</f>
        <v>1369589.9842222477</v>
      </c>
      <c r="T2" s="71">
        <f>SUMIF(TableIncome[Year], "&lt;=" &amp; T1, TableIncome[InvestmentP1])</f>
        <v>1469034.6169072522</v>
      </c>
      <c r="U2" s="71">
        <f>SUMIF(TableIncome[Year], "&lt;=" &amp; U1, TableIncome[InvestmentP1])</f>
        <v>1570081.0516519728</v>
      </c>
      <c r="V2" s="71">
        <f>SUMIF(TableIncome[Year], "&lt;=" &amp; V1, TableIncome[InvestmentP1])</f>
        <v>1672761.3244976038</v>
      </c>
      <c r="W2" s="71">
        <f>SUMIF(TableIncome[Year], "&lt;=" &amp; W1, TableIncome[InvestmentP1])</f>
        <v>1777108.1122061636</v>
      </c>
      <c r="X2" s="71">
        <f>SUMIF(TableIncome[Year], "&lt;=" &amp; X1, TableIncome[InvestmentP1])</f>
        <v>1887404.3579753784</v>
      </c>
      <c r="Y2" s="71">
        <f>SUMIF(TableIncome[Year], "&lt;=" &amp; Y1, TableIncome[InvestmentP1])</f>
        <v>1999519.4380659936</v>
      </c>
      <c r="Z2" s="71">
        <f>SUMIF(TableIncome[Year], "&lt;=" &amp; Z1, TableIncome[InvestmentP1])</f>
        <v>2113489.7291644369</v>
      </c>
      <c r="AA2" s="71">
        <f>SUMIF(TableIncome[Year], "&lt;=" &amp; AA1, TableIncome[InvestmentP1])</f>
        <v>2229352.3354908652</v>
      </c>
      <c r="AB2" s="71">
        <f>SUMIF(TableIncome[Year], "&lt;=" &amp; AB1, TableIncome[InvestmentP1])</f>
        <v>2347145.1033498379</v>
      </c>
      <c r="AC2" s="71">
        <f>SUMIF(TableIncome[Year], "&lt;=" &amp; AC1, TableIncome[InvestmentP1])</f>
        <v>2466906.6359720062</v>
      </c>
      <c r="AD2" s="71">
        <f>SUMIF(TableIncome[Year], "&lt;=" &amp; AD1, TableIncome[InvestmentP1])</f>
        <v>2588676.3086526338</v>
      </c>
      <c r="AE2" s="71">
        <f>SUMIF(TableIncome[Year], "&lt;=" &amp; AE1, TableIncome[InvestmentP1])</f>
        <v>2712494.2841928899</v>
      </c>
      <c r="AF2" s="71">
        <f>SUMIF(TableIncome[Year], "&lt;=" &amp; AF1, TableIncome[InvestmentP1])</f>
        <v>2838401.5286499672</v>
      </c>
      <c r="AG2" s="71">
        <f>SUMIF(TableIncome[Year], "&lt;=" &amp; AG1, TableIncome[InvestmentP1])</f>
        <v>2966439.8274022019</v>
      </c>
      <c r="AH2" s="71">
        <f>SUMIF(TableIncome[Year], "&lt;=" &amp; AH1, TableIncome[InvestmentP1])</f>
        <v>3096651.8015354974</v>
      </c>
      <c r="AI2" s="71">
        <f>SUMIF(TableIncome[Year], "&lt;=" &amp; AI1, TableIncome[InvestmentP1])</f>
        <v>3229080.9245574749</v>
      </c>
      <c r="AJ2" s="71">
        <f>SUMIF(TableIncome[Year], "&lt;=" &amp; AJ1, TableIncome[InvestmentP1])</f>
        <v>3363771.5394459078</v>
      </c>
      <c r="AK2" s="71">
        <f>SUMIF(TableIncome[Year], "&lt;=" &amp; AK1, TableIncome[InvestmentP1])</f>
        <v>3506535.6802975871</v>
      </c>
      <c r="AL2" s="71">
        <f>SUMIF(TableIncome[Year], "&lt;=" &amp; AL1, TableIncome[InvestmentP1])</f>
        <v>3651768.013372316</v>
      </c>
      <c r="AM2" s="71">
        <f>SUMIF(TableIncome[Year], "&lt;=" &amp; AM1, TableIncome[InvestmentP1])</f>
        <v>3799517.9025145555</v>
      </c>
      <c r="AN2" s="71">
        <f>SUMIF(TableIncome[Year], "&lt;=" &amp; AN1, TableIncome[InvestmentP1])</f>
        <v>3949835.6988456561</v>
      </c>
      <c r="AO2" s="71">
        <f>SUMIF(TableIncome[Year], "&lt;=" &amp; AO1, TableIncome[InvestmentP1])</f>
        <v>4102772.7605093946</v>
      </c>
      <c r="AP2" s="71">
        <f>SUMIF(TableIncome[Year], "&lt;=" &amp; AP1, TableIncome[InvestmentP1])</f>
        <v>4258381.4728124235</v>
      </c>
      <c r="AQ2" s="71">
        <f>SUMIF(TableIncome[Year], "&lt;=" &amp; AQ1, TableIncome[InvestmentP1])</f>
        <v>4416715.2687675292</v>
      </c>
      <c r="AR2" s="71">
        <f>SUMIF(TableIncome[Year], "&lt;=" &amp; AR1, TableIncome[InvestmentP1])</f>
        <v>4577828.650047753</v>
      </c>
      <c r="AS2" s="71">
        <f>SUMIF(TableIncome[Year], "&lt;=" &amp; AS1, TableIncome[InvestmentP1])</f>
        <v>4741777.2083595973</v>
      </c>
      <c r="AT2" s="71">
        <f>SUMIF(TableIncome[Year], "&lt;=" &amp; AT1, TableIncome[InvestmentP1])</f>
        <v>4908617.6472436944</v>
      </c>
      <c r="AU2" s="71">
        <f>SUMIF(TableIncome[Year], "&lt;=" &amp; AU1, TableIncome[InvestmentP1])</f>
        <v>5078407.8043114897</v>
      </c>
      <c r="AV2" s="71">
        <f>SUMIF(TableIncome[Year], "&lt;=" &amp; AV1, TableIncome[InvestmentP1])</f>
        <v>5251206.6739266571</v>
      </c>
      <c r="AW2" s="71">
        <f>SUMIF(TableIncome[Year], "&lt;=" &amp; AW1, TableIncome[InvestmentP1])</f>
        <v>5427074.4303401439</v>
      </c>
      <c r="AX2" s="71">
        <f>SUMIF(TableIncome[Year], "&lt;=" &amp; AX1, TableIncome[InvestmentP1])</f>
        <v>5606072.4512879159</v>
      </c>
      <c r="AY2" s="71">
        <f>SUMIF(TableIncome[Year], "&lt;=" &amp; AY1, TableIncome[InvestmentP1])</f>
        <v>5788263.34206066</v>
      </c>
      <c r="AZ2" s="71">
        <f>SUMIF(TableIncome[Year], "&lt;=" &amp; AZ1, TableIncome[InvestmentP1])</f>
        <v>5788263.34206066</v>
      </c>
    </row>
    <row r="3" spans="1:52" x14ac:dyDescent="0.2">
      <c r="A3" s="67" t="s">
        <v>74</v>
      </c>
      <c r="B3" s="71">
        <f>SUMIF(TableIncome[Year], "&lt;=" &amp; B1, TableIncome[InvestmentP2])</f>
        <v>93439.127443816265</v>
      </c>
      <c r="C3" s="71">
        <f>SUMIF(TableIncome[Year], "&lt;=" &amp; C1, TableIncome[InvestmentP2])</f>
        <v>188359.94684252481</v>
      </c>
      <c r="D3" s="71">
        <f>SUMIF(TableIncome[Year], "&lt;=" &amp; D1, TableIncome[InvestmentP2])</f>
        <v>288570.40652019897</v>
      </c>
      <c r="E3" s="71">
        <f>SUMIF(TableIncome[Year], "&lt;=" &amp; E1, TableIncome[InvestmentP2])</f>
        <v>390397.98479744262</v>
      </c>
      <c r="F3" s="71">
        <f>SUMIF(TableIncome[Year], "&lt;=" &amp; F1, TableIncome[InvestmentP2])</f>
        <v>493875.02404624713</v>
      </c>
      <c r="G3" s="71">
        <f>SUMIF(TableIncome[Year], "&lt;=" &amp; G1, TableIncome[InvestmentP2])</f>
        <v>599034.51348604378</v>
      </c>
      <c r="H3" s="71">
        <f>SUMIF(TableIncome[Year], "&lt;=" &amp; H1, TableIncome[InvestmentP2])</f>
        <v>710200.35010768217</v>
      </c>
      <c r="I3" s="71">
        <f>SUMIF(TableIncome[Year], "&lt;=" &amp; I1, TableIncome[InvestmentP2])</f>
        <v>823202.41286776937</v>
      </c>
      <c r="J3" s="71">
        <f>SUMIF(TableIncome[Year], "&lt;=" &amp; J1, TableIncome[InvestmentP2])</f>
        <v>938077.42628907424</v>
      </c>
      <c r="K3" s="71">
        <f>SUMIF(TableIncome[Year], "&lt;=" &amp; K1, TableIncome[InvestmentP2])</f>
        <v>1054862.8493848213</v>
      </c>
      <c r="L3" s="71">
        <f>SUMIF(TableIncome[Year], "&lt;=" &amp; L1, TableIncome[InvestmentP2])</f>
        <v>1178468.4350183264</v>
      </c>
      <c r="M3" s="71">
        <f>SUMIF(TableIncome[Year], "&lt;=" &amp; M1, TableIncome[InvestmentP2])</f>
        <v>1304159.0417705178</v>
      </c>
      <c r="N3" s="71">
        <f>SUMIF(TableIncome[Year], "&lt;=" &amp; N1, TableIncome[InvestmentP2])</f>
        <v>1431976.3700637689</v>
      </c>
      <c r="O3" s="71">
        <f>SUMIF(TableIncome[Year], "&lt;=" &amp; O1, TableIncome[InvestmentP2])</f>
        <v>1567386.0942586036</v>
      </c>
      <c r="P3" s="71">
        <f>SUMIF(TableIncome[Year], "&lt;=" &amp; P1, TableIncome[InvestmentP2])</f>
        <v>1705116.9223433512</v>
      </c>
      <c r="Q3" s="71">
        <f>SUMIF(TableIncome[Year], "&lt;=" &amp; Q1, TableIncome[InvestmentP2])</f>
        <v>1845215.2763958096</v>
      </c>
      <c r="R3" s="71">
        <f>SUMIF(TableIncome[Year], "&lt;=" &amp; R1, TableIncome[InvestmentP2])</f>
        <v>1987728.5069353331</v>
      </c>
      <c r="S3" s="71">
        <f>SUMIF(TableIncome[Year], "&lt;=" &amp; S1, TableIncome[InvestmentP2])</f>
        <v>2132704.9114916632</v>
      </c>
      <c r="T3" s="71">
        <f>SUMIF(TableIncome[Year], "&lt;=" &amp; T1, TableIncome[InvestmentP2])</f>
        <v>2286474.8472879925</v>
      </c>
      <c r="U3" s="71">
        <f>SUMIF(TableIncome[Year], "&lt;=" &amp; U1, TableIncome[InvestmentP2])</f>
        <v>2442933.0912062642</v>
      </c>
      <c r="V3" s="71">
        <f>SUMIF(TableIncome[Year], "&lt;=" &amp; V1, TableIncome[InvestmentP2])</f>
        <v>2602133.4094089177</v>
      </c>
      <c r="W3" s="71">
        <f>SUMIF(TableIncome[Year], "&lt;=" &amp; W1, TableIncome[InvestmentP2])</f>
        <v>2764130.6433816398</v>
      </c>
      <c r="X3" s="71">
        <f>SUMIF(TableIncome[Year], "&lt;=" &amp; X1, TableIncome[InvestmentP2])</f>
        <v>2936112.8666535085</v>
      </c>
      <c r="Y3" s="71">
        <f>SUMIF(TableIncome[Year], "&lt;=" &amp; Y1, TableIncome[InvestmentP2])</f>
        <v>3111147.6437968309</v>
      </c>
      <c r="Z3" s="71">
        <f>SUMIF(TableIncome[Year], "&lt;=" &amp; Z1, TableIncome[InvestmentP2])</f>
        <v>3289296.0258890353</v>
      </c>
      <c r="AA3" s="71">
        <f>SUMIF(TableIncome[Year], "&lt;=" &amp; AA1, TableIncome[InvestmentP2])</f>
        <v>3470620.2850291003</v>
      </c>
      <c r="AB3" s="71">
        <f>SUMIF(TableIncome[Year], "&lt;=" &amp; AB1, TableIncome[InvestmentP2])</f>
        <v>3655183.9387579821</v>
      </c>
      <c r="AC3" s="71">
        <f>SUMIF(TableIncome[Year], "&lt;=" &amp; AC1, TableIncome[InvestmentP2])</f>
        <v>3843051.7749674576</v>
      </c>
      <c r="AD3" s="71">
        <f>SUMIF(TableIncome[Year], "&lt;=" &amp; AD1, TableIncome[InvestmentP2])</f>
        <v>4034289.8773071389</v>
      </c>
      <c r="AE3" s="71">
        <f>SUMIF(TableIncome[Year], "&lt;=" &amp; AE1, TableIncome[InvestmentP2])</f>
        <v>4228965.6510996297</v>
      </c>
      <c r="AF3" s="71">
        <f>SUMIF(TableIncome[Year], "&lt;=" &amp; AF1, TableIncome[InvestmentP2])</f>
        <v>4427147.8497739863</v>
      </c>
      <c r="AG3" s="71">
        <f>SUMIF(TableIncome[Year], "&lt;=" &amp; AG1, TableIncome[InvestmentP2])</f>
        <v>4628906.6018278459</v>
      </c>
      <c r="AH3" s="71">
        <f>SUMIF(TableIncome[Year], "&lt;=" &amp; AH1, TableIncome[InvestmentP2])</f>
        <v>4834313.4383287989</v>
      </c>
      <c r="AI3" s="71">
        <f>SUMIF(TableIncome[Year], "&lt;=" &amp; AI1, TableIncome[InvestmentP2])</f>
        <v>5043441.3209657874</v>
      </c>
      <c r="AJ3" s="71">
        <f>SUMIF(TableIncome[Year], "&lt;=" &amp; AJ1, TableIncome[InvestmentP2])</f>
        <v>5256364.6706615314</v>
      </c>
      <c r="AK3" s="71">
        <f>SUMIF(TableIncome[Year], "&lt;=" &amp; AK1, TableIncome[InvestmentP2])</f>
        <v>5256364.6706615314</v>
      </c>
      <c r="AL3" s="71">
        <f>SUMIF(TableIncome[Year], "&lt;=" &amp; AL1, TableIncome[InvestmentP2])</f>
        <v>5256364.6706615314</v>
      </c>
      <c r="AM3" s="71">
        <f>SUMIF(TableIncome[Year], "&lt;=" &amp; AM1, TableIncome[InvestmentP2])</f>
        <v>5256364.6706615314</v>
      </c>
      <c r="AN3" s="71">
        <f>SUMIF(TableIncome[Year], "&lt;=" &amp; AN1, TableIncome[InvestmentP2])</f>
        <v>5256364.6706615314</v>
      </c>
      <c r="AO3" s="71">
        <f>SUMIF(TableIncome[Year], "&lt;=" &amp; AO1, TableIncome[InvestmentP2])</f>
        <v>5256364.6706615314</v>
      </c>
      <c r="AP3" s="71">
        <f>SUMIF(TableIncome[Year], "&lt;=" &amp; AP1, TableIncome[InvestmentP2])</f>
        <v>5256364.6706615314</v>
      </c>
      <c r="AQ3" s="71">
        <f>SUMIF(TableIncome[Year], "&lt;=" &amp; AQ1, TableIncome[InvestmentP2])</f>
        <v>5256364.6706615314</v>
      </c>
      <c r="AR3" s="71">
        <f>SUMIF(TableIncome[Year], "&lt;=" &amp; AR1, TableIncome[InvestmentP2])</f>
        <v>5256364.6706615314</v>
      </c>
      <c r="AS3" s="71">
        <f>SUMIF(TableIncome[Year], "&lt;=" &amp; AS1, TableIncome[InvestmentP2])</f>
        <v>5256364.6706615314</v>
      </c>
      <c r="AT3" s="71">
        <f>SUMIF(TableIncome[Year], "&lt;=" &amp; AT1, TableIncome[InvestmentP2])</f>
        <v>5256364.6706615314</v>
      </c>
      <c r="AU3" s="71">
        <f>SUMIF(TableIncome[Year], "&lt;=" &amp; AU1, TableIncome[InvestmentP2])</f>
        <v>5256364.6706615314</v>
      </c>
      <c r="AV3" s="71">
        <f>SUMIF(TableIncome[Year], "&lt;=" &amp; AV1, TableIncome[InvestmentP2])</f>
        <v>5256364.6706615314</v>
      </c>
      <c r="AW3" s="71">
        <f>SUMIF(TableIncome[Year], "&lt;=" &amp; AW1, TableIncome[InvestmentP2])</f>
        <v>5256364.6706615314</v>
      </c>
      <c r="AX3" s="71">
        <f>SUMIF(TableIncome[Year], "&lt;=" &amp; AX1, TableIncome[InvestmentP2])</f>
        <v>5256364.6706615314</v>
      </c>
      <c r="AY3" s="71">
        <f>SUMIF(TableIncome[Year], "&lt;=" &amp; AY1, TableIncome[InvestmentP2])</f>
        <v>5256364.6706615314</v>
      </c>
      <c r="AZ3" s="71">
        <f>SUMIF(TableIncome[Year], "&lt;=" &amp; AZ1, TableIncome[InvestmentP2])</f>
        <v>5256364.6706615314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2025-05-08T12:20:28Z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