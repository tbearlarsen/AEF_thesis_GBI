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horb\Documents\Github Repositories\AEF_thesis_GBI\GBI Optimisation\"/>
    </mc:Choice>
  </mc:AlternateContent>
  <xr:revisionPtr revIDLastSave="0" documentId="13_ncr:1_{540BCDDD-4BC8-42B6-860F-B7DDBC5BDBCB}" xr6:coauthVersionLast="47" xr6:coauthVersionMax="47" xr10:uidLastSave="{00000000-0000-0000-0000-000000000000}"/>
  <bookViews>
    <workbookView xWindow="-105" yWindow="0" windowWidth="19410" windowHeight="20985" activeTab="1" xr2:uid="{00000000-000D-0000-FFFF-FFFF00000000}"/>
  </bookViews>
  <sheets>
    <sheet name="Returns" sheetId="1" r:id="rId1"/>
    <sheet name="Pr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3" i="2"/>
  <c r="F3" i="2"/>
  <c r="G3" i="2"/>
  <c r="H3" i="2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</calcChain>
</file>

<file path=xl/sharedStrings.xml><?xml version="1.0" encoding="utf-8"?>
<sst xmlns="http://schemas.openxmlformats.org/spreadsheetml/2006/main" count="18" uniqueCount="9">
  <si>
    <t>Year</t>
  </si>
  <si>
    <t>Time</t>
  </si>
  <si>
    <t>EUNK</t>
  </si>
  <si>
    <t>SXR4</t>
  </si>
  <si>
    <t>IUSN</t>
  </si>
  <si>
    <t>SYBC</t>
  </si>
  <si>
    <t>SYBB</t>
  </si>
  <si>
    <t>LYXF</t>
  </si>
  <si>
    <t>JGHY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</si>
</sst>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2" x14ac:knownFonts="1">
    <font>
      <sz val="12"/>
      <color theme="1"/>
      <name val="Calibri Light"/>
      <family val="2"/>
    </font>
    <font>
      <sz val="12"/>
      <color rgb="FFFF0000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14"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  <dxf>
      <numFmt numFmtId="166" formatCode="#,##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_returns" displayName="Asset_returns" ref="A1:I48" totalsRowShown="0">
  <autoFilter ref="A1:I48" xr:uid="{00000000-0009-0000-0100-000001000000}"/>
  <tableColumns count="9">
    <tableColumn id="1" xr3:uid="{00000000-0010-0000-0000-000001000000}" name="Year"/>
    <tableColumn id="2" xr3:uid="{00000000-0010-0000-0000-000002000000}" name="Time"/>
    <tableColumn id="3" xr3:uid="{00000000-0010-0000-0000-000003000000}" name="EUNK" dataDxfId="13"/>
    <tableColumn id="4" xr3:uid="{00000000-0010-0000-0000-000004000000}" name="SXR4" dataDxfId="12"/>
    <tableColumn id="5" xr3:uid="{00000000-0010-0000-0000-000005000000}" name="IUSN" dataDxfId="11"/>
    <tableColumn id="6" xr3:uid="{00000000-0010-0000-0000-000006000000}" name="SYBC" dataDxfId="10"/>
    <tableColumn id="7" xr3:uid="{00000000-0010-0000-0000-000007000000}" name="SYBB" dataDxfId="9"/>
    <tableColumn id="8" xr3:uid="{00000000-0010-0000-0000-000008000000}" name="LYXF" dataDxfId="8"/>
    <tableColumn id="9" xr3:uid="{00000000-0010-0000-0000-000009000000}" name="JGH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et_prices" displayName="Asset_prices" ref="A1:I48" totalsRowShown="0">
  <autoFilter ref="A1:I48" xr:uid="{00000000-0009-0000-0100-000002000000}"/>
  <tableColumns count="9">
    <tableColumn id="1" xr3:uid="{00000000-0010-0000-0100-000001000000}" name="Year"/>
    <tableColumn id="2" xr3:uid="{00000000-0010-0000-0100-000002000000}" name="Time"/>
    <tableColumn id="3" xr3:uid="{00000000-0010-0000-0100-000003000000}" name="EUNK" dataDxfId="6"/>
    <tableColumn id="4" xr3:uid="{00000000-0010-0000-0100-000004000000}" name="SXR4" dataDxfId="5"/>
    <tableColumn id="5" xr3:uid="{00000000-0010-0000-0100-000005000000}" name="IUSN" dataDxfId="4"/>
    <tableColumn id="6" xr3:uid="{00000000-0010-0000-0100-000006000000}" name="SYBC" dataDxfId="3"/>
    <tableColumn id="7" xr3:uid="{00000000-0010-0000-0100-000007000000}" name="SYBB" dataDxfId="2"/>
    <tableColumn id="8" xr3:uid="{00000000-0010-0000-0100-000008000000}" name="LYXF" dataDxfId="1"/>
    <tableColumn id="9" xr3:uid="{00000000-0010-0000-0100-000009000000}" name="JGH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J11" sqref="J11"/>
    </sheetView>
  </sheetViews>
  <sheetFormatPr defaultRowHeight="15.75" x14ac:dyDescent="0.25"/>
  <cols>
    <col min="3" max="9" width="10.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2024</v>
      </c>
      <c r="B2">
        <v>0</v>
      </c>
      <c r="C2" s="2">
        <v>7.0519081303889314E-2</v>
      </c>
      <c r="D2" s="2">
        <v>5.1262259335352757E-2</v>
      </c>
      <c r="E2" s="2">
        <v>5.1492453695818612E-2</v>
      </c>
      <c r="F2" s="2">
        <v>2.9629374941189661E-2</v>
      </c>
      <c r="G2" s="2">
        <v>2.4243245598358016E-2</v>
      </c>
      <c r="H2" s="2">
        <v>2.3275374846887693E-2</v>
      </c>
      <c r="I2" s="2">
        <v>4.1267090501495983E-2</v>
      </c>
    </row>
    <row r="3" spans="1:9" x14ac:dyDescent="0.25">
      <c r="A3" s="1">
        <v>2025</v>
      </c>
      <c r="B3" s="1">
        <v>1</v>
      </c>
      <c r="C3" s="2">
        <v>7.0519081303889314E-2</v>
      </c>
      <c r="D3" s="2">
        <v>5.1262259335352757E-2</v>
      </c>
      <c r="E3" s="2">
        <v>5.1492453695818612E-2</v>
      </c>
      <c r="F3" s="2">
        <v>2.9629374941189661E-2</v>
      </c>
      <c r="G3" s="2">
        <v>2.4243245598358016E-2</v>
      </c>
      <c r="H3" s="2">
        <v>2.3275374846887693E-2</v>
      </c>
      <c r="I3" s="2">
        <v>4.1267090501495983E-2</v>
      </c>
    </row>
    <row r="4" spans="1:9" x14ac:dyDescent="0.25">
      <c r="A4" s="1">
        <v>2026</v>
      </c>
      <c r="B4" s="1">
        <v>2</v>
      </c>
      <c r="C4" s="2">
        <v>7.0519081303889314E-2</v>
      </c>
      <c r="D4" s="2">
        <v>5.1262259335352757E-2</v>
      </c>
      <c r="E4" s="2">
        <v>5.1492453695818612E-2</v>
      </c>
      <c r="F4" s="2">
        <v>2.9629374941189661E-2</v>
      </c>
      <c r="G4" s="2">
        <v>2.4243245598358016E-2</v>
      </c>
      <c r="H4" s="2">
        <v>2.3275374846887693E-2</v>
      </c>
      <c r="I4" s="2">
        <v>4.1267090501495983E-2</v>
      </c>
    </row>
    <row r="5" spans="1:9" x14ac:dyDescent="0.25">
      <c r="A5" s="1">
        <v>2027</v>
      </c>
      <c r="B5" s="1">
        <v>3</v>
      </c>
      <c r="C5" s="2">
        <v>7.0519081303889314E-2</v>
      </c>
      <c r="D5" s="2">
        <v>5.1262259335352757E-2</v>
      </c>
      <c r="E5" s="2">
        <v>5.1492453695818612E-2</v>
      </c>
      <c r="F5" s="2">
        <v>2.9629374941189661E-2</v>
      </c>
      <c r="G5" s="2">
        <v>2.4243245598358016E-2</v>
      </c>
      <c r="H5" s="2">
        <v>2.3275374846887693E-2</v>
      </c>
      <c r="I5" s="2">
        <v>4.1267090501495983E-2</v>
      </c>
    </row>
    <row r="6" spans="1:9" x14ac:dyDescent="0.25">
      <c r="A6" s="1">
        <v>2028</v>
      </c>
      <c r="B6" s="1">
        <v>4</v>
      </c>
      <c r="C6" s="2">
        <v>7.0519081303889314E-2</v>
      </c>
      <c r="D6" s="2">
        <v>5.1262259335352757E-2</v>
      </c>
      <c r="E6" s="2">
        <v>5.1492453695818612E-2</v>
      </c>
      <c r="F6" s="2">
        <v>2.9629374941189661E-2</v>
      </c>
      <c r="G6" s="2">
        <v>2.4243245598358016E-2</v>
      </c>
      <c r="H6" s="2">
        <v>2.3275374846887693E-2</v>
      </c>
      <c r="I6" s="2">
        <v>4.1267090501495983E-2</v>
      </c>
    </row>
    <row r="7" spans="1:9" x14ac:dyDescent="0.25">
      <c r="A7" s="1">
        <v>2029</v>
      </c>
      <c r="B7" s="1">
        <v>5</v>
      </c>
      <c r="C7" s="2">
        <v>7.0519081303889314E-2</v>
      </c>
      <c r="D7" s="2">
        <v>5.1262259335352757E-2</v>
      </c>
      <c r="E7" s="2">
        <v>5.1492453695818612E-2</v>
      </c>
      <c r="F7" s="2">
        <v>2.9629374941189661E-2</v>
      </c>
      <c r="G7" s="2">
        <v>2.4243245598358016E-2</v>
      </c>
      <c r="H7" s="2">
        <v>2.3275374846887693E-2</v>
      </c>
      <c r="I7" s="2">
        <v>4.1267090501495983E-2</v>
      </c>
    </row>
    <row r="8" spans="1:9" x14ac:dyDescent="0.25">
      <c r="A8" s="1">
        <v>2030</v>
      </c>
      <c r="B8" s="1">
        <v>6</v>
      </c>
      <c r="C8" s="2">
        <v>7.0519081303889314E-2</v>
      </c>
      <c r="D8" s="2">
        <v>5.1262259335352757E-2</v>
      </c>
      <c r="E8" s="2">
        <v>5.1492453695818612E-2</v>
      </c>
      <c r="F8" s="2">
        <v>2.9629374941189661E-2</v>
      </c>
      <c r="G8" s="2">
        <v>2.4243245598358016E-2</v>
      </c>
      <c r="H8" s="2">
        <v>2.3275374846887693E-2</v>
      </c>
      <c r="I8" s="2">
        <v>4.1267090501495983E-2</v>
      </c>
    </row>
    <row r="9" spans="1:9" x14ac:dyDescent="0.25">
      <c r="A9" s="1">
        <v>2031</v>
      </c>
      <c r="B9" s="1">
        <v>7</v>
      </c>
      <c r="C9" s="2">
        <v>7.0519081303889314E-2</v>
      </c>
      <c r="D9" s="2">
        <v>5.1262259335352757E-2</v>
      </c>
      <c r="E9" s="2">
        <v>5.1492453695818612E-2</v>
      </c>
      <c r="F9" s="2">
        <v>2.9629374941189661E-2</v>
      </c>
      <c r="G9" s="2">
        <v>2.4243245598358016E-2</v>
      </c>
      <c r="H9" s="2">
        <v>2.3275374846887693E-2</v>
      </c>
      <c r="I9" s="2">
        <v>4.1267090501495983E-2</v>
      </c>
    </row>
    <row r="10" spans="1:9" x14ac:dyDescent="0.25">
      <c r="A10" s="1">
        <v>2032</v>
      </c>
      <c r="B10" s="1">
        <v>8</v>
      </c>
      <c r="C10" s="2">
        <v>7.0519081303889314E-2</v>
      </c>
      <c r="D10" s="2">
        <v>5.1262259335352757E-2</v>
      </c>
      <c r="E10" s="2">
        <v>5.1492453695818612E-2</v>
      </c>
      <c r="F10" s="2">
        <v>2.9629374941189661E-2</v>
      </c>
      <c r="G10" s="2">
        <v>2.4243245598358016E-2</v>
      </c>
      <c r="H10" s="2">
        <v>2.3275374846887693E-2</v>
      </c>
      <c r="I10" s="2">
        <v>4.1267090501495983E-2</v>
      </c>
    </row>
    <row r="11" spans="1:9" x14ac:dyDescent="0.25">
      <c r="A11" s="1">
        <v>2033</v>
      </c>
      <c r="B11" s="1">
        <v>9</v>
      </c>
      <c r="C11" s="2">
        <v>7.0519081303889314E-2</v>
      </c>
      <c r="D11" s="2">
        <v>5.1262259335352757E-2</v>
      </c>
      <c r="E11" s="2">
        <v>5.1492453695818612E-2</v>
      </c>
      <c r="F11" s="2">
        <v>2.9629374941189661E-2</v>
      </c>
      <c r="G11" s="2">
        <v>2.4243245598358016E-2</v>
      </c>
      <c r="H11" s="2">
        <v>2.3275374846887693E-2</v>
      </c>
      <c r="I11" s="2">
        <v>4.1267090501495983E-2</v>
      </c>
    </row>
    <row r="12" spans="1:9" x14ac:dyDescent="0.25">
      <c r="A12" s="1">
        <v>2034</v>
      </c>
      <c r="B12" s="1">
        <v>10</v>
      </c>
      <c r="C12" s="2">
        <v>7.0519081303889314E-2</v>
      </c>
      <c r="D12" s="2">
        <v>5.1262259335352757E-2</v>
      </c>
      <c r="E12" s="2">
        <v>5.1492453695818612E-2</v>
      </c>
      <c r="F12" s="2">
        <v>2.9629374941189661E-2</v>
      </c>
      <c r="G12" s="2">
        <v>2.4243245598358016E-2</v>
      </c>
      <c r="H12" s="2">
        <v>2.3275374846887693E-2</v>
      </c>
      <c r="I12" s="2">
        <v>4.1267090501495983E-2</v>
      </c>
    </row>
    <row r="13" spans="1:9" x14ac:dyDescent="0.25">
      <c r="A13">
        <v>2035</v>
      </c>
      <c r="B13">
        <v>11</v>
      </c>
      <c r="C13" s="3">
        <v>7.4581405552304414E-2</v>
      </c>
      <c r="D13" s="3">
        <v>3.820179847444205E-2</v>
      </c>
      <c r="E13" s="3">
        <v>4.679383214666033E-2</v>
      </c>
      <c r="F13" s="3">
        <v>2.7927576278665489E-2</v>
      </c>
      <c r="G13" s="3">
        <v>2.4270784531460698E-2</v>
      </c>
      <c r="H13" s="3">
        <v>1.5671955048208511E-2</v>
      </c>
      <c r="I13" s="3">
        <v>4.1717663933219962E-2</v>
      </c>
    </row>
    <row r="14" spans="1:9" x14ac:dyDescent="0.25">
      <c r="A14">
        <v>2036</v>
      </c>
      <c r="B14">
        <v>12</v>
      </c>
      <c r="C14" s="3">
        <v>7.4581405552304414E-2</v>
      </c>
      <c r="D14" s="3">
        <v>3.820179847444205E-2</v>
      </c>
      <c r="E14" s="3">
        <v>4.679383214666033E-2</v>
      </c>
      <c r="F14" s="3">
        <v>2.7927576278665489E-2</v>
      </c>
      <c r="G14" s="3">
        <v>2.4270784531460698E-2</v>
      </c>
      <c r="H14" s="3">
        <v>1.5671955048208511E-2</v>
      </c>
      <c r="I14" s="3">
        <v>4.1717663933219962E-2</v>
      </c>
    </row>
    <row r="15" spans="1:9" x14ac:dyDescent="0.25">
      <c r="A15">
        <v>2037</v>
      </c>
      <c r="B15">
        <v>13</v>
      </c>
      <c r="C15" s="3">
        <v>7.4581405552304414E-2</v>
      </c>
      <c r="D15" s="3">
        <v>3.820179847444205E-2</v>
      </c>
      <c r="E15" s="3">
        <v>4.679383214666033E-2</v>
      </c>
      <c r="F15" s="3">
        <v>2.7927576278665489E-2</v>
      </c>
      <c r="G15" s="3">
        <v>2.4270784531460698E-2</v>
      </c>
      <c r="H15" s="3">
        <v>1.5671955048208511E-2</v>
      </c>
      <c r="I15" s="3">
        <v>4.1717663933219962E-2</v>
      </c>
    </row>
    <row r="16" spans="1:9" x14ac:dyDescent="0.25">
      <c r="A16">
        <v>2038</v>
      </c>
      <c r="B16">
        <v>14</v>
      </c>
      <c r="C16" s="3">
        <v>7.4581405552304414E-2</v>
      </c>
      <c r="D16" s="3">
        <v>3.820179847444205E-2</v>
      </c>
      <c r="E16" s="3">
        <v>4.679383214666033E-2</v>
      </c>
      <c r="F16" s="3">
        <v>2.7927576278665489E-2</v>
      </c>
      <c r="G16" s="3">
        <v>2.4270784531460698E-2</v>
      </c>
      <c r="H16" s="3">
        <v>1.5671955048208511E-2</v>
      </c>
      <c r="I16" s="3">
        <v>4.1717663933219962E-2</v>
      </c>
    </row>
    <row r="17" spans="1:9" x14ac:dyDescent="0.25">
      <c r="A17">
        <v>2039</v>
      </c>
      <c r="B17">
        <v>15</v>
      </c>
      <c r="C17" s="3">
        <v>7.4581405552304414E-2</v>
      </c>
      <c r="D17" s="3">
        <v>3.820179847444205E-2</v>
      </c>
      <c r="E17" s="3">
        <v>4.679383214666033E-2</v>
      </c>
      <c r="F17" s="3">
        <v>2.7927576278665489E-2</v>
      </c>
      <c r="G17" s="3">
        <v>2.4270784531460698E-2</v>
      </c>
      <c r="H17" s="3">
        <v>1.5671955048208511E-2</v>
      </c>
      <c r="I17" s="3">
        <v>4.1717663933219962E-2</v>
      </c>
    </row>
    <row r="18" spans="1:9" x14ac:dyDescent="0.25">
      <c r="A18">
        <v>2040</v>
      </c>
      <c r="B18">
        <v>16</v>
      </c>
      <c r="C18" s="3">
        <v>7.2275414934353188E-2</v>
      </c>
      <c r="D18" s="3">
        <v>4.5583684302457517E-2</v>
      </c>
      <c r="E18" s="3">
        <v>4.9458029305462503E-2</v>
      </c>
      <c r="F18" s="3">
        <v>2.8894698894837308E-2</v>
      </c>
      <c r="G18" s="3">
        <v>2.4257140876089659E-2</v>
      </c>
      <c r="H18" s="3">
        <v>1.997758353756152E-2</v>
      </c>
      <c r="I18" s="3">
        <v>4.1463969832174603E-2</v>
      </c>
    </row>
    <row r="19" spans="1:9" x14ac:dyDescent="0.25">
      <c r="A19">
        <v>2041</v>
      </c>
      <c r="B19">
        <v>17</v>
      </c>
      <c r="C19" s="3">
        <v>7.2275414934353188E-2</v>
      </c>
      <c r="D19" s="3">
        <v>4.5583684302457517E-2</v>
      </c>
      <c r="E19" s="3">
        <v>4.9458029305462503E-2</v>
      </c>
      <c r="F19" s="3">
        <v>2.8894698894837308E-2</v>
      </c>
      <c r="G19" s="3">
        <v>2.4257140876089659E-2</v>
      </c>
      <c r="H19" s="3">
        <v>1.997758353756152E-2</v>
      </c>
      <c r="I19" s="3">
        <v>4.1463969832174603E-2</v>
      </c>
    </row>
    <row r="20" spans="1:9" x14ac:dyDescent="0.25">
      <c r="A20">
        <v>2042</v>
      </c>
      <c r="B20">
        <v>18</v>
      </c>
      <c r="C20" s="3">
        <v>7.2275414934353188E-2</v>
      </c>
      <c r="D20" s="3">
        <v>4.5583684302457517E-2</v>
      </c>
      <c r="E20" s="3">
        <v>4.9458029305462503E-2</v>
      </c>
      <c r="F20" s="3">
        <v>2.8894698894837308E-2</v>
      </c>
      <c r="G20" s="3">
        <v>2.4257140876089659E-2</v>
      </c>
      <c r="H20" s="3">
        <v>1.997758353756152E-2</v>
      </c>
      <c r="I20" s="3">
        <v>4.1463969832174603E-2</v>
      </c>
    </row>
    <row r="21" spans="1:9" x14ac:dyDescent="0.25">
      <c r="A21">
        <v>2043</v>
      </c>
      <c r="B21">
        <v>19</v>
      </c>
      <c r="C21" s="3">
        <v>7.2275414934353188E-2</v>
      </c>
      <c r="D21" s="3">
        <v>4.5583684302457517E-2</v>
      </c>
      <c r="E21" s="3">
        <v>4.9458029305462503E-2</v>
      </c>
      <c r="F21" s="3">
        <v>2.8894698894837308E-2</v>
      </c>
      <c r="G21" s="3">
        <v>2.4257140876089659E-2</v>
      </c>
      <c r="H21" s="3">
        <v>1.997758353756152E-2</v>
      </c>
      <c r="I21" s="3">
        <v>4.1463969832174603E-2</v>
      </c>
    </row>
    <row r="22" spans="1:9" x14ac:dyDescent="0.25">
      <c r="A22">
        <v>2044</v>
      </c>
      <c r="B22">
        <v>20</v>
      </c>
      <c r="C22" s="3">
        <v>7.2275414934353188E-2</v>
      </c>
      <c r="D22" s="3">
        <v>4.5583684302457517E-2</v>
      </c>
      <c r="E22" s="3">
        <v>4.9458029305462503E-2</v>
      </c>
      <c r="F22" s="3">
        <v>2.8894698894837308E-2</v>
      </c>
      <c r="G22" s="3">
        <v>2.4257140876089659E-2</v>
      </c>
      <c r="H22" s="3">
        <v>1.997758353756152E-2</v>
      </c>
      <c r="I22" s="3">
        <v>4.1463969832174603E-2</v>
      </c>
    </row>
    <row r="23" spans="1:9" x14ac:dyDescent="0.25">
      <c r="A23">
        <v>2045</v>
      </c>
      <c r="B23">
        <v>21</v>
      </c>
      <c r="C23" s="3">
        <v>7.0709767516992317E-2</v>
      </c>
      <c r="D23" s="3">
        <v>5.0626182888258597E-2</v>
      </c>
      <c r="E23" s="3">
        <v>5.1269731788126771E-2</v>
      </c>
      <c r="F23" s="3">
        <v>2.9550264273434879E-2</v>
      </c>
      <c r="G23" s="3">
        <v>2.4245958516616369E-2</v>
      </c>
      <c r="H23" s="3">
        <v>2.2910910068764331E-2</v>
      </c>
      <c r="I23" s="3">
        <v>4.1289723440985471E-2</v>
      </c>
    </row>
    <row r="24" spans="1:9" x14ac:dyDescent="0.25">
      <c r="A24">
        <v>2046</v>
      </c>
      <c r="B24">
        <v>22</v>
      </c>
      <c r="C24" s="3">
        <v>7.0709767516992317E-2</v>
      </c>
      <c r="D24" s="3">
        <v>5.0626182888258597E-2</v>
      </c>
      <c r="E24" s="3">
        <v>5.1269731788126771E-2</v>
      </c>
      <c r="F24" s="3">
        <v>2.9550264273434879E-2</v>
      </c>
      <c r="G24" s="3">
        <v>2.4245958516616369E-2</v>
      </c>
      <c r="H24" s="3">
        <v>2.2910910068764331E-2</v>
      </c>
      <c r="I24" s="3">
        <v>4.1289723440985471E-2</v>
      </c>
    </row>
    <row r="25" spans="1:9" x14ac:dyDescent="0.25">
      <c r="A25">
        <v>2047</v>
      </c>
      <c r="B25">
        <v>23</v>
      </c>
      <c r="C25" s="3">
        <v>7.0709767516992317E-2</v>
      </c>
      <c r="D25" s="3">
        <v>5.0626182888258597E-2</v>
      </c>
      <c r="E25" s="3">
        <v>5.1269731788126771E-2</v>
      </c>
      <c r="F25" s="3">
        <v>2.9550264273434879E-2</v>
      </c>
      <c r="G25" s="3">
        <v>2.4245958516616369E-2</v>
      </c>
      <c r="H25" s="3">
        <v>2.2910910068764331E-2</v>
      </c>
      <c r="I25" s="3">
        <v>4.1289723440985471E-2</v>
      </c>
    </row>
    <row r="26" spans="1:9" x14ac:dyDescent="0.25">
      <c r="A26">
        <v>2048</v>
      </c>
      <c r="B26">
        <v>24</v>
      </c>
      <c r="C26" s="3">
        <v>7.0709767516992317E-2</v>
      </c>
      <c r="D26" s="3">
        <v>5.0626182888258597E-2</v>
      </c>
      <c r="E26" s="3">
        <v>5.1269731788126771E-2</v>
      </c>
      <c r="F26" s="3">
        <v>2.9550264273434879E-2</v>
      </c>
      <c r="G26" s="3">
        <v>2.4245958516616369E-2</v>
      </c>
      <c r="H26" s="3">
        <v>2.2910910068764331E-2</v>
      </c>
      <c r="I26" s="3">
        <v>4.1289723440985471E-2</v>
      </c>
    </row>
    <row r="27" spans="1:9" x14ac:dyDescent="0.25">
      <c r="A27">
        <v>2049</v>
      </c>
      <c r="B27">
        <v>25</v>
      </c>
      <c r="C27" s="3">
        <v>7.0709767516992317E-2</v>
      </c>
      <c r="D27" s="3">
        <v>5.0626182888258597E-2</v>
      </c>
      <c r="E27" s="3">
        <v>5.1269731788126771E-2</v>
      </c>
      <c r="F27" s="3">
        <v>2.9550264273434879E-2</v>
      </c>
      <c r="G27" s="3">
        <v>2.4245958516616369E-2</v>
      </c>
      <c r="H27" s="3">
        <v>2.2910910068764331E-2</v>
      </c>
      <c r="I27" s="3">
        <v>4.1289723440985471E-2</v>
      </c>
    </row>
    <row r="28" spans="1:9" x14ac:dyDescent="0.25">
      <c r="A28">
        <v>2050</v>
      </c>
      <c r="B28">
        <v>26</v>
      </c>
      <c r="C28" s="3">
        <v>6.9652237378861281E-2</v>
      </c>
      <c r="D28" s="3">
        <v>5.4046247795384923E-2</v>
      </c>
      <c r="E28" s="3">
        <v>5.2494763295437341E-2</v>
      </c>
      <c r="F28" s="3">
        <v>2.9992580896704309E-2</v>
      </c>
      <c r="G28" s="3">
        <v>2.4237523100187449E-2</v>
      </c>
      <c r="H28" s="3">
        <v>2.4896849264145929E-2</v>
      </c>
      <c r="I28" s="3">
        <v>4.1171107760519243E-2</v>
      </c>
    </row>
    <row r="29" spans="1:9" x14ac:dyDescent="0.25">
      <c r="A29">
        <v>2051</v>
      </c>
      <c r="B29">
        <v>27</v>
      </c>
      <c r="C29" s="3">
        <v>6.9652237378861281E-2</v>
      </c>
      <c r="D29" s="3">
        <v>5.4046247795384923E-2</v>
      </c>
      <c r="E29" s="3">
        <v>5.2494763295437341E-2</v>
      </c>
      <c r="F29" s="3">
        <v>2.9992580896704309E-2</v>
      </c>
      <c r="G29" s="3">
        <v>2.4237523100187449E-2</v>
      </c>
      <c r="H29" s="3">
        <v>2.4896849264145929E-2</v>
      </c>
      <c r="I29" s="3">
        <v>4.1171107760519243E-2</v>
      </c>
    </row>
    <row r="30" spans="1:9" x14ac:dyDescent="0.25">
      <c r="A30">
        <v>2052</v>
      </c>
      <c r="B30">
        <v>28</v>
      </c>
      <c r="C30" s="3">
        <v>6.9652237378861281E-2</v>
      </c>
      <c r="D30" s="3">
        <v>5.4046247795384923E-2</v>
      </c>
      <c r="E30" s="3">
        <v>5.2494763295437341E-2</v>
      </c>
      <c r="F30" s="3">
        <v>2.9992580896704309E-2</v>
      </c>
      <c r="G30" s="3">
        <v>2.4237523100187449E-2</v>
      </c>
      <c r="H30" s="3">
        <v>2.4896849264145929E-2</v>
      </c>
      <c r="I30" s="3">
        <v>4.1171107760519243E-2</v>
      </c>
    </row>
    <row r="31" spans="1:9" x14ac:dyDescent="0.25">
      <c r="A31">
        <v>2053</v>
      </c>
      <c r="B31">
        <v>29</v>
      </c>
      <c r="C31" s="3">
        <v>6.9652237378861281E-2</v>
      </c>
      <c r="D31" s="3">
        <v>5.4046247795384923E-2</v>
      </c>
      <c r="E31" s="3">
        <v>5.2494763295437341E-2</v>
      </c>
      <c r="F31" s="3">
        <v>2.9992580896704309E-2</v>
      </c>
      <c r="G31" s="3">
        <v>2.4237523100187449E-2</v>
      </c>
      <c r="H31" s="3">
        <v>2.4896849264145929E-2</v>
      </c>
      <c r="I31" s="3">
        <v>4.1171107760519243E-2</v>
      </c>
    </row>
    <row r="32" spans="1:9" x14ac:dyDescent="0.25">
      <c r="A32">
        <v>2054</v>
      </c>
      <c r="B32">
        <v>30</v>
      </c>
      <c r="C32" s="3">
        <v>6.9652237378861281E-2</v>
      </c>
      <c r="D32" s="3">
        <v>5.4046247795384923E-2</v>
      </c>
      <c r="E32" s="3">
        <v>5.2494763295437341E-2</v>
      </c>
      <c r="F32" s="3">
        <v>2.9992580896704309E-2</v>
      </c>
      <c r="G32" s="3">
        <v>2.4237523100187449E-2</v>
      </c>
      <c r="H32" s="3">
        <v>2.4896849264145929E-2</v>
      </c>
      <c r="I32" s="3">
        <v>4.1171107760519243E-2</v>
      </c>
    </row>
    <row r="33" spans="1:9" x14ac:dyDescent="0.25">
      <c r="A33">
        <v>2055</v>
      </c>
      <c r="B33">
        <v>31</v>
      </c>
      <c r="C33" s="3">
        <v>6.8912050001716185E-2</v>
      </c>
      <c r="D33" s="3">
        <v>5.6446985548124003E-2</v>
      </c>
      <c r="E33" s="3">
        <v>5.3352909398189707E-2</v>
      </c>
      <c r="F33" s="3">
        <v>3.030199351028862E-2</v>
      </c>
      <c r="G33" s="3">
        <v>2.4231237901194861E-2</v>
      </c>
      <c r="H33" s="3">
        <v>2.6289187805909719E-2</v>
      </c>
      <c r="I33" s="3">
        <v>4.1087683326209927E-2</v>
      </c>
    </row>
    <row r="34" spans="1:9" x14ac:dyDescent="0.25">
      <c r="A34">
        <v>2056</v>
      </c>
      <c r="B34">
        <v>32</v>
      </c>
      <c r="C34" s="3">
        <v>6.8912050001716185E-2</v>
      </c>
      <c r="D34" s="3">
        <v>5.6446985548124003E-2</v>
      </c>
      <c r="E34" s="3">
        <v>5.3352909398189707E-2</v>
      </c>
      <c r="F34" s="3">
        <v>3.030199351028862E-2</v>
      </c>
      <c r="G34" s="3">
        <v>2.4231237901194861E-2</v>
      </c>
      <c r="H34" s="3">
        <v>2.6289187805909719E-2</v>
      </c>
      <c r="I34" s="3">
        <v>4.1087683326209927E-2</v>
      </c>
    </row>
    <row r="35" spans="1:9" x14ac:dyDescent="0.25">
      <c r="A35">
        <v>2057</v>
      </c>
      <c r="B35">
        <v>33</v>
      </c>
      <c r="C35" s="3">
        <v>6.8912050001716185E-2</v>
      </c>
      <c r="D35" s="3">
        <v>5.6446985548124003E-2</v>
      </c>
      <c r="E35" s="3">
        <v>5.3352909398189707E-2</v>
      </c>
      <c r="F35" s="3">
        <v>3.030199351028862E-2</v>
      </c>
      <c r="G35" s="3">
        <v>2.4231237901194861E-2</v>
      </c>
      <c r="H35" s="3">
        <v>2.6289187805909719E-2</v>
      </c>
      <c r="I35" s="3">
        <v>4.1087683326209927E-2</v>
      </c>
    </row>
    <row r="36" spans="1:9" x14ac:dyDescent="0.25">
      <c r="A36">
        <v>2058</v>
      </c>
      <c r="B36">
        <v>34</v>
      </c>
      <c r="C36" s="3">
        <v>6.8912050001716185E-2</v>
      </c>
      <c r="D36" s="3">
        <v>5.6446985548124003E-2</v>
      </c>
      <c r="E36" s="3">
        <v>5.3352909398189707E-2</v>
      </c>
      <c r="F36" s="3">
        <v>3.030199351028862E-2</v>
      </c>
      <c r="G36" s="3">
        <v>2.4231237901194861E-2</v>
      </c>
      <c r="H36" s="3">
        <v>2.6289187805909719E-2</v>
      </c>
      <c r="I36" s="3">
        <v>4.1087683326209927E-2</v>
      </c>
    </row>
    <row r="37" spans="1:9" x14ac:dyDescent="0.25">
      <c r="A37">
        <v>2059</v>
      </c>
      <c r="B37">
        <v>35</v>
      </c>
      <c r="C37" s="3">
        <v>6.8912050001716185E-2</v>
      </c>
      <c r="D37" s="3">
        <v>5.6446985548124003E-2</v>
      </c>
      <c r="E37" s="3">
        <v>5.3352909398189707E-2</v>
      </c>
      <c r="F37" s="3">
        <v>3.030199351028862E-2</v>
      </c>
      <c r="G37" s="3">
        <v>2.4231237901194861E-2</v>
      </c>
      <c r="H37" s="3">
        <v>2.6289187805909719E-2</v>
      </c>
      <c r="I37" s="3">
        <v>4.1087683326209927E-2</v>
      </c>
    </row>
    <row r="38" spans="1:9" x14ac:dyDescent="0.25">
      <c r="A38">
        <v>2060</v>
      </c>
      <c r="B38">
        <v>36</v>
      </c>
      <c r="C38" s="3">
        <v>6.8912050001716185E-2</v>
      </c>
      <c r="D38" s="3">
        <v>5.6446985548124003E-2</v>
      </c>
      <c r="E38" s="3">
        <v>5.3352909398189707E-2</v>
      </c>
      <c r="F38" s="3">
        <v>3.030199351028862E-2</v>
      </c>
      <c r="G38" s="3">
        <v>2.4231237901194861E-2</v>
      </c>
      <c r="H38" s="3">
        <v>2.6289187805909719E-2</v>
      </c>
      <c r="I38" s="3">
        <v>4.1087683326209927E-2</v>
      </c>
    </row>
    <row r="39" spans="1:9" x14ac:dyDescent="0.25">
      <c r="A39">
        <v>2061</v>
      </c>
      <c r="B39">
        <v>37</v>
      </c>
      <c r="C39" s="3">
        <v>6.8912050001716185E-2</v>
      </c>
      <c r="D39" s="3">
        <v>5.6446985548124003E-2</v>
      </c>
      <c r="E39" s="3">
        <v>5.3352909398189707E-2</v>
      </c>
      <c r="F39" s="3">
        <v>3.030199351028862E-2</v>
      </c>
      <c r="G39" s="3">
        <v>2.4231237901194861E-2</v>
      </c>
      <c r="H39" s="3">
        <v>2.6289187805909719E-2</v>
      </c>
      <c r="I39" s="3">
        <v>4.1087683326209927E-2</v>
      </c>
    </row>
    <row r="40" spans="1:9" x14ac:dyDescent="0.25">
      <c r="A40">
        <v>2062</v>
      </c>
      <c r="B40">
        <v>38</v>
      </c>
      <c r="C40" s="3">
        <v>6.8912050001716185E-2</v>
      </c>
      <c r="D40" s="3">
        <v>5.6446985548124003E-2</v>
      </c>
      <c r="E40" s="3">
        <v>5.3352909398189707E-2</v>
      </c>
      <c r="F40" s="3">
        <v>3.030199351028862E-2</v>
      </c>
      <c r="G40" s="3">
        <v>2.4231237901194861E-2</v>
      </c>
      <c r="H40" s="3">
        <v>2.6289187805909719E-2</v>
      </c>
      <c r="I40" s="3">
        <v>4.1087683326209927E-2</v>
      </c>
    </row>
    <row r="41" spans="1:9" x14ac:dyDescent="0.25">
      <c r="A41">
        <v>2063</v>
      </c>
      <c r="B41">
        <v>39</v>
      </c>
      <c r="C41" s="3">
        <v>6.8912050001716185E-2</v>
      </c>
      <c r="D41" s="3">
        <v>5.6446985548124003E-2</v>
      </c>
      <c r="E41" s="3">
        <v>5.3352909398189707E-2</v>
      </c>
      <c r="F41" s="3">
        <v>3.030199351028862E-2</v>
      </c>
      <c r="G41" s="3">
        <v>2.4231237901194861E-2</v>
      </c>
      <c r="H41" s="3">
        <v>2.6289187805909719E-2</v>
      </c>
      <c r="I41" s="3">
        <v>4.1087683326209927E-2</v>
      </c>
    </row>
    <row r="42" spans="1:9" x14ac:dyDescent="0.25">
      <c r="A42">
        <v>2064</v>
      </c>
      <c r="B42">
        <v>40</v>
      </c>
      <c r="C42" s="3">
        <v>6.8912050001716185E-2</v>
      </c>
      <c r="D42" s="3">
        <v>5.6446985548124003E-2</v>
      </c>
      <c r="E42" s="3">
        <v>5.3352909398189707E-2</v>
      </c>
      <c r="F42" s="3">
        <v>3.030199351028862E-2</v>
      </c>
      <c r="G42" s="3">
        <v>2.4231237901194861E-2</v>
      </c>
      <c r="H42" s="3">
        <v>2.6289187805909719E-2</v>
      </c>
      <c r="I42" s="3">
        <v>4.1087683326209927E-2</v>
      </c>
    </row>
    <row r="43" spans="1:9" x14ac:dyDescent="0.25">
      <c r="A43">
        <v>2065</v>
      </c>
      <c r="B43">
        <v>41</v>
      </c>
      <c r="C43" s="3">
        <v>6.8912050001716185E-2</v>
      </c>
      <c r="D43" s="3">
        <v>5.6446985548124003E-2</v>
      </c>
      <c r="E43" s="3">
        <v>5.3352909398189707E-2</v>
      </c>
      <c r="F43" s="3">
        <v>3.030199351028862E-2</v>
      </c>
      <c r="G43" s="3">
        <v>2.4231237901194861E-2</v>
      </c>
      <c r="H43" s="3">
        <v>2.6289187805909719E-2</v>
      </c>
      <c r="I43" s="3">
        <v>4.1087683326209927E-2</v>
      </c>
    </row>
    <row r="44" spans="1:9" x14ac:dyDescent="0.25">
      <c r="A44">
        <v>2066</v>
      </c>
      <c r="B44">
        <v>42</v>
      </c>
      <c r="C44" s="3">
        <v>6.8912050001716185E-2</v>
      </c>
      <c r="D44" s="3">
        <v>5.6446985548124003E-2</v>
      </c>
      <c r="E44" s="3">
        <v>5.3352909398189707E-2</v>
      </c>
      <c r="F44" s="3">
        <v>3.030199351028862E-2</v>
      </c>
      <c r="G44" s="3">
        <v>2.4231237901194861E-2</v>
      </c>
      <c r="H44" s="3">
        <v>2.6289187805909719E-2</v>
      </c>
      <c r="I44" s="3">
        <v>4.1087683326209927E-2</v>
      </c>
    </row>
    <row r="45" spans="1:9" x14ac:dyDescent="0.25">
      <c r="A45">
        <v>2067</v>
      </c>
      <c r="B45">
        <v>43</v>
      </c>
      <c r="C45" s="3">
        <v>6.8912050001716185E-2</v>
      </c>
      <c r="D45" s="3">
        <v>5.6446985548124003E-2</v>
      </c>
      <c r="E45" s="3">
        <v>5.3352909398189707E-2</v>
      </c>
      <c r="F45" s="3">
        <v>3.030199351028862E-2</v>
      </c>
      <c r="G45" s="3">
        <v>2.4231237901194861E-2</v>
      </c>
      <c r="H45" s="3">
        <v>2.6289187805909719E-2</v>
      </c>
      <c r="I45" s="3">
        <v>4.1087683326209927E-2</v>
      </c>
    </row>
    <row r="46" spans="1:9" x14ac:dyDescent="0.25">
      <c r="A46">
        <v>2068</v>
      </c>
      <c r="B46">
        <v>44</v>
      </c>
      <c r="C46" s="3">
        <v>6.8912050001716185E-2</v>
      </c>
      <c r="D46" s="3">
        <v>5.6446985548124003E-2</v>
      </c>
      <c r="E46" s="3">
        <v>5.3352909398189707E-2</v>
      </c>
      <c r="F46" s="3">
        <v>3.030199351028862E-2</v>
      </c>
      <c r="G46" s="3">
        <v>2.4231237901194861E-2</v>
      </c>
      <c r="H46" s="3">
        <v>2.6289187805909719E-2</v>
      </c>
      <c r="I46" s="3">
        <v>4.1087683326209927E-2</v>
      </c>
    </row>
    <row r="47" spans="1:9" x14ac:dyDescent="0.25">
      <c r="A47">
        <v>2069</v>
      </c>
      <c r="B47">
        <v>45</v>
      </c>
      <c r="C47" s="3">
        <v>6.8912050001716185E-2</v>
      </c>
      <c r="D47" s="3">
        <v>5.6446985548124003E-2</v>
      </c>
      <c r="E47" s="3">
        <v>5.3352909398189707E-2</v>
      </c>
      <c r="F47" s="3">
        <v>3.030199351028862E-2</v>
      </c>
      <c r="G47" s="3">
        <v>2.4231237901194861E-2</v>
      </c>
      <c r="H47" s="3">
        <v>2.6289187805909719E-2</v>
      </c>
      <c r="I47" s="3">
        <v>4.1087683326209927E-2</v>
      </c>
    </row>
    <row r="48" spans="1:9" x14ac:dyDescent="0.25">
      <c r="A48">
        <v>2070</v>
      </c>
      <c r="B48">
        <v>46</v>
      </c>
      <c r="C48" s="3">
        <v>6.8912050001716185E-2</v>
      </c>
      <c r="D48" s="3">
        <v>5.6446985548124003E-2</v>
      </c>
      <c r="E48" s="3">
        <v>5.3352909398189707E-2</v>
      </c>
      <c r="F48" s="3">
        <v>3.030199351028862E-2</v>
      </c>
      <c r="G48" s="3">
        <v>2.4231237901194861E-2</v>
      </c>
      <c r="H48" s="3">
        <v>2.6289187805909719E-2</v>
      </c>
      <c r="I48" s="3">
        <v>4.1087683326209927E-2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abSelected="1" workbookViewId="0">
      <selection activeCell="A48" sqref="A48"/>
    </sheetView>
  </sheetViews>
  <sheetFormatPr defaultRowHeight="15.75" x14ac:dyDescent="0.25"/>
  <cols>
    <col min="3" max="9" width="10.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2024</v>
      </c>
      <c r="B2">
        <v>0</v>
      </c>
      <c r="C2" s="3">
        <v>78.11</v>
      </c>
      <c r="D2" s="3">
        <v>579.4</v>
      </c>
      <c r="E2" s="3">
        <v>7.2160000000000002</v>
      </c>
      <c r="F2" s="3">
        <v>53.97</v>
      </c>
      <c r="G2" s="3">
        <v>57.3</v>
      </c>
      <c r="H2" s="3">
        <v>185.9</v>
      </c>
      <c r="I2" s="3">
        <v>109.1</v>
      </c>
    </row>
    <row r="3" spans="1:9" x14ac:dyDescent="0.25">
      <c r="A3" s="1">
        <v>2025</v>
      </c>
      <c r="B3" s="1">
        <v>1</v>
      </c>
      <c r="C3" s="3">
        <f>Price!C2*(1+Asset_returns[[#This Row],[EUNK]])</f>
        <v>83.618245440646803</v>
      </c>
      <c r="D3" s="3">
        <f>Price!D2*(1+Asset_returns[[#This Row],[SXR4]])</f>
        <v>609.10135305890333</v>
      </c>
      <c r="E3" s="3">
        <f>Price!E2*(1+Asset_returns[[#This Row],[IUSN]])</f>
        <v>7.5875695458690267</v>
      </c>
      <c r="F3" s="3">
        <f>Price!F2*(1+Asset_returns[[#This Row],[SYBC]])</f>
        <v>55.569097365575999</v>
      </c>
      <c r="G3" s="3">
        <f>Price!G2*(1+Asset_returns[[#This Row],[SYBB]])</f>
        <v>58.689137972785915</v>
      </c>
      <c r="H3" s="3">
        <f>Price!H2*(1+Asset_returns[[#This Row],[LYXF]])</f>
        <v>190.22689218403642</v>
      </c>
      <c r="I3" s="3">
        <f>Price!I2*(1+Asset_returns[[#This Row],[JGHY]])</f>
        <v>113.60223957371321</v>
      </c>
    </row>
    <row r="4" spans="1:9" x14ac:dyDescent="0.25">
      <c r="A4" s="1">
        <v>2026</v>
      </c>
      <c r="B4" s="1">
        <v>2</v>
      </c>
      <c r="C4" s="3">
        <f>Price!C3*(1+Asset_returns[[#This Row],[EUNK]])</f>
        <v>89.514927289364351</v>
      </c>
      <c r="D4" s="3">
        <f>Price!D3*(1+Asset_returns[[#This Row],[SXR4]])</f>
        <v>640.32526458092309</v>
      </c>
      <c r="E4" s="3">
        <f>Price!E3*(1+Asset_returns[[#This Row],[IUSN]])</f>
        <v>7.9782721193734902</v>
      </c>
      <c r="F4" s="3">
        <f>Price!F3*(1+Asset_returns[[#This Row],[SYBC]])</f>
        <v>57.215574986564121</v>
      </c>
      <c r="G4" s="3">
        <f>Price!G3*(1+Asset_returns[[#This Row],[SYBB]])</f>
        <v>60.111953158616089</v>
      </c>
      <c r="H4" s="3">
        <f>Price!H3*(1+Asset_returns[[#This Row],[LYXF]])</f>
        <v>194.65449440557836</v>
      </c>
      <c r="I4" s="3">
        <f>Price!I3*(1+Asset_returns[[#This Row],[JGHY]])</f>
        <v>118.29027347537426</v>
      </c>
    </row>
    <row r="5" spans="1:9" x14ac:dyDescent="0.25">
      <c r="A5" s="1">
        <v>2027</v>
      </c>
      <c r="B5" s="1">
        <v>3</v>
      </c>
      <c r="C5" s="3">
        <f>Price!C4*(1+Asset_returns[[#This Row],[EUNK]])</f>
        <v>95.827437724794777</v>
      </c>
      <c r="D5" s="3">
        <f>Price!D4*(1+Asset_returns[[#This Row],[SXR4]])</f>
        <v>673.14978435284866</v>
      </c>
      <c r="E5" s="3">
        <f>Price!E4*(1+Asset_returns[[#This Row],[IUSN]])</f>
        <v>8.3890929270529693</v>
      </c>
      <c r="F5" s="3">
        <f>Price!F4*(1+Asset_returns[[#This Row],[SYBC]])</f>
        <v>58.910836710316779</v>
      </c>
      <c r="G5" s="3">
        <f>Price!G4*(1+Asset_returns[[#This Row],[SYBB]])</f>
        <v>61.569262002437419</v>
      </c>
      <c r="H5" s="3">
        <f>Price!H4*(1+Asset_returns[[#This Row],[LYXF]])</f>
        <v>199.18515072849959</v>
      </c>
      <c r="I5" s="3">
        <f>Price!I4*(1+Asset_returns[[#This Row],[JGHY]])</f>
        <v>123.17176889632924</v>
      </c>
    </row>
    <row r="6" spans="1:9" x14ac:dyDescent="0.25">
      <c r="A6" s="1">
        <v>2028</v>
      </c>
      <c r="B6" s="1">
        <v>4</v>
      </c>
      <c r="C6" s="3">
        <f>Price!C5*(1+Asset_returns[[#This Row],[EUNK]])</f>
        <v>102.58510059685298</v>
      </c>
      <c r="D6" s="3">
        <f>Price!D5*(1+Asset_returns[[#This Row],[SXR4]])</f>
        <v>707.65696316988112</v>
      </c>
      <c r="E6" s="3">
        <f>Price!E5*(1+Asset_returns[[#This Row],[IUSN]])</f>
        <v>8.8210679061491639</v>
      </c>
      <c r="F6" s="3">
        <f>Price!F5*(1+Asset_returns[[#This Row],[SYBC]])</f>
        <v>60.656327979305949</v>
      </c>
      <c r="G6" s="3">
        <f>Price!G5*(1+Asset_returns[[#This Row],[SYBB]])</f>
        <v>63.061900742472169</v>
      </c>
      <c r="H6" s="3">
        <f>Price!H5*(1+Asset_returns[[#This Row],[LYXF]])</f>
        <v>203.82125977563925</v>
      </c>
      <c r="I6" s="3">
        <f>Price!I5*(1+Asset_returns[[#This Row],[JGHY]])</f>
        <v>128.25470943060341</v>
      </c>
    </row>
    <row r="7" spans="1:9" x14ac:dyDescent="0.25">
      <c r="A7" s="1">
        <v>2029</v>
      </c>
      <c r="B7" s="1">
        <v>5</v>
      </c>
      <c r="C7" s="3">
        <f>Price!C6*(1+Asset_returns[[#This Row],[EUNK]])</f>
        <v>109.81930764641012</v>
      </c>
      <c r="D7" s="3">
        <f>Price!D6*(1+Asset_returns[[#This Row],[SXR4]])</f>
        <v>743.93305793636364</v>
      </c>
      <c r="E7" s="3">
        <f>Price!E6*(1+Asset_returns[[#This Row],[IUSN]])</f>
        <v>9.2752863368542204</v>
      </c>
      <c r="F7" s="3">
        <f>Price!F6*(1+Asset_returns[[#This Row],[SYBC]])</f>
        <v>62.453537063560574</v>
      </c>
      <c r="G7" s="3">
        <f>Price!G6*(1+Asset_returns[[#This Row],[SYBB]])</f>
        <v>64.590725890071198</v>
      </c>
      <c r="H7" s="3">
        <f>Price!H6*(1+Asset_returns[[#This Row],[LYXF]])</f>
        <v>208.56527599868213</v>
      </c>
      <c r="I7" s="3">
        <f>Price!I6*(1+Asset_returns[[#This Row],[JGHY]])</f>
        <v>133.54740813191921</v>
      </c>
    </row>
    <row r="8" spans="1:9" x14ac:dyDescent="0.25">
      <c r="A8" s="1">
        <v>2030</v>
      </c>
      <c r="B8" s="1">
        <v>6</v>
      </c>
      <c r="C8" s="3">
        <f>Price!C7*(1+Asset_returns[[#This Row],[EUNK]])</f>
        <v>117.56366433106416</v>
      </c>
      <c r="D8" s="3">
        <f>Price!D7*(1+Asset_returns[[#This Row],[SXR4]])</f>
        <v>782.06874728043942</v>
      </c>
      <c r="E8" s="3">
        <f>Price!E7*(1+Asset_returns[[#This Row],[IUSN]])</f>
        <v>9.7528935890701458</v>
      </c>
      <c r="F8" s="3">
        <f>Price!F7*(1+Asset_returns[[#This Row],[SYBC]])</f>
        <v>64.30399632962029</v>
      </c>
      <c r="G8" s="3">
        <f>Price!G7*(1+Asset_returns[[#This Row],[SYBB]])</f>
        <v>66.156614721200427</v>
      </c>
      <c r="H8" s="3">
        <f>Price!H7*(1+Asset_returns[[#This Row],[LYXF]])</f>
        <v>213.41971097759603</v>
      </c>
      <c r="I8" s="3">
        <f>Price!I7*(1+Asset_returns[[#This Row],[JGHY]])</f>
        <v>139.05852110953936</v>
      </c>
    </row>
    <row r="9" spans="1:9" x14ac:dyDescent="0.25">
      <c r="A9" s="1">
        <v>2031</v>
      </c>
      <c r="B9" s="1">
        <v>7</v>
      </c>
      <c r="C9" s="3">
        <f>Price!C8*(1+Asset_returns[[#This Row],[EUNK]])</f>
        <v>125.85414593440963</v>
      </c>
      <c r="D9" s="3">
        <f>Price!D8*(1+Asset_returns[[#This Row],[SXR4]])</f>
        <v>822.15935822160372</v>
      </c>
      <c r="E9" s="3">
        <f>Price!E8*(1+Asset_returns[[#This Row],[IUSN]])</f>
        <v>10.255094010605585</v>
      </c>
      <c r="F9" s="3">
        <f>Price!F8*(1+Asset_returns[[#This Row],[SYBC]])</f>
        <v>66.20928354708748</v>
      </c>
      <c r="G9" s="3">
        <f>Price!G8*(1+Asset_returns[[#This Row],[SYBB]])</f>
        <v>67.760465779842448</v>
      </c>
      <c r="H9" s="3">
        <f>Price!H8*(1+Asset_returns[[#This Row],[LYXF]])</f>
        <v>218.387134750314</v>
      </c>
      <c r="I9" s="3">
        <f>Price!I8*(1+Asset_returns[[#This Row],[JGHY]])</f>
        <v>144.79706168517092</v>
      </c>
    </row>
    <row r="10" spans="1:9" x14ac:dyDescent="0.25">
      <c r="A10" s="1">
        <v>2032</v>
      </c>
      <c r="B10" s="1">
        <v>8</v>
      </c>
      <c r="C10" s="3">
        <f>Price!C9*(1+Asset_returns[[#This Row],[EUNK]])</f>
        <v>134.72926468398981</v>
      </c>
      <c r="D10" s="3">
        <f>Price!D9*(1+Asset_returns[[#This Row],[SXR4]])</f>
        <v>864.30510445774667</v>
      </c>
      <c r="E10" s="3">
        <f>Price!E9*(1+Asset_returns[[#This Row],[IUSN]])</f>
        <v>10.783153964092961</v>
      </c>
      <c r="F10" s="3">
        <f>Price!F9*(1+Asset_returns[[#This Row],[SYBC]])</f>
        <v>68.171023233891674</v>
      </c>
      <c r="G10" s="3">
        <f>Price!G9*(1+Asset_returns[[#This Row],[SYBB]])</f>
        <v>69.403199393602307</v>
      </c>
      <c r="H10" s="3">
        <f>Price!H9*(1+Asset_returns[[#This Row],[LYXF]])</f>
        <v>223.47017717336533</v>
      </c>
      <c r="I10" s="3">
        <f>Price!I9*(1+Asset_returns[[#This Row],[JGHY]])</f>
        <v>150.77241513408356</v>
      </c>
    </row>
    <row r="11" spans="1:9" x14ac:dyDescent="0.25">
      <c r="A11" s="1">
        <v>2033</v>
      </c>
      <c r="B11" s="1">
        <v>9</v>
      </c>
      <c r="C11" s="3">
        <f>Price!C10*(1+Asset_returns[[#This Row],[EUNK]])</f>
        <v>144.23024865425333</v>
      </c>
      <c r="D11" s="3">
        <f>Price!D10*(1+Asset_returns[[#This Row],[SXR4]])</f>
        <v>908.61133686732876</v>
      </c>
      <c r="E11" s="3">
        <f>Price!E10*(1+Asset_returns[[#This Row],[IUSN]])</f>
        <v>11.338405020283899</v>
      </c>
      <c r="F11" s="3">
        <f>Price!F10*(1+Asset_returns[[#This Row],[SYBC]])</f>
        <v>70.190888041413189</v>
      </c>
      <c r="G11" s="3">
        <f>Price!G10*(1+Asset_returns[[#This Row],[SYBB]])</f>
        <v>71.085758201813221</v>
      </c>
      <c r="H11" s="3">
        <f>Price!H10*(1+Asset_returns[[#This Row],[LYXF]])</f>
        <v>228.67152931417581</v>
      </c>
      <c r="I11" s="3">
        <f>Price!I10*(1+Asset_returns[[#This Row],[JGHY]])</f>
        <v>156.99435403455092</v>
      </c>
    </row>
    <row r="12" spans="1:9" x14ac:dyDescent="0.25">
      <c r="A12" s="1">
        <v>2034</v>
      </c>
      <c r="B12" s="1">
        <v>10</v>
      </c>
      <c r="C12" s="3">
        <f>Price!C11*(1+Asset_returns[[#This Row],[EUNK]])</f>
        <v>154.4012332855828</v>
      </c>
      <c r="D12" s="3">
        <f>Price!D11*(1+Asset_returns[[#This Row],[SXR4]])</f>
        <v>955.18880685286319</v>
      </c>
      <c r="E12" s="3">
        <f>Price!E11*(1+Asset_returns[[#This Row],[IUSN]])</f>
        <v>11.922247315775305</v>
      </c>
      <c r="F12" s="3">
        <f>Price!F11*(1+Asset_returns[[#This Row],[SYBC]])</f>
        <v>72.270600180647278</v>
      </c>
      <c r="G12" s="3">
        <f>Price!G11*(1+Asset_returns[[#This Row],[SYBB]])</f>
        <v>72.809107696445281</v>
      </c>
      <c r="H12" s="3">
        <f>Price!H11*(1+Asset_returns[[#This Row],[LYXF]])</f>
        <v>233.99394487577433</v>
      </c>
      <c r="I12" s="3">
        <f>Price!I11*(1+Asset_returns[[#This Row],[JGHY]])</f>
        <v>163.47305425071863</v>
      </c>
    </row>
    <row r="13" spans="1:9" x14ac:dyDescent="0.25">
      <c r="A13">
        <v>2035</v>
      </c>
      <c r="B13">
        <v>11</v>
      </c>
      <c r="C13" s="3">
        <f>Price!C12*(1+Asset_returns[[#This Row],[EUNK]])</f>
        <v>165.91669428303081</v>
      </c>
      <c r="D13" s="3">
        <f>Price!D12*(1+Asset_returns[[#This Row],[SXR4]])</f>
        <v>991.678737157299</v>
      </c>
      <c r="E13" s="3">
        <f>Price!E12*(1+Asset_returns[[#This Row],[IUSN]])</f>
        <v>12.480134955480667</v>
      </c>
      <c r="F13" s="3">
        <f>Price!F12*(1+Asset_returns[[#This Row],[SYBC]])</f>
        <v>74.288942879897235</v>
      </c>
      <c r="G13" s="3">
        <f>Price!G12*(1+Asset_returns[[#This Row],[SYBB]])</f>
        <v>74.576241861273616</v>
      </c>
      <c r="H13" s="3">
        <f>Price!H12*(1+Asset_returns[[#This Row],[LYXF]])</f>
        <v>237.66108746142044</v>
      </c>
      <c r="I13" s="3">
        <f>Price!I12*(1+Asset_returns[[#This Row],[JGHY]])</f>
        <v>170.29276819008714</v>
      </c>
    </row>
    <row r="14" spans="1:9" x14ac:dyDescent="0.25">
      <c r="A14">
        <v>2036</v>
      </c>
      <c r="B14">
        <v>12</v>
      </c>
      <c r="C14" s="3">
        <f>Price!C13*(1+Asset_returns[[#This Row],[EUNK]])</f>
        <v>178.29099454725124</v>
      </c>
      <c r="D14" s="3">
        <f>Price!D13*(1+Asset_returns[[#This Row],[SXR4]])</f>
        <v>1029.5626484255713</v>
      </c>
      <c r="E14" s="3">
        <f>Price!E13*(1+Asset_returns[[#This Row],[IUSN]])</f>
        <v>13.064128295755097</v>
      </c>
      <c r="F14" s="3">
        <f>Price!F13*(1+Asset_returns[[#This Row],[SYBC]])</f>
        <v>76.363652998836983</v>
      </c>
      <c r="G14" s="3">
        <f>Price!G13*(1+Asset_returns[[#This Row],[SYBB]])</f>
        <v>76.386265758654687</v>
      </c>
      <c r="H14" s="3">
        <f>Price!H13*(1+Asset_returns[[#This Row],[LYXF]])</f>
        <v>241.38570134082417</v>
      </c>
      <c r="I14" s="3">
        <f>Price!I13*(1+Asset_returns[[#This Row],[JGHY]])</f>
        <v>177.39698466369893</v>
      </c>
    </row>
    <row r="15" spans="1:9" x14ac:dyDescent="0.25">
      <c r="A15">
        <v>2037</v>
      </c>
      <c r="B15">
        <v>13</v>
      </c>
      <c r="C15" s="3">
        <f>Price!C14*(1+Asset_returns[[#This Row],[EUNK]])</f>
        <v>191.58818751790349</v>
      </c>
      <c r="D15" s="3">
        <f>Price!D14*(1+Asset_returns[[#This Row],[SXR4]])</f>
        <v>1068.8937932375377</v>
      </c>
      <c r="E15" s="3">
        <f>Price!E14*(1+Asset_returns[[#This Row],[IUSN]])</f>
        <v>13.675448922369096</v>
      </c>
      <c r="F15" s="3">
        <f>Price!F14*(1+Asset_returns[[#This Row],[SYBC]])</f>
        <v>78.496304742879545</v>
      </c>
      <c r="G15" s="3">
        <f>Price!G14*(1+Asset_returns[[#This Row],[SYBB]])</f>
        <v>78.240220356045896</v>
      </c>
      <c r="H15" s="3">
        <f>Price!H14*(1+Asset_returns[[#This Row],[LYXF]])</f>
        <v>245.16868720151786</v>
      </c>
      <c r="I15" s="3">
        <f>Price!I14*(1+Asset_returns[[#This Row],[JGHY]])</f>
        <v>184.79757245266569</v>
      </c>
    </row>
    <row r="16" spans="1:9" x14ac:dyDescent="0.25">
      <c r="A16">
        <v>2038</v>
      </c>
      <c r="B16">
        <v>14</v>
      </c>
      <c r="C16" s="3">
        <f>Price!C15*(1+Asset_returns[[#This Row],[EUNK]])</f>
        <v>205.8771038302072</v>
      </c>
      <c r="D16" s="3">
        <f>Price!D15*(1+Asset_returns[[#This Row],[SXR4]])</f>
        <v>1109.72745851738</v>
      </c>
      <c r="E16" s="3">
        <f>Price!E15*(1+Asset_returns[[#This Row],[IUSN]])</f>
        <v>14.315375583772662</v>
      </c>
      <c r="F16" s="3">
        <f>Price!F15*(1+Asset_returns[[#This Row],[SYBC]])</f>
        <v>80.688516281179687</v>
      </c>
      <c r="G16" s="3">
        <f>Price!G15*(1+Asset_returns[[#This Row],[SYBB]])</f>
        <v>80.139171886001492</v>
      </c>
      <c r="H16" s="3">
        <f>Price!H15*(1+Asset_returns[[#This Row],[LYXF]])</f>
        <v>249.01095984656834</v>
      </c>
      <c r="I16" s="3">
        <f>Price!I15*(1+Asset_returns[[#This Row],[JGHY]])</f>
        <v>192.50689547592086</v>
      </c>
    </row>
    <row r="17" spans="1:9" x14ac:dyDescent="0.25">
      <c r="A17">
        <v>2039</v>
      </c>
      <c r="B17">
        <v>15</v>
      </c>
      <c r="C17" s="3">
        <f>Price!C16*(1+Asset_returns[[#This Row],[EUNK]])</f>
        <v>221.23170760490177</v>
      </c>
      <c r="D17" s="3">
        <f>Price!D16*(1+Asset_returns[[#This Row],[SXR4]])</f>
        <v>1152.1210432492157</v>
      </c>
      <c r="E17" s="3">
        <f>Price!E16*(1+Asset_returns[[#This Row],[IUSN]])</f>
        <v>14.985246865956119</v>
      </c>
      <c r="F17" s="3">
        <f>Price!F16*(1+Asset_returns[[#This Row],[SYBC]])</f>
        <v>82.941950974434675</v>
      </c>
      <c r="G17" s="3">
        <f>Price!G16*(1+Asset_returns[[#This Row],[SYBB]])</f>
        <v>82.084212459376332</v>
      </c>
      <c r="H17" s="3">
        <f>Price!H16*(1+Asset_returns[[#This Row],[LYXF]])</f>
        <v>252.91344841579502</v>
      </c>
      <c r="I17" s="3">
        <f>Price!I16*(1+Asset_returns[[#This Row],[JGHY]])</f>
        <v>200.53783344621283</v>
      </c>
    </row>
    <row r="18" spans="1:9" x14ac:dyDescent="0.25">
      <c r="A18">
        <v>2040</v>
      </c>
      <c r="B18">
        <v>16</v>
      </c>
      <c r="C18" s="3">
        <f>Price!C17*(1+Asset_returns[[#This Row],[EUNK]])</f>
        <v>237.22132106868153</v>
      </c>
      <c r="D18" s="3">
        <f>Price!D17*(1+Asset_returns[[#This Row],[SXR4]])</f>
        <v>1204.6389651629061</v>
      </c>
      <c r="E18" s="3">
        <f>Price!E17*(1+Asset_returns[[#This Row],[IUSN]])</f>
        <v>15.726387644602168</v>
      </c>
      <c r="F18" s="3">
        <f>Price!F17*(1+Asset_returns[[#This Row],[SYBC]])</f>
        <v>85.338533673591328</v>
      </c>
      <c r="G18" s="3">
        <f>Price!G17*(1+Asset_returns[[#This Row],[SYBB]])</f>
        <v>84.075340764706297</v>
      </c>
      <c r="H18" s="3">
        <f>Price!H17*(1+Asset_returns[[#This Row],[LYXF]])</f>
        <v>257.96604795929431</v>
      </c>
      <c r="I18" s="3">
        <f>Price!I17*(1+Asset_returns[[#This Row],[JGHY]])</f>
        <v>208.85292812243625</v>
      </c>
    </row>
    <row r="19" spans="1:9" x14ac:dyDescent="0.25">
      <c r="A19">
        <v>2041</v>
      </c>
      <c r="B19">
        <v>17</v>
      </c>
      <c r="C19" s="3">
        <f>Price!C18*(1+Asset_returns[[#This Row],[EUNK]])</f>
        <v>254.36659048019592</v>
      </c>
      <c r="D19" s="3">
        <f>Price!D18*(1+Asset_returns[[#This Row],[SXR4]])</f>
        <v>1259.5508474493311</v>
      </c>
      <c r="E19" s="3">
        <f>Price!E18*(1+Asset_returns[[#This Row],[IUSN]])</f>
        <v>16.504183785597967</v>
      </c>
      <c r="F19" s="3">
        <f>Price!F18*(1+Asset_returns[[#This Row],[SYBC]])</f>
        <v>87.804364908216684</v>
      </c>
      <c r="G19" s="3">
        <f>Price!G18*(1+Asset_returns[[#This Row],[SYBB]])</f>
        <v>86.114768149841026</v>
      </c>
      <c r="H19" s="3">
        <f>Price!H18*(1+Asset_returns[[#This Row],[LYXF]])</f>
        <v>263.1195862322557</v>
      </c>
      <c r="I19" s="3">
        <f>Price!I18*(1+Asset_returns[[#This Row],[JGHY]])</f>
        <v>217.51279963346627</v>
      </c>
    </row>
    <row r="20" spans="1:9" x14ac:dyDescent="0.25">
      <c r="A20">
        <v>2042</v>
      </c>
      <c r="B20">
        <v>18</v>
      </c>
      <c r="C20" s="3">
        <f>Price!C19*(1+Asset_returns[[#This Row],[EUNK]])</f>
        <v>272.7510413525888</v>
      </c>
      <c r="D20" s="3">
        <f>Price!D19*(1+Asset_returns[[#This Row],[SXR4]])</f>
        <v>1316.9658156423543</v>
      </c>
      <c r="E20" s="3">
        <f>Price!E19*(1+Asset_returns[[#This Row],[IUSN]])</f>
        <v>17.320448190928811</v>
      </c>
      <c r="F20" s="3">
        <f>Price!F19*(1+Asset_returns[[#This Row],[SYBC]])</f>
        <v>90.341445593892018</v>
      </c>
      <c r="G20" s="3">
        <f>Price!G19*(1+Asset_returns[[#This Row],[SYBB]])</f>
        <v>88.203666212363515</v>
      </c>
      <c r="H20" s="3">
        <f>Price!H19*(1+Asset_returns[[#This Row],[LYXF]])</f>
        <v>268.37607974657919</v>
      </c>
      <c r="I20" s="3">
        <f>Price!I19*(1+Asset_returns[[#This Row],[JGHY]])</f>
        <v>226.53174379558016</v>
      </c>
    </row>
    <row r="21" spans="1:9" x14ac:dyDescent="0.25">
      <c r="A21">
        <v>2043</v>
      </c>
      <c r="B21">
        <v>19</v>
      </c>
      <c r="C21" s="3">
        <f>Price!C20*(1+Asset_returns[[#This Row],[EUNK]])</f>
        <v>292.46423604012409</v>
      </c>
      <c r="D21" s="3">
        <f>Price!D20*(1+Asset_returns[[#This Row],[SXR4]])</f>
        <v>1376.9979696197238</v>
      </c>
      <c r="E21" s="3">
        <f>Price!E20*(1+Asset_returns[[#This Row],[IUSN]])</f>
        <v>18.177083425139514</v>
      </c>
      <c r="F21" s="3">
        <f>Price!F20*(1+Asset_returns[[#This Row],[SYBC]])</f>
        <v>92.951834462051849</v>
      </c>
      <c r="G21" s="3">
        <f>Price!G20*(1+Asset_returns[[#This Row],[SYBB]])</f>
        <v>90.343234969464405</v>
      </c>
      <c r="H21" s="3">
        <f>Price!H20*(1+Asset_returns[[#This Row],[LYXF]])</f>
        <v>273.73758529919974</v>
      </c>
      <c r="I21" s="3">
        <f>Price!I20*(1+Asset_returns[[#This Row],[JGHY]])</f>
        <v>235.92464918635</v>
      </c>
    </row>
    <row r="22" spans="1:9" x14ac:dyDescent="0.25">
      <c r="A22">
        <v>2044</v>
      </c>
      <c r="B22">
        <v>20</v>
      </c>
      <c r="C22" s="3">
        <f>Price!C21*(1+Asset_returns[[#This Row],[EUNK]])</f>
        <v>313.60221005338269</v>
      </c>
      <c r="D22" s="3">
        <f>Price!D21*(1+Asset_returns[[#This Row],[SXR4]])</f>
        <v>1439.7666103519944</v>
      </c>
      <c r="E22" s="3">
        <f>Price!E21*(1+Asset_returns[[#This Row],[IUSN]])</f>
        <v>19.076086149867901</v>
      </c>
      <c r="F22" s="3">
        <f>Price!F21*(1+Asset_returns[[#This Row],[SYBC]])</f>
        <v>95.637649730555594</v>
      </c>
      <c r="G22" s="3">
        <f>Price!G21*(1+Asset_returns[[#This Row],[SYBB]])</f>
        <v>92.534703547320376</v>
      </c>
      <c r="H22" s="3">
        <f>Price!H21*(1+Asset_returns[[#This Row],[LYXF]])</f>
        <v>279.20620077688488</v>
      </c>
      <c r="I22" s="3">
        <f>Price!I21*(1+Asset_returns[[#This Row],[JGHY]])</f>
        <v>245.70702172287918</v>
      </c>
    </row>
    <row r="23" spans="1:9" x14ac:dyDescent="0.25">
      <c r="A23">
        <v>2045</v>
      </c>
      <c r="B23">
        <v>21</v>
      </c>
      <c r="C23" s="3">
        <f>Price!C22*(1+Asset_returns[[#This Row],[EUNK]])</f>
        <v>335.77694941907237</v>
      </c>
      <c r="D23" s="3">
        <f>Price!D22*(1+Asset_returns[[#This Row],[SXR4]])</f>
        <v>1512.6564980840826</v>
      </c>
      <c r="E23" s="3">
        <f>Price!E22*(1+Asset_returns[[#This Row],[IUSN]])</f>
        <v>20.054111970338827</v>
      </c>
      <c r="F23" s="3">
        <f>Price!F22*(1+Asset_returns[[#This Row],[SYBC]])</f>
        <v>98.463767554583711</v>
      </c>
      <c r="G23" s="3">
        <f>Price!G22*(1+Asset_returns[[#This Row],[SYBB]])</f>
        <v>94.7782961308761</v>
      </c>
      <c r="H23" s="3">
        <f>Price!H22*(1+Asset_returns[[#This Row],[LYXF]])</f>
        <v>285.60306893352544</v>
      </c>
      <c r="I23" s="3">
        <f>Price!I22*(1+Asset_returns[[#This Row],[JGHY]])</f>
        <v>255.85219669732507</v>
      </c>
    </row>
    <row r="24" spans="1:9" x14ac:dyDescent="0.25">
      <c r="A24">
        <v>2046</v>
      </c>
      <c r="B24">
        <v>22</v>
      </c>
      <c r="C24" s="3">
        <f>Price!C23*(1+Asset_returns[[#This Row],[EUNK]])</f>
        <v>359.51965945005986</v>
      </c>
      <c r="D24" s="3">
        <f>Price!D23*(1+Asset_returns[[#This Row],[SXR4]])</f>
        <v>1589.2365226032002</v>
      </c>
      <c r="E24" s="3">
        <f>Price!E23*(1+Asset_returns[[#This Row],[IUSN]])</f>
        <v>21.082280912307162</v>
      </c>
      <c r="F24" s="3">
        <f>Price!F23*(1+Asset_returns[[#This Row],[SYBC]])</f>
        <v>101.37339790717972</v>
      </c>
      <c r="G24" s="3">
        <f>Price!G23*(1+Asset_returns[[#This Row],[SYBB]])</f>
        <v>97.0762867671409</v>
      </c>
      <c r="H24" s="3">
        <f>Price!H23*(1+Asset_returns[[#This Row],[LYXF]])</f>
        <v>292.14649516122455</v>
      </c>
      <c r="I24" s="3">
        <f>Price!I23*(1+Asset_returns[[#This Row],[JGHY]])</f>
        <v>266.41626314072624</v>
      </c>
    </row>
    <row r="25" spans="1:9" x14ac:dyDescent="0.25">
      <c r="A25">
        <v>2047</v>
      </c>
      <c r="B25">
        <v>23</v>
      </c>
      <c r="C25" s="3">
        <f>Price!C24*(1+Asset_returns[[#This Row],[EUNK]])</f>
        <v>384.94121098756182</v>
      </c>
      <c r="D25" s="3">
        <f>Price!D24*(1+Asset_returns[[#This Row],[SXR4]])</f>
        <v>1669.6935014492099</v>
      </c>
      <c r="E25" s="3">
        <f>Price!E24*(1+Asset_returns[[#This Row],[IUSN]])</f>
        <v>22.163163800163094</v>
      </c>
      <c r="F25" s="3">
        <f>Price!F24*(1+Asset_returns[[#This Row],[SYBC]])</f>
        <v>104.36900860563296</v>
      </c>
      <c r="G25" s="3">
        <f>Price!G24*(1+Asset_returns[[#This Row],[SYBB]])</f>
        <v>99.429994389044154</v>
      </c>
      <c r="H25" s="3">
        <f>Price!H24*(1+Asset_returns[[#This Row],[LYXF]])</f>
        <v>298.83983723876804</v>
      </c>
      <c r="I25" s="3">
        <f>Price!I24*(1+Asset_returns[[#This Row],[JGHY]])</f>
        <v>277.41651696598763</v>
      </c>
    </row>
    <row r="26" spans="1:9" x14ac:dyDescent="0.25">
      <c r="A26">
        <v>2048</v>
      </c>
      <c r="B26">
        <v>24</v>
      </c>
      <c r="C26" s="3">
        <f>Price!C25*(1+Asset_returns[[#This Row],[EUNK]])</f>
        <v>412.16031452420179</v>
      </c>
      <c r="D26" s="3">
        <f>Price!D25*(1+Asset_returns[[#This Row],[SXR4]])</f>
        <v>1754.2237100209145</v>
      </c>
      <c r="E26" s="3">
        <f>Price!E25*(1+Asset_returns[[#This Row],[IUSN]])</f>
        <v>23.299463263773777</v>
      </c>
      <c r="F26" s="3">
        <f>Price!F25*(1+Asset_returns[[#This Row],[SYBC]])</f>
        <v>107.45314039188581</v>
      </c>
      <c r="G26" s="3">
        <f>Price!G25*(1+Asset_returns[[#This Row],[SYBB]])</f>
        <v>101.84076990830832</v>
      </c>
      <c r="H26" s="3">
        <f>Price!H25*(1+Asset_returns[[#This Row],[LYXF]])</f>
        <v>305.68652987470961</v>
      </c>
      <c r="I26" s="3">
        <f>Price!I25*(1+Asset_returns[[#This Row],[JGHY]])</f>
        <v>288.87096822947473</v>
      </c>
    </row>
    <row r="27" spans="1:9" x14ac:dyDescent="0.25">
      <c r="A27">
        <v>2049</v>
      </c>
      <c r="B27">
        <v>25</v>
      </c>
      <c r="C27" s="3">
        <f>Price!C26*(1+Asset_returns[[#This Row],[EUNK]])</f>
        <v>441.30407454393855</v>
      </c>
      <c r="D27" s="3">
        <f>Price!D26*(1+Asset_returns[[#This Row],[SXR4]])</f>
        <v>1843.0333603913527</v>
      </c>
      <c r="E27" s="3">
        <f>Price!E26*(1+Asset_returns[[#This Row],[IUSN]])</f>
        <v>24.494020496114771</v>
      </c>
      <c r="F27" s="3">
        <f>Price!F26*(1+Asset_returns[[#This Row],[SYBC]])</f>
        <v>110.62840908747654</v>
      </c>
      <c r="G27" s="3">
        <f>Price!G26*(1+Asset_returns[[#This Row],[SYBB]])</f>
        <v>104.30999699080543</v>
      </c>
      <c r="H27" s="3">
        <f>Price!H26*(1+Asset_returns[[#This Row],[LYXF]])</f>
        <v>312.6900864699017</v>
      </c>
      <c r="I27" s="3">
        <f>Price!I26*(1+Asset_returns[[#This Row],[JGHY]])</f>
        <v>300.79837061779943</v>
      </c>
    </row>
    <row r="28" spans="1:9" x14ac:dyDescent="0.25">
      <c r="A28">
        <v>2050</v>
      </c>
      <c r="B28">
        <v>26</v>
      </c>
      <c r="C28" s="3">
        <f>Price!C27*(1+Asset_returns[[#This Row],[EUNK]])</f>
        <v>472.04189070033163</v>
      </c>
      <c r="D28" s="3">
        <f>Price!D27*(1+Asset_returns[[#This Row],[SXR4]])</f>
        <v>1942.6423980822246</v>
      </c>
      <c r="E28" s="3">
        <f>Price!E27*(1+Asset_returns[[#This Row],[IUSN]])</f>
        <v>25.779828304211907</v>
      </c>
      <c r="F28" s="3">
        <f>Price!F27*(1+Asset_returns[[#This Row],[SYBC]])</f>
        <v>113.94644059650638</v>
      </c>
      <c r="G28" s="3">
        <f>Price!G27*(1+Asset_returns[[#This Row],[SYBB]])</f>
        <v>106.83821295245056</v>
      </c>
      <c r="H28" s="3">
        <f>Price!H27*(1+Asset_returns[[#This Row],[LYXF]])</f>
        <v>320.47508441913561</v>
      </c>
      <c r="I28" s="3">
        <f>Price!I27*(1+Asset_returns[[#This Row],[JGHY]])</f>
        <v>313.18257274869347</v>
      </c>
    </row>
    <row r="29" spans="1:9" x14ac:dyDescent="0.25">
      <c r="A29">
        <v>2051</v>
      </c>
      <c r="B29">
        <v>27</v>
      </c>
      <c r="C29" s="3">
        <f>Price!C28*(1+Asset_returns[[#This Row],[EUNK]])</f>
        <v>504.92066452415764</v>
      </c>
      <c r="D29" s="3">
        <f>Price!D28*(1+Asset_returns[[#This Row],[SXR4]])</f>
        <v>2047.6349305067974</v>
      </c>
      <c r="E29" s="3">
        <f>Price!E28*(1+Asset_returns[[#This Row],[IUSN]])</f>
        <v>27.133134288838527</v>
      </c>
      <c r="F29" s="3">
        <f>Price!F28*(1+Asset_returns[[#This Row],[SYBC]])</f>
        <v>117.36398843398861</v>
      </c>
      <c r="G29" s="3">
        <f>Price!G28*(1+Asset_returns[[#This Row],[SYBB]])</f>
        <v>109.42770660686833</v>
      </c>
      <c r="H29" s="3">
        <f>Price!H28*(1+Asset_returns[[#This Row],[LYXF]])</f>
        <v>328.45390428883326</v>
      </c>
      <c r="I29" s="3">
        <f>Price!I28*(1+Asset_returns[[#This Row],[JGHY]])</f>
        <v>326.07664620004658</v>
      </c>
    </row>
    <row r="30" spans="1:9" x14ac:dyDescent="0.25">
      <c r="A30">
        <v>2052</v>
      </c>
      <c r="B30">
        <v>28</v>
      </c>
      <c r="C30" s="3">
        <f>Price!C29*(1+Asset_returns[[#This Row],[EUNK]])</f>
        <v>540.08951850708661</v>
      </c>
      <c r="D30" s="3">
        <f>Price!D29*(1+Asset_returns[[#This Row],[SXR4]])</f>
        <v>2158.3019153554537</v>
      </c>
      <c r="E30" s="3">
        <f>Price!E29*(1+Asset_returns[[#This Row],[IUSN]])</f>
        <v>28.55748175079442</v>
      </c>
      <c r="F30" s="3">
        <f>Price!F29*(1+Asset_returns[[#This Row],[SYBC]])</f>
        <v>120.88403735145488</v>
      </c>
      <c r="G30" s="3">
        <f>Price!G29*(1+Asset_returns[[#This Row],[SYBB]])</f>
        <v>112.07996317355283</v>
      </c>
      <c r="H30" s="3">
        <f>Price!H29*(1+Asset_returns[[#This Row],[LYXF]])</f>
        <v>336.63137163413256</v>
      </c>
      <c r="I30" s="3">
        <f>Price!I29*(1+Asset_returns[[#This Row],[JGHY]])</f>
        <v>339.50158293893742</v>
      </c>
    </row>
    <row r="31" spans="1:9" x14ac:dyDescent="0.25">
      <c r="A31">
        <v>2053</v>
      </c>
      <c r="B31">
        <v>29</v>
      </c>
      <c r="C31" s="3">
        <f>Price!C30*(1+Asset_returns[[#This Row],[EUNK]])</f>
        <v>577.70796185597715</v>
      </c>
      <c r="D31" s="3">
        <f>Price!D30*(1+Asset_returns[[#This Row],[SXR4]])</f>
        <v>2274.9500354900083</v>
      </c>
      <c r="E31" s="3">
        <f>Price!E30*(1+Asset_returns[[#This Row],[IUSN]])</f>
        <v>30.056599995616143</v>
      </c>
      <c r="F31" s="3">
        <f>Price!F30*(1+Asset_returns[[#This Row],[SYBC]])</f>
        <v>124.50966162083861</v>
      </c>
      <c r="G31" s="3">
        <f>Price!G30*(1+Asset_returns[[#This Row],[SYBB]])</f>
        <v>114.79650387003997</v>
      </c>
      <c r="H31" s="3">
        <f>Price!H30*(1+Asset_returns[[#This Row],[LYXF]])</f>
        <v>345.01243215129023</v>
      </c>
      <c r="I31" s="3">
        <f>Price!I30*(1+Asset_returns[[#This Row],[JGHY]])</f>
        <v>353.47923919498328</v>
      </c>
    </row>
    <row r="32" spans="1:9" x14ac:dyDescent="0.25">
      <c r="A32">
        <v>2054</v>
      </c>
      <c r="B32">
        <v>30</v>
      </c>
      <c r="C32" s="3">
        <f>Price!C31*(1+Asset_returns[[#This Row],[EUNK]])</f>
        <v>617.94661395082778</v>
      </c>
      <c r="D32" s="3">
        <f>Price!D31*(1+Asset_returns[[#This Row],[SXR4]])</f>
        <v>2397.9025488302209</v>
      </c>
      <c r="E32" s="3">
        <f>Price!E31*(1+Asset_returns[[#This Row],[IUSN]])</f>
        <v>31.634414097851653</v>
      </c>
      <c r="F32" s="3">
        <f>Price!F31*(1+Asset_returns[[#This Row],[SYBC]])</f>
        <v>128.24402771942289</v>
      </c>
      <c r="G32" s="3">
        <f>Price!G31*(1+Asset_returns[[#This Row],[SYBB]])</f>
        <v>117.57888678441083</v>
      </c>
      <c r="H32" s="3">
        <f>Price!H31*(1+Asset_returns[[#This Row],[LYXF]])</f>
        <v>353.60215466881726</v>
      </c>
      <c r="I32" s="3">
        <f>Price!I31*(1+Asset_returns[[#This Row],[JGHY]])</f>
        <v>368.03237104298631</v>
      </c>
    </row>
    <row r="33" spans="1:9" x14ac:dyDescent="0.25">
      <c r="A33">
        <v>2055</v>
      </c>
      <c r="B33">
        <v>31</v>
      </c>
      <c r="C33" s="3">
        <f>Price!C32*(1+Asset_returns[[#This Row],[EUNK]])</f>
        <v>660.53058190979846</v>
      </c>
      <c r="D33" s="3">
        <f>Price!D32*(1+Asset_returns[[#This Row],[SXR4]])</f>
        <v>2533.2569193498503</v>
      </c>
      <c r="E33" s="3">
        <f>Price!E32*(1+Asset_returns[[#This Row],[IUSN]])</f>
        <v>33.322202127079144</v>
      </c>
      <c r="F33" s="3">
        <f>Price!F32*(1+Asset_returns[[#This Row],[SYBC]])</f>
        <v>132.13007741511012</v>
      </c>
      <c r="G33" s="3">
        <f>Price!G32*(1+Asset_returns[[#This Row],[SYBB]])</f>
        <v>120.42796876224155</v>
      </c>
      <c r="H33" s="3">
        <f>Price!H32*(1+Asset_returns[[#This Row],[LYXF]])</f>
        <v>362.89806812148015</v>
      </c>
      <c r="I33" s="3">
        <f>Price!I32*(1+Asset_returns[[#This Row],[JGHY]])</f>
        <v>383.15396855819472</v>
      </c>
    </row>
    <row r="34" spans="1:9" x14ac:dyDescent="0.25">
      <c r="A34">
        <v>2056</v>
      </c>
      <c r="B34">
        <v>32</v>
      </c>
      <c r="C34" s="3">
        <f>Price!C33*(1+Asset_returns[[#This Row],[EUNK]])</f>
        <v>706.04909839802917</v>
      </c>
      <c r="D34" s="3">
        <f>Price!D33*(1+Asset_returns[[#This Row],[SXR4]])</f>
        <v>2676.2516360660766</v>
      </c>
      <c r="E34" s="3">
        <f>Price!E33*(1+Asset_returns[[#This Row],[IUSN]])</f>
        <v>35.100038558113361</v>
      </c>
      <c r="F34" s="3">
        <f>Price!F33*(1+Asset_returns[[#This Row],[SYBC]])</f>
        <v>136.13388216345672</v>
      </c>
      <c r="G34" s="3">
        <f>Price!G33*(1+Asset_returns[[#This Row],[SYBB]])</f>
        <v>123.34608752327709</v>
      </c>
      <c r="H34" s="3">
        <f>Price!H33*(1+Asset_returns[[#This Row],[LYXF]])</f>
        <v>372.43836358872755</v>
      </c>
      <c r="I34" s="3">
        <f>Price!I33*(1+Asset_returns[[#This Row],[JGHY]])</f>
        <v>398.89687748349445</v>
      </c>
    </row>
    <row r="35" spans="1:9" x14ac:dyDescent="0.25">
      <c r="A35">
        <v>2057</v>
      </c>
      <c r="B35">
        <v>33</v>
      </c>
      <c r="C35" s="3">
        <f>Price!C34*(1+Asset_returns[[#This Row],[EUNK]])</f>
        <v>754.7043891705008</v>
      </c>
      <c r="D35" s="3">
        <f>Price!D34*(1+Asset_returns[[#This Row],[SXR4]])</f>
        <v>2827.3179734902415</v>
      </c>
      <c r="E35" s="3">
        <f>Price!E34*(1+Asset_returns[[#This Row],[IUSN]])</f>
        <v>36.972727735177351</v>
      </c>
      <c r="F35" s="3">
        <f>Price!F34*(1+Asset_returns[[#This Row],[SYBC]])</f>
        <v>140.25901017730419</v>
      </c>
      <c r="G35" s="3">
        <f>Price!G34*(1+Asset_returns[[#This Row],[SYBB]])</f>
        <v>126.33491591423522</v>
      </c>
      <c r="H35" s="3">
        <f>Price!H34*(1+Asset_returns[[#This Row],[LYXF]])</f>
        <v>382.22946567523729</v>
      </c>
      <c r="I35" s="3">
        <f>Price!I34*(1+Asset_returns[[#This Row],[JGHY]])</f>
        <v>415.28662606535022</v>
      </c>
    </row>
    <row r="36" spans="1:9" x14ac:dyDescent="0.25">
      <c r="A36">
        <v>2058</v>
      </c>
      <c r="B36">
        <v>34</v>
      </c>
      <c r="C36" s="3">
        <f>Price!C35*(1+Asset_returns[[#This Row],[EUNK]])</f>
        <v>806.712615773533</v>
      </c>
      <c r="D36" s="3">
        <f>Price!D35*(1+Asset_returns[[#This Row],[SXR4]])</f>
        <v>2986.9115502797963</v>
      </c>
      <c r="E36" s="3">
        <f>Price!E35*(1+Asset_returns[[#This Row],[IUSN]])</f>
        <v>38.945330328236203</v>
      </c>
      <c r="F36" s="3">
        <f>Price!F35*(1+Asset_returns[[#This Row],[SYBC]])</f>
        <v>144.50913779345638</v>
      </c>
      <c r="G36" s="3">
        <f>Price!G35*(1+Asset_returns[[#This Row],[SYBB]])</f>
        <v>129.3961673169805</v>
      </c>
      <c r="H36" s="3">
        <f>Price!H35*(1+Asset_returns[[#This Row],[LYXF]])</f>
        <v>392.27796788332614</v>
      </c>
      <c r="I36" s="3">
        <f>Price!I35*(1+Asset_returns[[#This Row],[JGHY]])</f>
        <v>432.34979144673349</v>
      </c>
    </row>
    <row r="37" spans="1:9" x14ac:dyDescent="0.25">
      <c r="A37">
        <v>2059</v>
      </c>
      <c r="B37">
        <v>35</v>
      </c>
      <c r="C37" s="3">
        <f>Price!C36*(1+Asset_returns[[#This Row],[EUNK]])</f>
        <v>862.30483588873392</v>
      </c>
      <c r="D37" s="3">
        <f>Price!D36*(1+Asset_returns[[#This Row],[SXR4]])</f>
        <v>3155.5137033919646</v>
      </c>
      <c r="E37" s="3">
        <f>Price!E36*(1+Asset_returns[[#This Row],[IUSN]])</f>
        <v>41.023177008721156</v>
      </c>
      <c r="F37" s="3">
        <f>Price!F36*(1+Asset_returns[[#This Row],[SYBC]])</f>
        <v>148.8880527490511</v>
      </c>
      <c r="G37" s="3">
        <f>Price!G36*(1+Asset_returns[[#This Row],[SYBB]])</f>
        <v>132.53159663074106</v>
      </c>
      <c r="H37" s="3">
        <f>Price!H36*(1+Asset_returns[[#This Row],[LYXF]])</f>
        <v>402.5906370531315</v>
      </c>
      <c r="I37" s="3">
        <f>Price!I36*(1+Asset_returns[[#This Row],[JGHY]])</f>
        <v>450.1140427638498</v>
      </c>
    </row>
    <row r="38" spans="1:9" x14ac:dyDescent="0.25">
      <c r="A38">
        <v>2060</v>
      </c>
      <c r="B38">
        <v>36</v>
      </c>
      <c r="C38" s="3">
        <f>Price!C37*(1+Asset_returns[[#This Row],[EUNK]])</f>
        <v>921.72802985622002</v>
      </c>
      <c r="D38" s="3">
        <f>Price!D37*(1+Asset_returns[[#This Row],[SXR4]])</f>
        <v>3333.632939804238</v>
      </c>
      <c r="E38" s="3">
        <f>Price!E37*(1+Asset_returns[[#This Row],[IUSN]])</f>
        <v>43.211882854893354</v>
      </c>
      <c r="F38" s="3">
        <f>Price!F37*(1+Asset_returns[[#This Row],[SYBC]])</f>
        <v>153.39965755721235</v>
      </c>
      <c r="G38" s="3">
        <f>Price!G37*(1+Asset_returns[[#This Row],[SYBB]])</f>
        <v>135.74300127812575</v>
      </c>
      <c r="H38" s="3">
        <f>Price!H37*(1+Asset_returns[[#This Row],[LYXF]])</f>
        <v>413.17441791952211</v>
      </c>
      <c r="I38" s="3">
        <f>Price!I37*(1+Asset_returns[[#This Row],[JGHY]])</f>
        <v>468.60818601361098</v>
      </c>
    </row>
    <row r="39" spans="1:9" x14ac:dyDescent="0.25">
      <c r="A39">
        <v>2061</v>
      </c>
      <c r="B39">
        <v>37</v>
      </c>
      <c r="C39" s="3">
        <f>Price!C38*(1+Asset_returns[[#This Row],[EUNK]])</f>
        <v>985.24619793765521</v>
      </c>
      <c r="D39" s="3">
        <f>Price!D38*(1+Asset_returns[[#This Row],[SXR4]])</f>
        <v>3521.8064701801181</v>
      </c>
      <c r="E39" s="3">
        <f>Price!E38*(1+Asset_returns[[#This Row],[IUSN]])</f>
        <v>45.517362525775667</v>
      </c>
      <c r="F39" s="3">
        <f>Price!F38*(1+Asset_returns[[#This Row],[SYBC]])</f>
        <v>158.0479729849915</v>
      </c>
      <c r="G39" s="3">
        <f>Price!G38*(1+Asset_returns[[#This Row],[SYBB]])</f>
        <v>139.03222223551822</v>
      </c>
      <c r="H39" s="3">
        <f>Price!H38*(1+Asset_returns[[#This Row],[LYXF]])</f>
        <v>424.03643778880587</v>
      </c>
      <c r="I39" s="3">
        <f>Price!I38*(1+Asset_returns[[#This Row],[JGHY]])</f>
        <v>487.86221076460788</v>
      </c>
    </row>
    <row r="40" spans="1:9" x14ac:dyDescent="0.25">
      <c r="A40">
        <v>2062</v>
      </c>
      <c r="B40">
        <v>38</v>
      </c>
      <c r="C40" s="3">
        <f>Price!C39*(1+Asset_returns[[#This Row],[EUNK]])</f>
        <v>1053.1415331939356</v>
      </c>
      <c r="D40" s="3">
        <f>Price!D39*(1+Asset_returns[[#This Row],[SXR4]])</f>
        <v>3720.6018291056648</v>
      </c>
      <c r="E40" s="3">
        <f>Price!E39*(1+Asset_returns[[#This Row],[IUSN]])</f>
        <v>47.945846244657929</v>
      </c>
      <c r="F40" s="3">
        <f>Price!F39*(1+Asset_returns[[#This Row],[SYBC]])</f>
        <v>162.837141636697</v>
      </c>
      <c r="G40" s="3">
        <f>Price!G39*(1+Asset_returns[[#This Row],[SYBB]])</f>
        <v>142.40114508843885</v>
      </c>
      <c r="H40" s="3">
        <f>Price!H39*(1+Asset_returns[[#This Row],[LYXF]])</f>
        <v>435.18401133838472</v>
      </c>
      <c r="I40" s="3">
        <f>Price!I39*(1+Asset_returns[[#This Row],[JGHY]])</f>
        <v>507.9073387873288</v>
      </c>
    </row>
    <row r="41" spans="1:9" x14ac:dyDescent="0.25">
      <c r="A41">
        <v>2063</v>
      </c>
      <c r="B41">
        <v>39</v>
      </c>
      <c r="C41" s="3">
        <f>Price!C40*(1+Asset_returns[[#This Row],[EUNK]])</f>
        <v>1125.7156751882801</v>
      </c>
      <c r="D41" s="3">
        <f>Price!D40*(1+Asset_returns[[#This Row],[SXR4]])</f>
        <v>3930.6185867835161</v>
      </c>
      <c r="E41" s="3">
        <f>Price!E40*(1+Asset_returns[[#This Row],[IUSN]])</f>
        <v>50.503896635368697</v>
      </c>
      <c r="F41" s="3">
        <f>Price!F40*(1+Asset_returns[[#This Row],[SYBC]])</f>
        <v>167.77143164580613</v>
      </c>
      <c r="G41" s="3">
        <f>Price!G40*(1+Asset_returns[[#This Row],[SYBB]])</f>
        <v>145.85170111247939</v>
      </c>
      <c r="H41" s="3">
        <f>Price!H40*(1+Asset_returns[[#This Row],[LYXF]])</f>
        <v>446.62464554258867</v>
      </c>
      <c r="I41" s="3">
        <f>Price!I40*(1+Asset_returns[[#This Row],[JGHY]])</f>
        <v>528.77607468248061</v>
      </c>
    </row>
    <row r="42" spans="1:9" x14ac:dyDescent="0.25">
      <c r="A42">
        <v>2064</v>
      </c>
      <c r="B42">
        <v>40</v>
      </c>
      <c r="C42" s="3">
        <f>Price!C41*(1+Asset_returns[[#This Row],[EUNK]])</f>
        <v>1203.2910500845705</v>
      </c>
      <c r="D42" s="3">
        <f>Price!D41*(1+Asset_returns[[#This Row],[SXR4]])</f>
        <v>4152.4901573468724</v>
      </c>
      <c r="E42" s="3">
        <f>Price!E41*(1+Asset_returns[[#This Row],[IUSN]])</f>
        <v>53.198426456811063</v>
      </c>
      <c r="F42" s="3">
        <f>Price!F41*(1+Asset_returns[[#This Row],[SYBC]])</f>
        <v>172.85524047874918</v>
      </c>
      <c r="G42" s="3">
        <f>Price!G41*(1+Asset_returns[[#This Row],[SYBB]])</f>
        <v>149.38586838042986</v>
      </c>
      <c r="H42" s="3">
        <f>Price!H41*(1+Asset_returns[[#This Row],[LYXF]])</f>
        <v>458.36604472800565</v>
      </c>
      <c r="I42" s="3">
        <f>Price!I41*(1+Asset_returns[[#This Row],[JGHY]])</f>
        <v>550.50225858951069</v>
      </c>
    </row>
    <row r="43" spans="1:9" x14ac:dyDescent="0.25">
      <c r="A43">
        <v>2065</v>
      </c>
      <c r="B43">
        <v>41</v>
      </c>
      <c r="C43" s="3">
        <f>Price!C42*(1+Asset_returns[[#This Row],[EUNK]])</f>
        <v>1286.2123030946161</v>
      </c>
      <c r="D43" s="3">
        <f>Price!D42*(1+Asset_returns[[#This Row],[SXR4]])</f>
        <v>4386.8857092473581</v>
      </c>
      <c r="E43" s="3">
        <f>Price!E42*(1+Asset_returns[[#This Row],[IUSN]])</f>
        <v>56.036717283687565</v>
      </c>
      <c r="F43" s="3">
        <f>Price!F42*(1+Asset_returns[[#This Row],[SYBC]])</f>
        <v>178.09309885395561</v>
      </c>
      <c r="G43" s="3">
        <f>Price!G42*(1+Asset_returns[[#This Row],[SYBB]])</f>
        <v>153.00567289623262</v>
      </c>
      <c r="H43" s="3">
        <f>Price!H42*(1+Asset_returns[[#This Row],[LYXF]])</f>
        <v>470.41611576171221</v>
      </c>
      <c r="I43" s="3">
        <f>Price!I42*(1+Asset_returns[[#This Row],[JGHY]])</f>
        <v>573.12112106079985</v>
      </c>
    </row>
    <row r="44" spans="1:9" x14ac:dyDescent="0.25">
      <c r="A44">
        <v>2066</v>
      </c>
      <c r="B44">
        <v>42</v>
      </c>
      <c r="C44" s="3">
        <f>Price!C43*(1+Asset_returns[[#This Row],[EUNK]])</f>
        <v>1374.8478296382948</v>
      </c>
      <c r="D44" s="3">
        <f>Price!D43*(1+Asset_returns[[#This Row],[SXR4]])</f>
        <v>4634.512183478515</v>
      </c>
      <c r="E44" s="3">
        <f>Price!E43*(1+Asset_returns[[#This Row],[IUSN]])</f>
        <v>59.026439183896116</v>
      </c>
      <c r="F44" s="3">
        <f>Price!F43*(1+Asset_returns[[#This Row],[SYBC]])</f>
        <v>183.48967477965536</v>
      </c>
      <c r="G44" s="3">
        <f>Price!G43*(1+Asset_returns[[#This Row],[SYBB]])</f>
        <v>156.71318975641364</v>
      </c>
      <c r="H44" s="3">
        <f>Price!H43*(1+Asset_returns[[#This Row],[LYXF]])</f>
        <v>482.78297337589845</v>
      </c>
      <c r="I44" s="3">
        <f>Price!I43*(1+Asset_returns[[#This Row],[JGHY]])</f>
        <v>596.66934019050848</v>
      </c>
    </row>
    <row r="45" spans="1:9" x14ac:dyDescent="0.25">
      <c r="A45">
        <v>2067</v>
      </c>
      <c r="B45">
        <v>43</v>
      </c>
      <c r="C45" s="3">
        <f>Price!C44*(1+Asset_returns[[#This Row],[EUNK]])</f>
        <v>1469.5914120190801</v>
      </c>
      <c r="D45" s="3">
        <f>Price!D44*(1+Asset_returns[[#This Row],[SXR4]])</f>
        <v>4896.1164257219316</v>
      </c>
      <c r="E45" s="3">
        <f>Price!E44*(1+Asset_returns[[#This Row],[IUSN]])</f>
        <v>62.175671445772281</v>
      </c>
      <c r="F45" s="3">
        <f>Price!F44*(1+Asset_returns[[#This Row],[SYBC]])</f>
        <v>189.04977771403344</v>
      </c>
      <c r="G45" s="3">
        <f>Price!G44*(1+Asset_returns[[#This Row],[SYBB]])</f>
        <v>160.51054433965641</v>
      </c>
      <c r="H45" s="3">
        <f>Price!H44*(1+Asset_returns[[#This Row],[LYXF]])</f>
        <v>495.47494563247295</v>
      </c>
      <c r="I45" s="3">
        <f>Price!I44*(1+Asset_returns[[#This Row],[JGHY]])</f>
        <v>621.18510109071474</v>
      </c>
    </row>
    <row r="46" spans="1:9" x14ac:dyDescent="0.25">
      <c r="A46">
        <v>2068</v>
      </c>
      <c r="B46">
        <v>44</v>
      </c>
      <c r="C46" s="3">
        <f>Price!C45*(1+Asset_returns[[#This Row],[EUNK]])</f>
        <v>1570.8639688862315</v>
      </c>
      <c r="D46" s="3">
        <f>Price!D45*(1+Asset_returns[[#This Row],[SXR4]])</f>
        <v>5172.4874388465896</v>
      </c>
      <c r="E46" s="3">
        <f>Price!E45*(1+Asset_returns[[#This Row],[IUSN]])</f>
        <v>65.492924411190174</v>
      </c>
      <c r="F46" s="3">
        <f>Price!F45*(1+Asset_returns[[#This Row],[SYBC]])</f>
        <v>194.77836285144559</v>
      </c>
      <c r="G46" s="3">
        <f>Price!G45*(1+Asset_returns[[#This Row],[SYBB]])</f>
        <v>164.3999135252009</v>
      </c>
      <c r="H46" s="3">
        <f>Price!H45*(1+Asset_returns[[#This Row],[LYXF]])</f>
        <v>508.50057953132796</v>
      </c>
      <c r="I46" s="3">
        <f>Price!I45*(1+Asset_returns[[#This Row],[JGHY]])</f>
        <v>646.70815781128977</v>
      </c>
    </row>
    <row r="47" spans="1:9" x14ac:dyDescent="0.25">
      <c r="A47">
        <v>2069</v>
      </c>
      <c r="B47">
        <v>45</v>
      </c>
      <c r="C47" s="3">
        <f>Price!C46*(1+Asset_returns[[#This Row],[EUNK]])</f>
        <v>1679.1154252560139</v>
      </c>
      <c r="D47" s="3">
        <f>Price!D46*(1+Asset_returns[[#This Row],[SXR4]])</f>
        <v>5464.4587625550157</v>
      </c>
      <c r="E47" s="3">
        <f>Price!E46*(1+Asset_returns[[#This Row],[IUSN]])</f>
        <v>68.987162473522886</v>
      </c>
      <c r="F47" s="3">
        <f>Price!F46*(1+Asset_returns[[#This Row],[SYBC]])</f>
        <v>200.68053553851473</v>
      </c>
      <c r="G47" s="3">
        <f>Price!G46*(1+Asset_returns[[#This Row],[SYBB]])</f>
        <v>168.3835269407659</v>
      </c>
      <c r="H47" s="3">
        <f>Price!H46*(1+Asset_returns[[#This Row],[LYXF]])</f>
        <v>521.86864676604102</v>
      </c>
      <c r="I47" s="3">
        <f>Price!I46*(1+Asset_returns[[#This Row],[JGHY]])</f>
        <v>673.27989780391658</v>
      </c>
    </row>
    <row r="48" spans="1:9" x14ac:dyDescent="0.25">
      <c r="A48">
        <v>2070</v>
      </c>
      <c r="B48">
        <v>46</v>
      </c>
      <c r="C48" s="3">
        <f>Price!C47*(1+Asset_returns[[#This Row],[EUNK]])</f>
        <v>1794.8267113999093</v>
      </c>
      <c r="D48" s="3">
        <f>Price!D47*(1+Asset_returns[[#This Row],[SXR4]])</f>
        <v>5772.910987353278</v>
      </c>
      <c r="E48" s="3">
        <f>Price!E47*(1+Asset_returns[[#This Row],[IUSN]])</f>
        <v>72.667828302610943</v>
      </c>
      <c r="F48" s="3">
        <f>Price!F47*(1+Asset_returns[[#This Row],[SYBC]])</f>
        <v>206.76155582404405</v>
      </c>
      <c r="G48" s="3">
        <f>Price!G47*(1+Asset_returns[[#This Row],[SYBB]])</f>
        <v>172.46366824070986</v>
      </c>
      <c r="H48" s="3">
        <f>Price!H47*(1+Asset_returns[[#This Row],[LYXF]])</f>
        <v>535.58814963088946</v>
      </c>
      <c r="I48" s="3">
        <f>Price!I47*(1+Asset_returns[[#This Row],[JGHY]])</f>
        <v>700.9434090347869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D30655-1E9C-4A32-BD4A-6BF4356BE1BD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</vt:lpstr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Thorbjørn Gundertofte Larsen</dc:creator>
  <cp:lastModifiedBy>Thorbjørn Gundertofte Larsen</cp:lastModifiedBy>
  <dcterms:created xsi:type="dcterms:W3CDTF">2025-03-13T09:39:21Z</dcterms:created>
  <dcterms:modified xsi:type="dcterms:W3CDTF">2025-03-13T10:33:24Z</dcterms:modified>
</cp:coreProperties>
</file>