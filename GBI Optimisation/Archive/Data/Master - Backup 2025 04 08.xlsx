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8A32B070-AF59-42CA-8E67-E9C6517DCEF1}" xr6:coauthVersionLast="47" xr6:coauthVersionMax="47" xr10:uidLastSave="{00000000-0000-0000-0000-000000000000}"/>
  <bookViews>
    <workbookView xWindow="-110" yWindow="-110" windowWidth="19420" windowHeight="10300" firstSheet="7" activeTab="7" xr2:uid="{31CD02D4-91DC-4A3F-AC52-23F22D133229}"/>
  </bookViews>
  <sheets>
    <sheet name="Index" sheetId="7" r:id="rId1"/>
    <sheet name="Loop" sheetId="1" r:id="rId2"/>
    <sheet name="Salary" sheetId="30" r:id="rId3"/>
    <sheet name="Wealth" sheetId="33" r:id="rId4"/>
    <sheet name="GBI Investment" sheetId="32" r:id="rId5"/>
    <sheet name="Aktiesparekonto" sheetId="31" r:id="rId6"/>
    <sheet name="GBI Allocations P1" sheetId="26" r:id="rId7"/>
    <sheet name="GBI Goals P1" sheetId="27" r:id="rId8"/>
    <sheet name="GBI Allocations P2" sheetId="28" r:id="rId9"/>
    <sheet name="notes next time talk" sheetId="18" state="hidden" r:id="rId10"/>
    <sheet name="GBI Goals P2" sheetId="29" r:id="rId11"/>
    <sheet name="Returns2" sheetId="23" r:id="rId12"/>
    <sheet name="Returns" sheetId="21" r:id="rId13"/>
    <sheet name="Volatilities2" sheetId="24" r:id="rId14"/>
    <sheet name="Volatilities" sheetId="20" r:id="rId15"/>
    <sheet name="Correlation" sheetId="22" r:id="rId16"/>
    <sheet name="Correlation2" sheetId="25" r:id="rId17"/>
    <sheet name="Goals" sheetId="10" r:id="rId18"/>
    <sheet name="Income" sheetId="2" r:id="rId19"/>
    <sheet name="Job Hopping" sheetId="8" r:id="rId20"/>
    <sheet name="Djøf Finance Workers" sheetId="5" r:id="rId21"/>
    <sheet name="Djøf Finance Hoppers" sheetId="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3" l="1"/>
  <c r="B3" i="33"/>
  <c r="C3" i="33"/>
  <c r="D3" i="33"/>
  <c r="E3" i="33"/>
  <c r="F3" i="33"/>
  <c r="G3" i="33"/>
  <c r="H3" i="33"/>
  <c r="I3" i="33"/>
  <c r="J3" i="33"/>
  <c r="K3" i="33"/>
  <c r="L3" i="33"/>
  <c r="M3" i="33"/>
  <c r="N3" i="33"/>
  <c r="O3" i="33"/>
  <c r="P3" i="33"/>
  <c r="Q3" i="33"/>
  <c r="R3" i="33"/>
  <c r="S3" i="33"/>
  <c r="T3" i="33"/>
  <c r="U3" i="33"/>
  <c r="V3" i="33"/>
  <c r="W3" i="33"/>
  <c r="X3" i="33"/>
  <c r="Y3" i="33"/>
  <c r="Z3" i="33"/>
  <c r="AA3" i="33"/>
  <c r="AB3" i="33"/>
  <c r="AC3" i="33"/>
  <c r="AD3" i="33"/>
  <c r="AE3" i="33"/>
  <c r="AF3" i="33"/>
  <c r="AG3" i="33"/>
  <c r="AH3" i="33"/>
  <c r="AI3" i="33"/>
  <c r="AJ3" i="33"/>
  <c r="AK3" i="33"/>
  <c r="AL3" i="33"/>
  <c r="AM3" i="33"/>
  <c r="AN3" i="33"/>
  <c r="AO3" i="33"/>
  <c r="AP3" i="33"/>
  <c r="AQ3" i="33"/>
  <c r="AR3" i="33"/>
  <c r="AS3" i="33"/>
  <c r="AT3" i="33"/>
  <c r="AU3" i="33"/>
  <c r="AV3" i="33"/>
  <c r="AW3" i="33"/>
  <c r="AX3" i="33"/>
  <c r="AY3" i="33"/>
  <c r="C2" i="33"/>
  <c r="D2" i="33"/>
  <c r="E2" i="33"/>
  <c r="F2" i="33"/>
  <c r="G2" i="33"/>
  <c r="H2" i="33"/>
  <c r="I2" i="33"/>
  <c r="J2" i="33"/>
  <c r="K2" i="33"/>
  <c r="L2" i="33"/>
  <c r="M2" i="33"/>
  <c r="N2" i="33"/>
  <c r="O2" i="33"/>
  <c r="P2" i="33"/>
  <c r="Q2" i="33"/>
  <c r="R2" i="33"/>
  <c r="S2" i="33"/>
  <c r="T2" i="33"/>
  <c r="U2" i="33"/>
  <c r="V2" i="33"/>
  <c r="W2" i="33"/>
  <c r="X2" i="33"/>
  <c r="Y2" i="33"/>
  <c r="Z2" i="33"/>
  <c r="AA2" i="33"/>
  <c r="AB2" i="33"/>
  <c r="AC2" i="33"/>
  <c r="AD2" i="33"/>
  <c r="AE2" i="33"/>
  <c r="AF2" i="33"/>
  <c r="AG2" i="33"/>
  <c r="AH2" i="33"/>
  <c r="AI2" i="33"/>
  <c r="AJ2" i="33"/>
  <c r="AK2" i="33"/>
  <c r="AL2" i="33"/>
  <c r="AM2" i="33"/>
  <c r="AN2" i="33"/>
  <c r="AO2" i="33"/>
  <c r="AP2" i="33"/>
  <c r="AQ2" i="33"/>
  <c r="AR2" i="33"/>
  <c r="AS2" i="33"/>
  <c r="AT2" i="33"/>
  <c r="AU2" i="33"/>
  <c r="AV2" i="33"/>
  <c r="AW2" i="33"/>
  <c r="AX2" i="33"/>
  <c r="AY2" i="33"/>
  <c r="C3" i="2"/>
  <c r="D3" i="2"/>
  <c r="E3" i="2"/>
  <c r="F3" i="2"/>
  <c r="O3" i="2"/>
  <c r="P3" i="2"/>
  <c r="AX7" i="32"/>
  <c r="AW7" i="32"/>
  <c r="AV7" i="32"/>
  <c r="AU7" i="32"/>
  <c r="AT7" i="32"/>
  <c r="AS7" i="32"/>
  <c r="AR7" i="32"/>
  <c r="AQ7" i="32"/>
  <c r="AP7" i="32"/>
  <c r="AO7" i="32"/>
  <c r="AN7" i="32"/>
  <c r="AM7" i="32"/>
  <c r="AL7" i="32"/>
  <c r="AK7" i="32"/>
  <c r="AJ7" i="32"/>
  <c r="AI7" i="32"/>
  <c r="AH7" i="32"/>
  <c r="AG7" i="32"/>
  <c r="AF7" i="32"/>
  <c r="AE7" i="32"/>
  <c r="AD7" i="32"/>
  <c r="AC7" i="32"/>
  <c r="AB7" i="32"/>
  <c r="AA7" i="32"/>
  <c r="Z7" i="32"/>
  <c r="Y7" i="32"/>
  <c r="X7" i="32"/>
  <c r="W7" i="32"/>
  <c r="V7" i="32"/>
  <c r="U7" i="32"/>
  <c r="T7" i="32"/>
  <c r="S7" i="32"/>
  <c r="R7" i="32"/>
  <c r="Q7" i="32"/>
  <c r="P7" i="32"/>
  <c r="O7" i="32"/>
  <c r="N7" i="32"/>
  <c r="M7" i="32"/>
  <c r="L7" i="32"/>
  <c r="K7" i="32"/>
  <c r="J7" i="32"/>
  <c r="I7" i="32"/>
  <c r="H7" i="32"/>
  <c r="G7" i="32"/>
  <c r="F7" i="32"/>
  <c r="E7" i="32"/>
  <c r="D7" i="32"/>
  <c r="C7" i="32"/>
  <c r="B7" i="32"/>
  <c r="AX6" i="32"/>
  <c r="AW6" i="32"/>
  <c r="AV6" i="32"/>
  <c r="AU6" i="32"/>
  <c r="AT6" i="32"/>
  <c r="AS6" i="32"/>
  <c r="AR6" i="32"/>
  <c r="AQ6" i="32"/>
  <c r="AP6" i="32"/>
  <c r="AO6" i="32"/>
  <c r="AN6" i="32"/>
  <c r="AM6" i="32"/>
  <c r="AL6" i="32"/>
  <c r="AK6" i="32"/>
  <c r="AJ6" i="32"/>
  <c r="AI6" i="32"/>
  <c r="AH6" i="32"/>
  <c r="AG6" i="32"/>
  <c r="AF6" i="32"/>
  <c r="AE6" i="32"/>
  <c r="AD6" i="32"/>
  <c r="AC6" i="32"/>
  <c r="AB6" i="32"/>
  <c r="AA6" i="32"/>
  <c r="Z6" i="32"/>
  <c r="Y6" i="32"/>
  <c r="X6" i="32"/>
  <c r="W6" i="32"/>
  <c r="V6" i="32"/>
  <c r="U6" i="32"/>
  <c r="T6" i="32"/>
  <c r="S6" i="32"/>
  <c r="R6" i="32"/>
  <c r="Q6" i="32"/>
  <c r="P6" i="32"/>
  <c r="O6" i="32"/>
  <c r="N6" i="32"/>
  <c r="M6" i="32"/>
  <c r="L6" i="32"/>
  <c r="K6" i="32"/>
  <c r="J6" i="32"/>
  <c r="I6" i="32"/>
  <c r="H6" i="32"/>
  <c r="G6" i="32"/>
  <c r="F6" i="32"/>
  <c r="E6" i="32"/>
  <c r="D6" i="32"/>
  <c r="C6" i="32"/>
  <c r="B6" i="32"/>
  <c r="AX5" i="32"/>
  <c r="AW5" i="32"/>
  <c r="AV5" i="32"/>
  <c r="AU5" i="32"/>
  <c r="AT5" i="32"/>
  <c r="AS5" i="32"/>
  <c r="AR5" i="32"/>
  <c r="AQ5" i="32"/>
  <c r="AP5" i="32"/>
  <c r="AO5" i="32"/>
  <c r="AN5" i="32"/>
  <c r="AM5" i="32"/>
  <c r="AL5" i="32"/>
  <c r="AK5" i="32"/>
  <c r="AJ5" i="32"/>
  <c r="AI5" i="32"/>
  <c r="AH5" i="32"/>
  <c r="AG5" i="32"/>
  <c r="AF5" i="32"/>
  <c r="AE5" i="32"/>
  <c r="AD5" i="32"/>
  <c r="AC5" i="32"/>
  <c r="AB5" i="32"/>
  <c r="AA5" i="32"/>
  <c r="Z5" i="32"/>
  <c r="Y5" i="32"/>
  <c r="X5" i="32"/>
  <c r="W5" i="32"/>
  <c r="V5" i="32"/>
  <c r="U5" i="32"/>
  <c r="T5" i="32"/>
  <c r="S5" i="32"/>
  <c r="R5" i="32"/>
  <c r="Q5" i="32"/>
  <c r="P5" i="32"/>
  <c r="O5" i="32"/>
  <c r="N5" i="32"/>
  <c r="M5" i="32"/>
  <c r="L5" i="32"/>
  <c r="K5" i="32"/>
  <c r="J5" i="32"/>
  <c r="I5" i="32"/>
  <c r="H5" i="32"/>
  <c r="G5" i="32"/>
  <c r="F5" i="32"/>
  <c r="E5" i="32"/>
  <c r="D5" i="32"/>
  <c r="C5" i="32"/>
  <c r="B5" i="32"/>
  <c r="AX4" i="32"/>
  <c r="AW4" i="32"/>
  <c r="AV4" i="32"/>
  <c r="AU4" i="32"/>
  <c r="AT4" i="32"/>
  <c r="AS4" i="32"/>
  <c r="AR4" i="32"/>
  <c r="AQ4" i="32"/>
  <c r="AP4" i="32"/>
  <c r="AO4" i="32"/>
  <c r="AN4" i="32"/>
  <c r="AM4" i="32"/>
  <c r="AL4" i="32"/>
  <c r="AK4" i="32"/>
  <c r="AJ4" i="32"/>
  <c r="AI4" i="32"/>
  <c r="AH4" i="32"/>
  <c r="AG4" i="32"/>
  <c r="AF4" i="32"/>
  <c r="AE4" i="32"/>
  <c r="AD4" i="32"/>
  <c r="AC4" i="32"/>
  <c r="AB4" i="32"/>
  <c r="AA4" i="32"/>
  <c r="Z4" i="32"/>
  <c r="Y4" i="32"/>
  <c r="X4" i="32"/>
  <c r="W4" i="32"/>
  <c r="V4" i="32"/>
  <c r="U4" i="32"/>
  <c r="T4" i="32"/>
  <c r="S4" i="32"/>
  <c r="R4" i="32"/>
  <c r="Q4" i="32"/>
  <c r="P4" i="32"/>
  <c r="O4" i="32"/>
  <c r="N4" i="32"/>
  <c r="M4" i="32"/>
  <c r="L4" i="32"/>
  <c r="K4" i="32"/>
  <c r="J4" i="32"/>
  <c r="I4" i="32"/>
  <c r="H4" i="32"/>
  <c r="G4" i="32"/>
  <c r="F4" i="32"/>
  <c r="E4" i="32"/>
  <c r="D4" i="32"/>
  <c r="C4" i="32"/>
  <c r="B4" i="32"/>
  <c r="AX3" i="32"/>
  <c r="AW3" i="32"/>
  <c r="AV3" i="32"/>
  <c r="AU3" i="32"/>
  <c r="AT3" i="32"/>
  <c r="AS3" i="32"/>
  <c r="AR3" i="32"/>
  <c r="AQ3" i="32"/>
  <c r="AP3" i="32"/>
  <c r="AO3" i="32"/>
  <c r="AN3" i="32"/>
  <c r="AM3" i="32"/>
  <c r="AL3" i="32"/>
  <c r="AK3" i="32"/>
  <c r="AJ3" i="32"/>
  <c r="AI3" i="32"/>
  <c r="AH3" i="32"/>
  <c r="AG3" i="32"/>
  <c r="AF3" i="32"/>
  <c r="AE3" i="32"/>
  <c r="AD3" i="32"/>
  <c r="AC3" i="32"/>
  <c r="AB3" i="32"/>
  <c r="AA3" i="32"/>
  <c r="Z3" i="32"/>
  <c r="Y3" i="32"/>
  <c r="X3" i="32"/>
  <c r="W3" i="32"/>
  <c r="V3" i="32"/>
  <c r="U3" i="32"/>
  <c r="T3" i="32"/>
  <c r="S3" i="32"/>
  <c r="R3" i="32"/>
  <c r="Q3" i="32"/>
  <c r="P3" i="32"/>
  <c r="O3" i="32"/>
  <c r="N3" i="32"/>
  <c r="M3" i="32"/>
  <c r="L3" i="32"/>
  <c r="K3" i="32"/>
  <c r="J3" i="32"/>
  <c r="I3" i="32"/>
  <c r="H3" i="32"/>
  <c r="G3" i="32"/>
  <c r="F3" i="32"/>
  <c r="E3" i="32"/>
  <c r="D3" i="32"/>
  <c r="C3" i="32"/>
  <c r="B3"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S2" i="32"/>
  <c r="R2" i="32"/>
  <c r="Q2" i="32"/>
  <c r="P2" i="32"/>
  <c r="O2" i="32"/>
  <c r="N2" i="32"/>
  <c r="M2" i="32"/>
  <c r="L2" i="32"/>
  <c r="K2" i="32"/>
  <c r="J2" i="32"/>
  <c r="I2" i="32"/>
  <c r="H2" i="32"/>
  <c r="G2" i="32"/>
  <c r="F2" i="32"/>
  <c r="E2" i="32"/>
  <c r="D2" i="32"/>
  <c r="C2" i="32"/>
  <c r="B2" i="32"/>
  <c r="AY7" i="32"/>
  <c r="AY6" i="32"/>
  <c r="AY5" i="32"/>
  <c r="AY4" i="32"/>
  <c r="AY3" i="32"/>
  <c r="AY2" i="32"/>
  <c r="C2" i="30" a="1"/>
  <c r="C2" i="30" s="1"/>
  <c r="C3" i="30" a="1"/>
  <c r="C3" i="30" s="1"/>
  <c r="B1" i="25" a="1"/>
  <c r="B1" i="25" s="1"/>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Q53" i="8" l="1"/>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N7" i="2" l="1"/>
  <c r="D6" i="2"/>
  <c r="F6" i="2" s="1"/>
  <c r="C8" i="2"/>
  <c r="E8" i="2" s="1"/>
  <c r="E5" i="8"/>
  <c r="N8" i="2" l="1"/>
  <c r="D7" i="2"/>
  <c r="F7" i="2" s="1"/>
  <c r="C9" i="2"/>
  <c r="E9" i="2" s="1"/>
  <c r="E6" i="8"/>
  <c r="E7" i="8" s="1"/>
  <c r="N9" i="2" l="1"/>
  <c r="D8" i="2"/>
  <c r="F8" i="2" s="1"/>
  <c r="C10" i="2"/>
  <c r="E10" i="2" s="1"/>
  <c r="E8" i="8"/>
  <c r="E9" i="8" s="1"/>
  <c r="N10" i="2" l="1"/>
  <c r="D9" i="2"/>
  <c r="F9" i="2" s="1"/>
  <c r="C11" i="2"/>
  <c r="E11" i="2" s="1"/>
  <c r="E10" i="8"/>
  <c r="E11" i="8" s="1"/>
  <c r="N11" i="2" l="1"/>
  <c r="D10" i="2"/>
  <c r="F10" i="2"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C34" i="2" l="1"/>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<sst xmlns="http://schemas.openxmlformats.org/spreadsheetml/2006/main" count="1484" uniqueCount="173">
  <si>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</si>
  <si>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</si>
  <si>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</si>
  <si>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</si>
  <si>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</si>
  <si>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</si>
  <si>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</si>
  <si>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</si>
  <si>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</si>
  <si>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</si>
  <si>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</si>
  <si>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</si>
  <si>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</si>
  <si>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</si>
  <si>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</si>
  <si>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</si>
  <si>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</si>
  <si>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</si>
  <si>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</si>
  <si>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</si>
  <si>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</si>
  <si>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</si>
  <si>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</si>
  <si>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</si>
  <si>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</si>
  <si>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</si>
  <si>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</si>
  <si>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</si>
  <si>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</si>
  <si>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</si>
  <si>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</si>
  <si>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</si>
  <si>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</si>
  <si>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</si>
  <si>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</si>
  <si>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</si>
  <si>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</si>
  <si>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</si>
  <si>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</si>
  <si>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</si>
  <si>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</si>
  <si>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</si>
  <si>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</si>
  <si>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</si>
  <si>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</si>
  <si>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</si>
  <si>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</si>
  <si>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</si>
  <si>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</si>
  <si>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</si>
  <si>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</si>
  <si>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</si>
  <si>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</si>
  <si>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</si>
  <si>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</si>
  <si>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</si>
  <si>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</si>
  <si>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</si>
  <si>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</si>
  <si>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</si>
  <si>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</si>
  <si>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</si>
  <si>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</si>
  <si>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</si>
  <si>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</si>
  <si>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</si>
  <si>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</si>
  <si>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</si>
  <si>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</si>
  <si>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</si>
  <si>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</si>
  <si>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</si>
  <si>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</si>
  <si>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</si>
  <si>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</si>
  <si>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</si>
  <si>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</si>
  <si>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</si>
  <si>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</si>
  <si>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</si>
  <si>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</si>
  <si>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</si>
  <si>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</si>
  <si>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</si>
  <si>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</si>
  <si>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</si>
  <si>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</si>
  <si>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</si>
  <si>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</si>
  <si>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</si>
  <si>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</si>
  <si>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</si>
  <si>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</si>
  <si>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</si>
  <si>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</si>
  <si>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</si>
  <si>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</si>
  <si>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</si>
  <si>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</si>
  <si>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</si>
  <si>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</si>
  <si>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</si>
  <si>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</si>
  <si>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</si>
  <si>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</si>
  <si>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</si>
  <si>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</si>
  <si>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</si>
  <si>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</si>
  <si>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</si>
  <si>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</si>
  <si>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</si>
  <si>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</si>
  <si>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</si>
  <si>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</si>
  <si>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</si>
  <si>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</si>
  <si>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</si>
  <si>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</si>
  <si>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</si>
  <si>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</si>
  <si>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</si>
  <si>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</si>
  <si>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</si>
  <si>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</si>
  <si>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</si>
  <si>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</si>
  <si>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</si>
  <si>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</si>
  <si>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</si>
  <si>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</si>
  <si>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</si>
  <si>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</si>
  <si>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</si>
  <si>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</si>
  <si>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</si>
  <si>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</si>
  <si>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</si>
  <si>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</si>
  <si>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</si>
  <si>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</si>
  <si>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</si>
  <si>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</si>
  <si>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</si>
  <si>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</si>
  <si>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</si>
  <si>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</si>
  <si>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</si>
  <si>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</si>
  <si>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</si>
  <si>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</si>
  <si>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</si>
  <si>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</si>
  <si>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</si>
  <si>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</si>
  <si>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</si>
  <si>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</si>
  <si>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</si>
  <si>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</si>
  <si>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</si>
  <si>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</si>
  <si>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</si>
  <si>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</si>
  <si>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Small Cap</t>
  </si>
  <si>
    <t>US Agg Bond</t>
  </si>
  <si>
    <t>Gold</t>
  </si>
  <si>
    <t>Private Equity</t>
  </si>
  <si>
    <t>Venture Capital</t>
  </si>
  <si>
    <t>Angel Venture</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</si>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</sst>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44" fontId="1" fillId="0" borderId="0" applyFont="0" applyFill="0" applyBorder="0" applyAlignment="0" applyProtection="0"/>
  </cellStyleXfs>
  <cellXfs count="35">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4" fontId="0" fillId="0" borderId="0" xfId="6" applyFont="1"/>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7" fillId="2" borderId="0" xfId="0" applyFont="1" applyFill="1" applyAlignment="1">
      <alignment horizontal="center" vertical="center"/>
    </xf>
  </cellXfs>
  <cellStyles count="7">
    <cellStyle name="Comma" xfId="1" builtinId="3"/>
    <cellStyle name="Currency" xfId="6" builtinId="4"/>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0</xdr:row>
      <xdr:rowOff>152400</xdr:rowOff>
    </xdr:from>
    <xdr:to>
      <xdr:col>19</xdr:col>
      <xdr:colOff>304800</xdr:colOff>
      <xdr:row>13</xdr:row>
      <xdr:rowOff>161925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5810250" y="152400"/>
          <a:ext cx="689610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5" dataDxfId="44">
  <autoFilter ref="B2:F5" xr:uid="{E6188FC4-483E-4C27-BFF6-3D5A9BEC7A02}"/>
  <tableColumns count="5">
    <tableColumn id="1" xr3:uid="{B2C6C0FB-6BCC-4A61-B677-3B10161A53EF}" name="Goal Info" dataDxfId="43"/>
    <tableColumn id="2" xr3:uid="{C536957A-8C0E-4218-9336-E98D68589B96}" name="GOAL A" dataDxfId="42"/>
    <tableColumn id="3" xr3:uid="{119B5EE3-3581-4D04-BB55-BCC2E702193C}" name="GOAL B" dataDxfId="41"/>
    <tableColumn id="4" xr3:uid="{6D7BF2C5-D2EB-4CDD-A1E3-639A94B04FB3}" name="GOAL C" dataDxfId="40"/>
    <tableColumn id="5" xr3:uid="{FC141F07-39CA-4E36-BE88-AE8259A28409}"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8" dataDxfId="37">
  <autoFilter ref="B7:F10" xr:uid="{06296D22-18E1-44D3-A59A-E5E6D672089D}"/>
  <tableColumns count="5">
    <tableColumn id="1" xr3:uid="{B3C79FB9-971E-4621-BADB-62E0B6C842D7}" name="Goal Info" dataDxfId="36"/>
    <tableColumn id="2" xr3:uid="{08F0C2B6-02D7-4431-924D-D9E7C41049B7}" name="GOAL A" dataDxfId="35"/>
    <tableColumn id="3" xr3:uid="{7D5C117D-0D45-489D-81E8-DBEB6FE69CF3}" name="GOAL B" dataDxfId="34"/>
    <tableColumn id="4" xr3:uid="{900DE77F-2D16-4E30-8E7F-638FF98F2CDB}" name="GOAL C" dataDxfId="33"/>
    <tableColumn id="5" xr3:uid="{B0C50B12-C738-4419-9074-3A1A9E37C8AC}" name="GOAL D"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workbookViewId="0">
      <selection activeCell="F9" sqref="F9"/>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64</v>
      </c>
    </row>
    <row r="4" spans="2:6" x14ac:dyDescent="0.35">
      <c r="B4" s="2">
        <v>2</v>
      </c>
      <c r="C4" s="2">
        <v>2026</v>
      </c>
      <c r="D4" s="2">
        <f>D3+1</f>
        <v>26</v>
      </c>
      <c r="E4" s="2">
        <f>E3+1</f>
        <v>41</v>
      </c>
      <c r="F4" s="2" t="s">
        <v>64</v>
      </c>
    </row>
    <row r="5" spans="2:6" x14ac:dyDescent="0.35">
      <c r="B5" s="2">
        <v>3</v>
      </c>
      <c r="C5" s="2">
        <v>2027</v>
      </c>
      <c r="D5" s="2">
        <f t="shared" ref="D5:D16" si="0">D4+1</f>
        <v>27</v>
      </c>
      <c r="E5" s="2">
        <f t="shared" ref="E5:E16" si="1">E4+1</f>
        <v>42</v>
      </c>
      <c r="F5" s="2" t="s">
        <v>64</v>
      </c>
    </row>
    <row r="6" spans="2:6" x14ac:dyDescent="0.35">
      <c r="B6" s="2">
        <v>4</v>
      </c>
      <c r="C6" s="2">
        <v>2028</v>
      </c>
      <c r="D6" s="2">
        <f t="shared" si="0"/>
        <v>28</v>
      </c>
      <c r="E6" s="2">
        <f t="shared" si="1"/>
        <v>43</v>
      </c>
      <c r="F6" s="2" t="s">
        <v>64</v>
      </c>
    </row>
    <row r="7" spans="2:6" x14ac:dyDescent="0.35">
      <c r="B7" s="2">
        <v>5</v>
      </c>
      <c r="C7" s="2">
        <v>2029</v>
      </c>
      <c r="D7" s="2">
        <f t="shared" si="0"/>
        <v>29</v>
      </c>
      <c r="E7" s="2">
        <f t="shared" si="1"/>
        <v>44</v>
      </c>
      <c r="F7" s="2" t="s">
        <v>64</v>
      </c>
    </row>
    <row r="8" spans="2:6" x14ac:dyDescent="0.35">
      <c r="B8" s="2">
        <v>6</v>
      </c>
      <c r="C8" s="2">
        <v>2030</v>
      </c>
      <c r="D8" s="2">
        <f t="shared" si="0"/>
        <v>30</v>
      </c>
      <c r="E8" s="2">
        <f t="shared" si="1"/>
        <v>45</v>
      </c>
      <c r="F8" s="2" t="s">
        <v>64</v>
      </c>
    </row>
    <row r="9" spans="2:6" x14ac:dyDescent="0.35">
      <c r="B9" s="2">
        <v>7</v>
      </c>
      <c r="C9" s="2">
        <v>2031</v>
      </c>
      <c r="D9" s="2">
        <f t="shared" si="0"/>
        <v>31</v>
      </c>
      <c r="E9" s="2">
        <f t="shared" si="1"/>
        <v>46</v>
      </c>
      <c r="F9" s="2" t="s">
        <v>64</v>
      </c>
    </row>
    <row r="10" spans="2:6" x14ac:dyDescent="0.35">
      <c r="B10" s="2">
        <v>8</v>
      </c>
      <c r="C10" s="2">
        <v>2032</v>
      </c>
      <c r="D10" s="2">
        <f t="shared" si="0"/>
        <v>32</v>
      </c>
      <c r="E10" s="2">
        <f t="shared" si="1"/>
        <v>47</v>
      </c>
      <c r="F10" s="2" t="s">
        <v>64</v>
      </c>
    </row>
    <row r="11" spans="2:6" x14ac:dyDescent="0.35">
      <c r="B11" s="2">
        <v>9</v>
      </c>
      <c r="C11" s="2">
        <v>2033</v>
      </c>
      <c r="D11" s="2">
        <f t="shared" si="0"/>
        <v>33</v>
      </c>
      <c r="E11" s="2">
        <f t="shared" si="1"/>
        <v>48</v>
      </c>
      <c r="F11" s="2" t="s">
        <v>64</v>
      </c>
    </row>
    <row r="12" spans="2:6" x14ac:dyDescent="0.35">
      <c r="B12" s="2">
        <v>10</v>
      </c>
      <c r="C12" s="2">
        <v>2034</v>
      </c>
      <c r="D12" s="2">
        <f t="shared" si="0"/>
        <v>34</v>
      </c>
      <c r="E12" s="2">
        <f t="shared" si="1"/>
        <v>49</v>
      </c>
      <c r="F12" s="2" t="s">
        <v>64</v>
      </c>
    </row>
    <row r="13" spans="2:6" x14ac:dyDescent="0.35">
      <c r="B13" s="2">
        <v>11</v>
      </c>
      <c r="C13" s="2">
        <v>2035</v>
      </c>
      <c r="D13" s="2">
        <f t="shared" si="0"/>
        <v>35</v>
      </c>
      <c r="E13" s="2">
        <f t="shared" si="1"/>
        <v>50</v>
      </c>
      <c r="F13" s="2" t="s">
        <v>64</v>
      </c>
    </row>
    <row r="14" spans="2:6" x14ac:dyDescent="0.35">
      <c r="B14" s="2">
        <v>12</v>
      </c>
      <c r="C14" s="2">
        <v>2036</v>
      </c>
      <c r="D14" s="2">
        <f t="shared" si="0"/>
        <v>36</v>
      </c>
      <c r="E14" s="2">
        <f t="shared" si="1"/>
        <v>51</v>
      </c>
      <c r="F14" s="2" t="s">
        <v>64</v>
      </c>
    </row>
    <row r="15" spans="2:6" x14ac:dyDescent="0.35">
      <c r="B15" s="2">
        <v>13</v>
      </c>
      <c r="C15" s="2">
        <v>2037</v>
      </c>
      <c r="D15" s="2">
        <f t="shared" si="0"/>
        <v>37</v>
      </c>
      <c r="E15" s="2">
        <f t="shared" si="1"/>
        <v>52</v>
      </c>
      <c r="F15" s="2" t="s">
        <v>64</v>
      </c>
    </row>
    <row r="16" spans="2:6" x14ac:dyDescent="0.35">
      <c r="B16" s="2">
        <v>14</v>
      </c>
      <c r="C16" s="2">
        <v>2038</v>
      </c>
      <c r="D16" s="2">
        <f t="shared" si="0"/>
        <v>38</v>
      </c>
      <c r="E16" s="2">
        <f t="shared" si="1"/>
        <v>53</v>
      </c>
      <c r="F16" s="2" t="s">
        <v>64</v>
      </c>
    </row>
    <row r="17" spans="2:6" x14ac:dyDescent="0.35">
      <c r="B17" s="2">
        <v>15</v>
      </c>
      <c r="C17" s="2">
        <v>2039</v>
      </c>
      <c r="D17" s="2">
        <f>D16+1</f>
        <v>39</v>
      </c>
      <c r="E17" s="2">
        <f>E16+1</f>
        <v>54</v>
      </c>
      <c r="F17" s="2" t="s">
        <v>64</v>
      </c>
    </row>
    <row r="18" spans="2:6" x14ac:dyDescent="0.35">
      <c r="B18" s="2">
        <v>16</v>
      </c>
      <c r="C18" s="2">
        <v>2040</v>
      </c>
      <c r="D18" s="2">
        <f t="shared" ref="D18:D28" si="2">D17+1</f>
        <v>40</v>
      </c>
      <c r="E18" s="2">
        <f t="shared" ref="E18:E28" si="3">E17+1</f>
        <v>55</v>
      </c>
      <c r="F18" s="2" t="s">
        <v>64</v>
      </c>
    </row>
    <row r="19" spans="2:6" x14ac:dyDescent="0.35">
      <c r="B19" s="2">
        <v>17</v>
      </c>
      <c r="C19" s="2">
        <v>2041</v>
      </c>
      <c r="D19" s="2">
        <f t="shared" si="2"/>
        <v>41</v>
      </c>
      <c r="E19" s="2">
        <f t="shared" si="3"/>
        <v>56</v>
      </c>
      <c r="F19" s="2" t="s">
        <v>64</v>
      </c>
    </row>
    <row r="20" spans="2:6" x14ac:dyDescent="0.35">
      <c r="B20" s="2">
        <v>18</v>
      </c>
      <c r="C20" s="2">
        <v>2042</v>
      </c>
      <c r="D20" s="2">
        <f t="shared" si="2"/>
        <v>42</v>
      </c>
      <c r="E20" s="2">
        <f t="shared" si="3"/>
        <v>57</v>
      </c>
      <c r="F20" s="2" t="s">
        <v>64</v>
      </c>
    </row>
    <row r="21" spans="2:6" x14ac:dyDescent="0.35">
      <c r="B21" s="2">
        <v>19</v>
      </c>
      <c r="C21" s="2">
        <v>2043</v>
      </c>
      <c r="D21" s="2">
        <f t="shared" si="2"/>
        <v>43</v>
      </c>
      <c r="E21" s="2">
        <f t="shared" si="3"/>
        <v>58</v>
      </c>
      <c r="F21" s="2" t="s">
        <v>64</v>
      </c>
    </row>
    <row r="22" spans="2:6" x14ac:dyDescent="0.35">
      <c r="B22" s="2">
        <v>20</v>
      </c>
      <c r="C22" s="2">
        <v>2044</v>
      </c>
      <c r="D22" s="2">
        <f t="shared" si="2"/>
        <v>44</v>
      </c>
      <c r="E22" s="2">
        <f t="shared" si="3"/>
        <v>59</v>
      </c>
      <c r="F22" s="2" t="s">
        <v>64</v>
      </c>
    </row>
    <row r="23" spans="2:6" x14ac:dyDescent="0.35">
      <c r="B23" s="2">
        <v>21</v>
      </c>
      <c r="C23" s="2">
        <v>2045</v>
      </c>
      <c r="D23" s="2">
        <f t="shared" si="2"/>
        <v>45</v>
      </c>
      <c r="E23" s="2">
        <f t="shared" si="3"/>
        <v>60</v>
      </c>
      <c r="F23" s="2" t="s">
        <v>64</v>
      </c>
    </row>
    <row r="24" spans="2:6" x14ac:dyDescent="0.35">
      <c r="B24" s="2">
        <v>22</v>
      </c>
      <c r="C24" s="2">
        <v>2046</v>
      </c>
      <c r="D24" s="2">
        <f t="shared" si="2"/>
        <v>46</v>
      </c>
      <c r="E24" s="2">
        <f t="shared" si="3"/>
        <v>61</v>
      </c>
      <c r="F24" s="2" t="s">
        <v>64</v>
      </c>
    </row>
    <row r="25" spans="2:6" x14ac:dyDescent="0.35">
      <c r="B25" s="2">
        <v>23</v>
      </c>
      <c r="C25" s="2">
        <v>2047</v>
      </c>
      <c r="D25" s="2">
        <f t="shared" si="2"/>
        <v>47</v>
      </c>
      <c r="E25" s="2">
        <f t="shared" si="3"/>
        <v>62</v>
      </c>
      <c r="F25" s="2" t="s">
        <v>64</v>
      </c>
    </row>
    <row r="26" spans="2:6" x14ac:dyDescent="0.35">
      <c r="B26" s="2">
        <v>24</v>
      </c>
      <c r="C26" s="2">
        <v>2048</v>
      </c>
      <c r="D26" s="2">
        <f t="shared" si="2"/>
        <v>48</v>
      </c>
      <c r="E26" s="2">
        <f t="shared" si="3"/>
        <v>63</v>
      </c>
      <c r="F26" s="2" t="s">
        <v>64</v>
      </c>
    </row>
    <row r="27" spans="2:6" x14ac:dyDescent="0.35">
      <c r="B27" s="2">
        <v>25</v>
      </c>
      <c r="C27" s="2">
        <v>2049</v>
      </c>
      <c r="D27" s="2">
        <f t="shared" si="2"/>
        <v>49</v>
      </c>
      <c r="E27" s="2">
        <f t="shared" si="3"/>
        <v>64</v>
      </c>
      <c r="F27" s="2" t="s">
        <v>64</v>
      </c>
    </row>
    <row r="28" spans="2:6" x14ac:dyDescent="0.35">
      <c r="B28" s="2">
        <v>26</v>
      </c>
      <c r="C28" s="2">
        <v>2050</v>
      </c>
      <c r="D28" s="2">
        <f t="shared" si="2"/>
        <v>50</v>
      </c>
      <c r="E28" s="2">
        <f t="shared" si="3"/>
        <v>65</v>
      </c>
      <c r="F28" s="2" t="s">
        <v>64</v>
      </c>
    </row>
    <row r="29" spans="2:6" x14ac:dyDescent="0.35">
      <c r="B29" s="2">
        <v>27</v>
      </c>
      <c r="C29" s="2">
        <v>2051</v>
      </c>
      <c r="D29" s="2">
        <f t="shared" ref="D29:D32" si="4">D28+1</f>
        <v>51</v>
      </c>
      <c r="E29" s="2">
        <f t="shared" ref="E29:E32" si="5">E28+1</f>
        <v>66</v>
      </c>
      <c r="F29" s="2" t="s">
        <v>64</v>
      </c>
    </row>
    <row r="30" spans="2:6" x14ac:dyDescent="0.35">
      <c r="B30" s="2">
        <v>28</v>
      </c>
      <c r="C30" s="2">
        <v>2052</v>
      </c>
      <c r="D30" s="2">
        <f t="shared" si="4"/>
        <v>52</v>
      </c>
      <c r="E30" s="2">
        <f t="shared" si="5"/>
        <v>67</v>
      </c>
      <c r="F30" s="2" t="s">
        <v>64</v>
      </c>
    </row>
    <row r="31" spans="2:6" x14ac:dyDescent="0.35">
      <c r="B31" s="2">
        <v>29</v>
      </c>
      <c r="C31" s="2">
        <v>2053</v>
      </c>
      <c r="D31" s="2">
        <f t="shared" si="4"/>
        <v>53</v>
      </c>
      <c r="E31" s="2">
        <f t="shared" si="5"/>
        <v>68</v>
      </c>
      <c r="F31" s="2" t="s">
        <v>64</v>
      </c>
    </row>
    <row r="32" spans="2:6" x14ac:dyDescent="0.35">
      <c r="B32" s="2">
        <v>30</v>
      </c>
      <c r="C32" s="2">
        <v>2054</v>
      </c>
      <c r="D32" s="2">
        <f t="shared" si="4"/>
        <v>54</v>
      </c>
      <c r="E32" s="2">
        <f t="shared" si="5"/>
        <v>69</v>
      </c>
      <c r="F32" s="2" t="s">
        <v>64</v>
      </c>
    </row>
    <row r="33" spans="2:6" x14ac:dyDescent="0.35">
      <c r="B33" s="2">
        <v>31</v>
      </c>
      <c r="C33" s="2">
        <v>2055</v>
      </c>
      <c r="D33" s="2">
        <f t="shared" ref="D33:D43" si="6">D32+1</f>
        <v>55</v>
      </c>
      <c r="E33" s="2">
        <f t="shared" ref="E33:E43" si="7">E32+1</f>
        <v>70</v>
      </c>
      <c r="F33" s="2" t="s">
        <v>64</v>
      </c>
    </row>
    <row r="34" spans="2:6" x14ac:dyDescent="0.35">
      <c r="B34" s="2">
        <v>32</v>
      </c>
      <c r="C34" s="2">
        <v>2056</v>
      </c>
      <c r="D34" s="2">
        <f t="shared" si="6"/>
        <v>56</v>
      </c>
      <c r="E34" s="2">
        <f t="shared" si="7"/>
        <v>71</v>
      </c>
      <c r="F34" s="2" t="s">
        <v>64</v>
      </c>
    </row>
    <row r="35" spans="2:6" x14ac:dyDescent="0.35">
      <c r="B35" s="2">
        <v>33</v>
      </c>
      <c r="C35" s="2">
        <v>2057</v>
      </c>
      <c r="D35" s="2">
        <f t="shared" si="6"/>
        <v>57</v>
      </c>
      <c r="E35" s="2">
        <f t="shared" si="7"/>
        <v>72</v>
      </c>
      <c r="F35" s="2" t="s">
        <v>64</v>
      </c>
    </row>
    <row r="36" spans="2:6" x14ac:dyDescent="0.35">
      <c r="B36" s="2">
        <v>34</v>
      </c>
      <c r="C36" s="2">
        <v>2058</v>
      </c>
      <c r="D36" s="2">
        <f t="shared" si="6"/>
        <v>58</v>
      </c>
      <c r="E36" s="2">
        <f t="shared" si="7"/>
        <v>73</v>
      </c>
      <c r="F36" s="2" t="s">
        <v>64</v>
      </c>
    </row>
    <row r="37" spans="2:6" x14ac:dyDescent="0.35">
      <c r="B37" s="2">
        <v>35</v>
      </c>
      <c r="C37" s="2">
        <v>2059</v>
      </c>
      <c r="D37" s="2">
        <f t="shared" si="6"/>
        <v>59</v>
      </c>
      <c r="E37" s="2">
        <f t="shared" si="7"/>
        <v>74</v>
      </c>
      <c r="F37" s="2" t="s">
        <v>64</v>
      </c>
    </row>
    <row r="38" spans="2:6" x14ac:dyDescent="0.35">
      <c r="B38" s="2">
        <v>36</v>
      </c>
      <c r="C38" s="2">
        <v>2060</v>
      </c>
      <c r="D38" s="2">
        <f t="shared" si="6"/>
        <v>60</v>
      </c>
      <c r="E38" s="2">
        <f t="shared" si="7"/>
        <v>75</v>
      </c>
      <c r="F38" s="2" t="s">
        <v>64</v>
      </c>
    </row>
    <row r="39" spans="2:6" x14ac:dyDescent="0.35">
      <c r="B39" s="2">
        <v>37</v>
      </c>
      <c r="C39" s="2">
        <v>2061</v>
      </c>
      <c r="D39" s="2">
        <f t="shared" si="6"/>
        <v>61</v>
      </c>
      <c r="E39" s="2">
        <f t="shared" si="7"/>
        <v>76</v>
      </c>
      <c r="F39" s="2" t="s">
        <v>64</v>
      </c>
    </row>
    <row r="40" spans="2:6" x14ac:dyDescent="0.35">
      <c r="B40" s="2">
        <v>38</v>
      </c>
      <c r="C40" s="2">
        <v>2062</v>
      </c>
      <c r="D40" s="2">
        <f t="shared" si="6"/>
        <v>62</v>
      </c>
      <c r="E40" s="2">
        <f t="shared" si="7"/>
        <v>77</v>
      </c>
      <c r="F40" s="2" t="s">
        <v>64</v>
      </c>
    </row>
    <row r="41" spans="2:6" x14ac:dyDescent="0.35">
      <c r="B41" s="2">
        <v>39</v>
      </c>
      <c r="C41" s="2">
        <v>2063</v>
      </c>
      <c r="D41" s="2">
        <f t="shared" si="6"/>
        <v>63</v>
      </c>
      <c r="E41" s="2">
        <f t="shared" si="7"/>
        <v>78</v>
      </c>
      <c r="F41" s="2" t="s">
        <v>64</v>
      </c>
    </row>
    <row r="42" spans="2:6" x14ac:dyDescent="0.35">
      <c r="B42" s="2">
        <v>40</v>
      </c>
      <c r="C42" s="2">
        <v>2064</v>
      </c>
      <c r="D42" s="2">
        <f t="shared" si="6"/>
        <v>64</v>
      </c>
      <c r="E42" s="2">
        <f t="shared" si="7"/>
        <v>79</v>
      </c>
      <c r="F42" s="2" t="s">
        <v>64</v>
      </c>
    </row>
    <row r="43" spans="2:6" x14ac:dyDescent="0.35">
      <c r="B43" s="2">
        <v>41</v>
      </c>
      <c r="C43" s="2">
        <v>2065</v>
      </c>
      <c r="D43" s="2">
        <f t="shared" si="6"/>
        <v>65</v>
      </c>
      <c r="E43" s="2">
        <f t="shared" si="7"/>
        <v>80</v>
      </c>
      <c r="F43" s="2" t="s">
        <v>64</v>
      </c>
    </row>
    <row r="44" spans="2:6" x14ac:dyDescent="0.35">
      <c r="B44" s="2">
        <v>42</v>
      </c>
      <c r="C44" s="2">
        <v>2066</v>
      </c>
      <c r="D44" s="2">
        <f t="shared" ref="D44:D53" si="8">D43+1</f>
        <v>66</v>
      </c>
      <c r="E44" s="2">
        <f t="shared" ref="E44:E53" si="9">E43+1</f>
        <v>81</v>
      </c>
      <c r="F44" s="2" t="s">
        <v>64</v>
      </c>
    </row>
    <row r="45" spans="2:6" x14ac:dyDescent="0.35">
      <c r="B45" s="2">
        <v>43</v>
      </c>
      <c r="C45" s="2">
        <v>2067</v>
      </c>
      <c r="D45" s="2">
        <f t="shared" si="8"/>
        <v>67</v>
      </c>
      <c r="E45" s="2">
        <f t="shared" si="9"/>
        <v>82</v>
      </c>
      <c r="F45" s="2" t="s">
        <v>64</v>
      </c>
    </row>
    <row r="46" spans="2:6" x14ac:dyDescent="0.35">
      <c r="B46" s="2">
        <v>44</v>
      </c>
      <c r="C46" s="2">
        <v>2068</v>
      </c>
      <c r="D46" s="2">
        <f t="shared" si="8"/>
        <v>68</v>
      </c>
      <c r="E46" s="2">
        <f t="shared" si="9"/>
        <v>83</v>
      </c>
      <c r="F46" s="2" t="s">
        <v>64</v>
      </c>
    </row>
    <row r="47" spans="2:6" x14ac:dyDescent="0.35">
      <c r="B47" s="2">
        <v>45</v>
      </c>
      <c r="C47" s="2">
        <v>2069</v>
      </c>
      <c r="D47" s="2">
        <f t="shared" si="8"/>
        <v>69</v>
      </c>
      <c r="E47" s="2">
        <f t="shared" si="9"/>
        <v>84</v>
      </c>
      <c r="F47" s="2" t="s">
        <v>64</v>
      </c>
    </row>
    <row r="48" spans="2:6" x14ac:dyDescent="0.35">
      <c r="B48" s="2">
        <v>46</v>
      </c>
      <c r="C48" s="2">
        <v>2070</v>
      </c>
      <c r="D48" s="2">
        <f t="shared" si="8"/>
        <v>70</v>
      </c>
      <c r="E48" s="2">
        <f t="shared" si="9"/>
        <v>85</v>
      </c>
      <c r="F48" s="2" t="s">
        <v>64</v>
      </c>
    </row>
    <row r="49" spans="2:6" x14ac:dyDescent="0.35">
      <c r="B49" s="2">
        <v>47</v>
      </c>
      <c r="C49" s="2">
        <v>2071</v>
      </c>
      <c r="D49" s="2">
        <f t="shared" si="8"/>
        <v>71</v>
      </c>
      <c r="E49" s="2">
        <f t="shared" si="9"/>
        <v>86</v>
      </c>
      <c r="F49" s="2" t="s">
        <v>64</v>
      </c>
    </row>
    <row r="50" spans="2:6" x14ac:dyDescent="0.35">
      <c r="B50" s="2">
        <v>48</v>
      </c>
      <c r="C50" s="2">
        <v>2072</v>
      </c>
      <c r="D50" s="2">
        <f t="shared" si="8"/>
        <v>72</v>
      </c>
      <c r="E50" s="2">
        <f t="shared" si="9"/>
        <v>87</v>
      </c>
      <c r="F50" s="2" t="s">
        <v>64</v>
      </c>
    </row>
    <row r="51" spans="2:6" x14ac:dyDescent="0.35">
      <c r="B51" s="2">
        <v>49</v>
      </c>
      <c r="C51" s="2">
        <v>2073</v>
      </c>
      <c r="D51" s="2">
        <f t="shared" si="8"/>
        <v>73</v>
      </c>
      <c r="E51" s="2">
        <f t="shared" si="9"/>
        <v>88</v>
      </c>
      <c r="F51" s="2" t="s">
        <v>64</v>
      </c>
    </row>
    <row r="52" spans="2:6" x14ac:dyDescent="0.35">
      <c r="B52" s="2">
        <v>50</v>
      </c>
      <c r="C52" s="2">
        <v>2074</v>
      </c>
      <c r="D52" s="2">
        <f t="shared" si="8"/>
        <v>74</v>
      </c>
      <c r="E52" s="2">
        <f t="shared" si="9"/>
        <v>89</v>
      </c>
      <c r="F52" s="2" t="s">
        <v>64</v>
      </c>
    </row>
    <row r="53" spans="2:6" x14ac:dyDescent="0.35">
      <c r="B53" s="2">
        <v>51</v>
      </c>
      <c r="C53" s="2">
        <v>2075</v>
      </c>
      <c r="D53" s="2">
        <f t="shared" si="8"/>
        <v>75</v>
      </c>
      <c r="E53" s="2">
        <f t="shared" si="9"/>
        <v>90</v>
      </c>
      <c r="F53" s="2" t="s">
        <v>0</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Y3"/>
  <sheetViews>
    <sheetView workbookViewId="0">
      <selection activeCell="C6" sqref="C6"/>
    </sheetView>
  </sheetViews>
  <sheetFormatPr defaultRowHeight="14.5" x14ac:dyDescent="0.35"/>
  <sheetData>
    <row r="1" spans="1:51" x14ac:dyDescent="0.3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row>
    <row r="3" spans="1:51" x14ac:dyDescent="0.3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Y3"/>
  <sheetViews>
    <sheetView workbookViewId="0">
      <selection activeCell="I14" sqref="I14"/>
    </sheetView>
  </sheetViews>
  <sheetFormatPr defaultRowHeight="14.5" x14ac:dyDescent="0.35"/>
  <cols>
    <col min="2" max="2" width="10.26953125" bestFit="1" customWidth="1"/>
    <col min="3" max="12" width="11.26953125" bestFit="1" customWidth="1"/>
    <col min="13" max="15" width="12.7265625" bestFit="1" customWidth="1"/>
    <col min="16" max="51" width="12.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row>
    <row r="3" spans="1:51" x14ac:dyDescent="0.3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7845-66C9-4B62-8816-3970D572CDFE}">
  <dimension ref="A1:AY7"/>
  <sheetViews>
    <sheetView topLeftCell="F1" workbookViewId="0">
      <selection activeCell="B1" sqref="B1:AY1"/>
    </sheetView>
  </sheetViews>
  <sheetFormatPr defaultRowHeight="14.5" x14ac:dyDescent="0.35"/>
  <cols>
    <col min="1" max="1" width="13.453125" bestFit="1" customWidth="1"/>
    <col min="2" max="2" width="8.81640625" bestFit="1" customWidth="1"/>
    <col min="3" max="9" width="11.1796875" bestFit="1" customWidth="1"/>
    <col min="10" max="51" width="8.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c r="B2" s="31">
        <f>'GBI Allocations P1'!B2*Salary!B$2</f>
        <v>0</v>
      </c>
      <c r="C2" s="31">
        <f>'GBI Allocations P1'!C2*Salary!C$2</f>
        <v>19636.659600000003</v>
      </c>
      <c r="D2" s="31">
        <f>'GBI Allocations P1'!D2*Salary!D$2</f>
        <v>51044.785920000002</v>
      </c>
      <c r="E2" s="31">
        <f>'GBI Allocations P1'!E2*Salary!E$2</f>
        <v>926.62237940400007</v>
      </c>
      <c r="F2" s="31">
        <f>'GBI Allocations P1'!F2*Salary!F$2</f>
        <v>55944.678605182191</v>
      </c>
      <c r="G2" s="31">
        <f>'GBI Allocations P1'!G2*Salary!G$2</f>
        <v>59351.909228213633</v>
      </c>
      <c r="H2" s="31">
        <f>'GBI Allocations P1'!H2*Salary!H$2</f>
        <v>59100.184403215499</v>
      </c>
      <c r="I2" s="31">
        <f>'GBI Allocations P1'!I2*Salary!I$2</f>
        <v>64541.487727393433</v>
      </c>
      <c r="J2" s="31">
        <f>'GBI Allocations P1'!J2*Salary!J$2</f>
        <v>286.32607293411718</v>
      </c>
      <c r="K2" s="31">
        <f>'GBI Allocations P1'!K2*Salary!K$2</f>
        <v>67415.542045212409</v>
      </c>
      <c r="L2" s="31">
        <f>'GBI Allocations P1'!L2*Salary!L$2</f>
        <v>945.7868302860154</v>
      </c>
      <c r="M2" s="31">
        <f>'GBI Allocations P1'!M2*Salary!M$2</f>
        <v>4029.4691559141402</v>
      </c>
      <c r="N2" s="31">
        <f>'GBI Allocations P1'!N2*Salary!N$2</f>
        <v>75906.553293103207</v>
      </c>
      <c r="O2" s="31">
        <f>'GBI Allocations P1'!O2*Salary!O$2</f>
        <v>905.56143847513738</v>
      </c>
      <c r="P2" s="31">
        <f>'GBI Allocations P1'!P2*Salary!P$2</f>
        <v>334.03405408795936</v>
      </c>
      <c r="Q2" s="31">
        <f>'GBI Allocations P1'!Q2*Salary!Q$2</f>
        <v>84387.261679994102</v>
      </c>
      <c r="R2" s="31">
        <f>'GBI Allocations P1'!R2*Salary!R$2</f>
        <v>347.73660817815335</v>
      </c>
      <c r="S2" s="31">
        <f>'GBI Allocations P1'!S2*Salary!S$2</f>
        <v>86389.632181424502</v>
      </c>
      <c r="T2" s="31">
        <f>'GBI Allocations P1'!T2*Salary!T$2</f>
        <v>764.02547631315065</v>
      </c>
      <c r="U2" s="31">
        <f>'GBI Allocations P1'!U2*Salary!U$2</f>
        <v>42110.628458207</v>
      </c>
      <c r="V2" s="31">
        <f>'GBI Allocations P1'!V2*Salary!V$2</f>
        <v>917.73103017286405</v>
      </c>
      <c r="W2" s="31">
        <f>'GBI Allocations P1'!W2*Salary!W$2</f>
        <v>2358.4667774297973</v>
      </c>
      <c r="X2" s="31">
        <f>'GBI Allocations P1'!X2*Salary!X$2</f>
        <v>384.87294092817257</v>
      </c>
      <c r="Y2" s="31">
        <f>'GBI Allocations P1'!Y2*Salary!Y$2</f>
        <v>28530.631111005434</v>
      </c>
      <c r="Z2" s="31">
        <f>'GBI Allocations P1'!Z2*Salary!Z$2</f>
        <v>10810.349652084602</v>
      </c>
      <c r="AA2" s="31">
        <f>'GBI Allocations P1'!AA2*Salary!AA$2</f>
        <v>114873.43425927612</v>
      </c>
      <c r="AB2" s="31">
        <f>'GBI Allocations P1'!AB2*Salary!AB$2</f>
        <v>15988.290228741082</v>
      </c>
      <c r="AC2" s="31">
        <f>'GBI Allocations P1'!AC2*Salary!AC$2</f>
        <v>204.25516609187832</v>
      </c>
      <c r="AD2" s="31">
        <f>'GBI Allocations P1'!AD2*Salary!AD$2</f>
        <v>13021.026538161837</v>
      </c>
      <c r="AE2" s="31">
        <f>'GBI Allocations P1'!AE2*Salary!AE$2</f>
        <v>20112.935316509611</v>
      </c>
      <c r="AF2" s="31">
        <f>'GBI Allocations P1'!AF2*Salary!AF$2</f>
        <v>321.85599111001966</v>
      </c>
      <c r="AG2" s="31">
        <f>'GBI Allocations P1'!AG2*Salary!AG$2</f>
        <v>2087.978846943347</v>
      </c>
      <c r="AH2" s="31">
        <f>'GBI Allocations P1'!AH2*Salary!AH$2</f>
        <v>20810.772641678221</v>
      </c>
      <c r="AI2" s="31">
        <f>'GBI Allocations P1'!AI2*Salary!AI$2</f>
        <v>16083.014650587253</v>
      </c>
      <c r="AJ2" s="31">
        <f>'GBI Allocations P1'!AJ2*Salary!AJ$2</f>
        <v>16269.60823055402</v>
      </c>
      <c r="AK2" s="31">
        <f>'GBI Allocations P1'!AK2*Salary!AK$2</f>
        <v>7455.0359234113448</v>
      </c>
      <c r="AL2" s="31">
        <f>'GBI Allocations P1'!AL2*Salary!AL$2</f>
        <v>11524.470715949916</v>
      </c>
      <c r="AM2" s="31">
        <f>'GBI Allocations P1'!AM2*Salary!AM$2</f>
        <v>525.09994389967267</v>
      </c>
      <c r="AN2" s="31">
        <f>'GBI Allocations P1'!AN2*Salary!AN$2</f>
        <v>545.08291398696576</v>
      </c>
      <c r="AO2" s="31">
        <f>'GBI Allocations P1'!AO2*Salary!AO$2</f>
        <v>1800.3941329282998</v>
      </c>
      <c r="AP2" s="31">
        <f>'GBI Allocations P1'!AP2*Salary!AP$2</f>
        <v>2073.8754896491441</v>
      </c>
      <c r="AQ2" s="31">
        <f>'GBI Allocations P1'!AQ2*Salary!AQ$2</f>
        <v>1244.6258554546528</v>
      </c>
      <c r="AR2" s="31">
        <f>'GBI Allocations P1'!AR2*Salary!AR$2</f>
        <v>9382.0504118735389</v>
      </c>
      <c r="AS2" s="31">
        <f>'GBI Allocations P1'!AS2*Salary!AS$2</f>
        <v>6162.4127852368065</v>
      </c>
      <c r="AT2" s="31">
        <f>'GBI Allocations P1'!AT2*Salary!AT$2</f>
        <v>2361.3808388855914</v>
      </c>
      <c r="AU2" s="31">
        <f>'GBI Allocations P1'!AU2*Salary!AU$2</f>
        <v>1105.626657676896</v>
      </c>
      <c r="AV2" s="31">
        <f>'GBI Allocations P1'!AV2*Salary!AV$2</f>
        <v>0</v>
      </c>
      <c r="AW2" s="31">
        <f>'GBI Allocations P1'!AW2*Salary!AW$2</f>
        <v>0</v>
      </c>
      <c r="AX2" s="31">
        <f>'GBI Allocations P1'!AX2*Salary!AX$2</f>
        <v>0</v>
      </c>
      <c r="AY2" s="31">
        <f>'GBI Allocations P1'!AY2*Salary!AY$2</f>
        <v>0</v>
      </c>
    </row>
    <row r="3" spans="1:51" x14ac:dyDescent="0.35">
      <c r="A3" t="s">
        <v>164</v>
      </c>
      <c r="B3" s="31">
        <f>'GBI Allocations P1'!B3*Salary!B$2</f>
        <v>0</v>
      </c>
      <c r="C3" s="31">
        <f>'GBI Allocations P1'!C3*Salary!C$2</f>
        <v>1237.1622000000002</v>
      </c>
      <c r="D3" s="31">
        <f>'GBI Allocations P1'!D3*Salary!D$2</f>
        <v>579.57100679999996</v>
      </c>
      <c r="E3" s="31">
        <f>'GBI Allocations P1'!E3*Salary!E$2</f>
        <v>54411.030036467993</v>
      </c>
      <c r="F3" s="31">
        <f>'GBI Allocations P1'!F3*Salary!F$2</f>
        <v>918.00538148088003</v>
      </c>
      <c r="G3" s="31">
        <f>'GBI Allocations P1'!G3*Salary!G$2</f>
        <v>186.64122398809317</v>
      </c>
      <c r="H3" s="31">
        <f>'GBI Allocations P1'!H3*Salary!H$2</f>
        <v>152.02228728062431</v>
      </c>
      <c r="I3" s="31">
        <f>'GBI Allocations P1'!I3*Salary!I$2</f>
        <v>242.99242398934985</v>
      </c>
      <c r="J3" s="31">
        <f>'GBI Allocations P1'!J3*Salary!J$2</f>
        <v>1186.2080164413426</v>
      </c>
      <c r="K3" s="31">
        <f>'GBI Allocations P1'!K3*Salary!K$2</f>
        <v>151.48012715704962</v>
      </c>
      <c r="L3" s="31">
        <f>'GBI Allocations P1'!L3*Salary!L$2</f>
        <v>2427.0559100722012</v>
      </c>
      <c r="M3" s="31">
        <f>'GBI Allocations P1'!M3*Salary!M$2</f>
        <v>1096.1391190417776</v>
      </c>
      <c r="N3" s="31">
        <f>'GBI Allocations P1'!N3*Salary!N$2</f>
        <v>584.73618498179337</v>
      </c>
      <c r="O3" s="31">
        <f>'GBI Allocations P1'!O3*Salary!O$2</f>
        <v>75799.429624014534</v>
      </c>
      <c r="P3" s="31">
        <f>'GBI Allocations P1'!P3*Salary!P$2</f>
        <v>334.03405408795936</v>
      </c>
      <c r="Q3" s="31">
        <f>'GBI Allocations P1'!Q3*Salary!Q$2</f>
        <v>679.75930006899728</v>
      </c>
      <c r="R3" s="31">
        <f>'GBI Allocations P1'!R3*Salary!R$2</f>
        <v>722.22218621616469</v>
      </c>
      <c r="S3" s="31">
        <f>'GBI Allocations P1'!S3*Salary!S$2</f>
        <v>342.20848774044936</v>
      </c>
      <c r="T3" s="31">
        <f>'GBI Allocations P1'!T3*Salary!T$2</f>
        <v>491.15923477273975</v>
      </c>
      <c r="U3" s="31">
        <f>'GBI Allocations P1'!U3*Salary!U$2</f>
        <v>37577.501587496146</v>
      </c>
      <c r="V3" s="31">
        <f>'GBI Allocations P1'!V3*Salary!V$2</f>
        <v>98421.554480316467</v>
      </c>
      <c r="W3" s="31">
        <f>'GBI Allocations P1'!W3*Salary!W$2</f>
        <v>96048.302036289475</v>
      </c>
      <c r="X3" s="31">
        <f>'GBI Allocations P1'!X3*Salary!X$2</f>
        <v>98797.924133399545</v>
      </c>
      <c r="Y3" s="31">
        <f>'GBI Allocations P1'!Y3*Salary!Y$2</f>
        <v>1270.0807050629696</v>
      </c>
      <c r="Z3" s="31">
        <f>'GBI Allocations P1'!Z3*Salary!Z$2</f>
        <v>2810.4576765397942</v>
      </c>
      <c r="AA3" s="31">
        <f>'GBI Allocations P1'!AA3*Salary!AA$2</f>
        <v>106.00439950102378</v>
      </c>
      <c r="AB3" s="31">
        <f>'GBI Allocations P1'!AB3*Salary!AB$2</f>
        <v>7244.6940098983023</v>
      </c>
      <c r="AC3" s="31">
        <f>'GBI Allocations P1'!AC3*Salary!AC$2</f>
        <v>2571.212090803645</v>
      </c>
      <c r="AD3" s="31">
        <f>'GBI Allocations P1'!AD3*Salary!AD$2</f>
        <v>16710.115137976558</v>
      </c>
      <c r="AE3" s="31">
        <f>'GBI Allocations P1'!AE3*Salary!AE$2</f>
        <v>10589.625907047108</v>
      </c>
      <c r="AF3" s="31">
        <f>'GBI Allocations P1'!AF3*Salary!AF$2</f>
        <v>31603.782511687707</v>
      </c>
      <c r="AG3" s="31">
        <f>'GBI Allocations P1'!AG3*Salary!AG$2</f>
        <v>10252.351224512242</v>
      </c>
      <c r="AH3" s="31">
        <f>'GBI Allocations P1'!AH3*Salary!AH$2</f>
        <v>6730.6685788922878</v>
      </c>
      <c r="AI3" s="31">
        <f>'GBI Allocations P1'!AI3*Salary!AI$2</f>
        <v>13340.867029749619</v>
      </c>
      <c r="AJ3" s="31">
        <f>'GBI Allocations P1'!AJ3*Salary!AJ$2</f>
        <v>7935.1375059550883</v>
      </c>
      <c r="AK3" s="31">
        <f>'GBI Allocations P1'!AK3*Salary!AK$2</f>
        <v>8743.0787792886968</v>
      </c>
      <c r="AL3" s="31">
        <f>'GBI Allocations P1'!AL3*Salary!AL$2</f>
        <v>9141.5914325768099</v>
      </c>
      <c r="AM3" s="31">
        <f>'GBI Allocations P1'!AM3*Salary!AM$2</f>
        <v>7409.7436528064918</v>
      </c>
      <c r="AN3" s="31">
        <f>'GBI Allocations P1'!AN3*Salary!AN$2</f>
        <v>309.37138361422382</v>
      </c>
      <c r="AO3" s="31">
        <f>'GBI Allocations P1'!AO3*Salary!AO$2</f>
        <v>2469.96219889337</v>
      </c>
      <c r="AP3" s="31">
        <f>'GBI Allocations P1'!AP3*Salary!AP$2</f>
        <v>991.85349504959072</v>
      </c>
      <c r="AQ3" s="31">
        <f>'GBI Allocations P1'!AQ3*Salary!AQ$2</f>
        <v>865.16675318189289</v>
      </c>
      <c r="AR3" s="31">
        <f>'GBI Allocations P1'!AR3*Salary!AR$2</f>
        <v>9964.5960256826802</v>
      </c>
      <c r="AS3" s="31">
        <f>'GBI Allocations P1'!AS3*Salary!AS$2</f>
        <v>541.92072231981956</v>
      </c>
      <c r="AT3" s="31">
        <f>'GBI Allocations P1'!AT3*Salary!AT$2</f>
        <v>4488.1874222527458</v>
      </c>
      <c r="AU3" s="31">
        <f>'GBI Allocations P1'!AU3*Salary!AU$2</f>
        <v>521.22399576196528</v>
      </c>
      <c r="AV3" s="31">
        <f>'GBI Allocations P1'!AV3*Salary!AV$2</f>
        <v>0</v>
      </c>
      <c r="AW3" s="31">
        <f>'GBI Allocations P1'!AW3*Salary!AW$2</f>
        <v>0</v>
      </c>
      <c r="AX3" s="31">
        <f>'GBI Allocations P1'!AX3*Salary!AX$2</f>
        <v>0</v>
      </c>
      <c r="AY3" s="31">
        <f>'GBI Allocations P1'!AY3*Salary!AY$2</f>
        <v>0</v>
      </c>
    </row>
    <row r="4" spans="1:51" x14ac:dyDescent="0.35">
      <c r="A4" t="s">
        <v>165</v>
      </c>
      <c r="B4" s="31">
        <f>'GBI Allocations P1'!B4*Salary!B$2</f>
        <v>0</v>
      </c>
      <c r="C4" s="31">
        <f>'GBI Allocations P1'!C4*Salary!C$2</f>
        <v>1026.5814</v>
      </c>
      <c r="D4" s="31">
        <f>'GBI Allocations P1'!D4*Salary!D$2</f>
        <v>377.5187292</v>
      </c>
      <c r="E4" s="31">
        <f>'GBI Allocations P1'!E4*Salary!E$2</f>
        <v>1623.0646773000001</v>
      </c>
      <c r="F4" s="31">
        <f>'GBI Allocations P1'!F4*Salary!F$2</f>
        <v>1019.34363787812</v>
      </c>
      <c r="G4" s="31">
        <f>'GBI Allocations P1'!G4*Salary!G$2</f>
        <v>102.3516389612124</v>
      </c>
      <c r="H4" s="31">
        <f>'GBI Allocations P1'!H4*Salary!H$2</f>
        <v>553.36112570147247</v>
      </c>
      <c r="I4" s="31">
        <f>'GBI Allocations P1'!I4*Salary!I$2</f>
        <v>431.98653153662201</v>
      </c>
      <c r="J4" s="31">
        <f>'GBI Allocations P1'!J4*Salary!J$2</f>
        <v>65132.364305060859</v>
      </c>
      <c r="K4" s="31">
        <f>'GBI Allocations P1'!K4*Salary!K$2</f>
        <v>688.5460325320438</v>
      </c>
      <c r="L4" s="31">
        <f>'GBI Allocations P1'!L4*Salary!L$2</f>
        <v>980.55840492888353</v>
      </c>
      <c r="M4" s="31">
        <f>'GBI Allocations P1'!M4*Salary!M$2</f>
        <v>416.84163681870416</v>
      </c>
      <c r="N4" s="31">
        <f>'GBI Allocations P1'!N4*Salary!N$2</f>
        <v>389.8241233211956</v>
      </c>
      <c r="O4" s="31">
        <f>'GBI Allocations P1'!O4*Salary!O$2</f>
        <v>70.870025619793353</v>
      </c>
      <c r="P4" s="31">
        <f>'GBI Allocations P1'!P4*Salary!P$2</f>
        <v>77010.755850802627</v>
      </c>
      <c r="Q4" s="31">
        <f>'GBI Allocations P1'!Q4*Salary!Q$2</f>
        <v>679.75930006899728</v>
      </c>
      <c r="R4" s="31">
        <f>'GBI Allocations P1'!R4*Salary!R$2</f>
        <v>811.38541908235777</v>
      </c>
      <c r="S4" s="31">
        <f>'GBI Allocations P1'!S4*Salary!S$2</f>
        <v>747.45538111729729</v>
      </c>
      <c r="T4" s="31">
        <f>'GBI Allocations P1'!T4*Salary!T$2</f>
        <v>118.24203800084474</v>
      </c>
      <c r="U4" s="31">
        <f>'GBI Allocations P1'!U4*Salary!U$2</f>
        <v>1130.7577049434631</v>
      </c>
      <c r="V4" s="31">
        <f>'GBI Allocations P1'!V4*Salary!V$2</f>
        <v>673.00275546010027</v>
      </c>
      <c r="W4" s="31">
        <f>'GBI Allocations P1'!W4*Salary!W$2</f>
        <v>1235.8777872994572</v>
      </c>
      <c r="X4" s="31">
        <f>'GBI Allocations P1'!X4*Salary!X$2</f>
        <v>1643.5114774770614</v>
      </c>
      <c r="Y4" s="31">
        <f>'GBI Allocations P1'!Y4*Salary!Y$2</f>
        <v>5230.4232672138651</v>
      </c>
      <c r="Z4" s="31">
        <f>'GBI Allocations P1'!Z4*Salary!Z$2</f>
        <v>29422.343227841917</v>
      </c>
      <c r="AA4" s="31">
        <f>'GBI Allocations P1'!AA4*Salary!AA$2</f>
        <v>294.45666528062162</v>
      </c>
      <c r="AB4" s="31">
        <f>'GBI Allocations P1'!AB4*Salary!AB$2</f>
        <v>11455.895454075644</v>
      </c>
      <c r="AC4" s="31">
        <f>'GBI Allocations P1'!AC4*Salary!AC$2</f>
        <v>11270.079164363638</v>
      </c>
      <c r="AD4" s="31">
        <f>'GBI Allocations P1'!AD4*Salary!AD$2</f>
        <v>8154.8274311693876</v>
      </c>
      <c r="AE4" s="31">
        <f>'GBI Allocations P1'!AE4*Salary!AE$2</f>
        <v>13739.549353934963</v>
      </c>
      <c r="AF4" s="31">
        <f>'GBI Allocations P1'!AF4*Salary!AF$2</f>
        <v>27778.647848110933</v>
      </c>
      <c r="AG4" s="31">
        <f>'GBI Allocations P1'!AG4*Salary!AG$2</f>
        <v>7101.6286530767729</v>
      </c>
      <c r="AH4" s="31">
        <f>'GBI Allocations P1'!AH4*Salary!AH$2</f>
        <v>24649.653031890703</v>
      </c>
      <c r="AI4" s="31">
        <f>'GBI Allocations P1'!AI4*Salary!AI$2</f>
        <v>19603.166945243942</v>
      </c>
      <c r="AJ4" s="31">
        <f>'GBI Allocations P1'!AJ4*Salary!AJ$2</f>
        <v>9725.6961314871623</v>
      </c>
      <c r="AK4" s="31">
        <f>'GBI Allocations P1'!AK4*Salary!AK$2</f>
        <v>6479.2458810800172</v>
      </c>
      <c r="AL4" s="31">
        <f>'GBI Allocations P1'!AL4*Salary!AL$2</f>
        <v>8188.4397192275701</v>
      </c>
      <c r="AM4" s="31">
        <f>'GBI Allocations P1'!AM4*Salary!AM$2</f>
        <v>3398.5635257951039</v>
      </c>
      <c r="AN4" s="31">
        <f>'GBI Allocations P1'!AN4*Salary!AN$2</f>
        <v>250.44350102103834</v>
      </c>
      <c r="AO4" s="31">
        <f>'GBI Allocations P1'!AO4*Salary!AO$2</f>
        <v>3511.5125237279235</v>
      </c>
      <c r="AP4" s="31">
        <f>'GBI Allocations P1'!AP4*Salary!AP$2</f>
        <v>3125.8413177320431</v>
      </c>
      <c r="AQ4" s="31">
        <f>'GBI Allocations P1'!AQ4*Salary!AQ$2</f>
        <v>3263.3482795457362</v>
      </c>
      <c r="AR4" s="31">
        <f>'GBI Allocations P1'!AR4*Salary!AR$2</f>
        <v>5242.9105242822716</v>
      </c>
      <c r="AS4" s="31">
        <f>'GBI Allocations P1'!AS4*Salary!AS$2</f>
        <v>4010.213345166665</v>
      </c>
      <c r="AT4" s="31">
        <f>'GBI Allocations P1'!AT4*Salary!AT$2</f>
        <v>1970.4237463548643</v>
      </c>
      <c r="AU4" s="31">
        <f>'GBI Allocations P1'!AU4*Salary!AU$2</f>
        <v>3948.666634560343</v>
      </c>
      <c r="AV4" s="31">
        <f>'GBI Allocations P1'!AV4*Salary!AV$2</f>
        <v>0</v>
      </c>
      <c r="AW4" s="31">
        <f>'GBI Allocations P1'!AW4*Salary!AW$2</f>
        <v>0</v>
      </c>
      <c r="AX4" s="31">
        <f>'GBI Allocations P1'!AX4*Salary!AX$2</f>
        <v>0</v>
      </c>
      <c r="AY4" s="31">
        <f>'GBI Allocations P1'!AY4*Salary!AY$2</f>
        <v>0</v>
      </c>
    </row>
    <row r="5" spans="1:51" x14ac:dyDescent="0.35">
      <c r="A5" t="s">
        <v>166</v>
      </c>
      <c r="B5" s="31">
        <f>'GBI Allocations P1'!B5*Salary!B$2</f>
        <v>0</v>
      </c>
      <c r="C5" s="31">
        <f>'GBI Allocations P1'!C5*Salary!C$2</f>
        <v>279.01956000000001</v>
      </c>
      <c r="D5" s="31">
        <f>'GBI Allocations P1'!D5*Salary!D$2</f>
        <v>510.44785919999998</v>
      </c>
      <c r="E5" s="31">
        <f>'GBI Allocations P1'!E5*Salary!E$2</f>
        <v>182.96365453199999</v>
      </c>
      <c r="F5" s="31">
        <f>'GBI Allocations P1'!F5*Salary!F$2</f>
        <v>482.84698636332007</v>
      </c>
      <c r="G5" s="31">
        <f>'GBI Allocations P1'!G5*Salary!G$2</f>
        <v>144.49643147465278</v>
      </c>
      <c r="H5" s="31">
        <f>'GBI Allocations P1'!H5*Salary!H$2</f>
        <v>97.294263859599553</v>
      </c>
      <c r="I5" s="31">
        <f>'GBI Allocations P1'!I5*Salary!I$2</f>
        <v>593.98148086285528</v>
      </c>
      <c r="J5" s="31">
        <f>'GBI Allocations P1'!J5*Salary!J$2</f>
        <v>327.2297976389911</v>
      </c>
      <c r="K5" s="31">
        <f>'GBI Allocations P1'!K5*Salary!K$2</f>
        <v>6.8854603253204383</v>
      </c>
      <c r="L5" s="31">
        <f>'GBI Allocations P1'!L5*Salary!L$2</f>
        <v>63861.473989091755</v>
      </c>
      <c r="M5" s="31">
        <f>'GBI Allocations P1'!M5*Salary!M$2</f>
        <v>70091.149302108024</v>
      </c>
      <c r="N5" s="31">
        <f>'GBI Allocations P1'!N5*Salary!N$2</f>
        <v>506.7713603175543</v>
      </c>
      <c r="O5" s="31">
        <f>'GBI Allocations P1'!O5*Salary!O$2</f>
        <v>425.22015371876017</v>
      </c>
      <c r="P5" s="31">
        <f>'GBI Allocations P1'!P5*Salary!P$2</f>
        <v>119.29787645998549</v>
      </c>
      <c r="Q5" s="31">
        <f>'GBI Allocations P1'!Q5*Salary!Q$2</f>
        <v>105.9365142964671</v>
      </c>
      <c r="R5" s="31">
        <f>'GBI Allocations P1'!R5*Salary!R$2</f>
        <v>86381.34000076793</v>
      </c>
      <c r="S5" s="31">
        <f>'GBI Allocations P1'!S5*Salary!S$2</f>
        <v>153.09327083125368</v>
      </c>
      <c r="T5" s="31">
        <f>'GBI Allocations P1'!T5*Salary!T$2</f>
        <v>55382.751491318748</v>
      </c>
      <c r="U5" s="31">
        <f>'GBI Allocations P1'!U5*Salary!U$2</f>
        <v>17052.230032584899</v>
      </c>
      <c r="V5" s="31">
        <f>'GBI Allocations P1'!V5*Salary!V$2</f>
        <v>632.21470967463961</v>
      </c>
      <c r="W5" s="31">
        <f>'GBI Allocations P1'!W5*Salary!W$2</f>
        <v>164.78370497326094</v>
      </c>
      <c r="X5" s="31">
        <f>'GBI Allocations P1'!X5*Salary!X$2</f>
        <v>540.90251157472892</v>
      </c>
      <c r="Y5" s="31">
        <f>'GBI Allocations P1'!Y5*Salary!Y$2</f>
        <v>3717.8726093661471</v>
      </c>
      <c r="Z5" s="31">
        <f>'GBI Allocations P1'!Z5*Salary!Z$2</f>
        <v>5294.3891499961273</v>
      </c>
      <c r="AA5" s="31">
        <f>'GBI Allocations P1'!AA5*Salary!AA$2</f>
        <v>577.13506395001843</v>
      </c>
      <c r="AB5" s="31">
        <f>'GBI Allocations P1'!AB5*Salary!AB$2</f>
        <v>4377.7461340600585</v>
      </c>
      <c r="AC5" s="31">
        <f>'GBI Allocations P1'!AC5*Salary!AC$2</f>
        <v>9972.4581091917062</v>
      </c>
      <c r="AD5" s="31">
        <f>'GBI Allocations P1'!AD5*Salary!AD$2</f>
        <v>3070.1954465563322</v>
      </c>
      <c r="AE5" s="31">
        <f>'GBI Allocations P1'!AE5*Salary!AE$2</f>
        <v>1384.9857957133368</v>
      </c>
      <c r="AF5" s="31">
        <f>'GBI Allocations P1'!AF5*Salary!AF$2</f>
        <v>1089.3587391416052</v>
      </c>
      <c r="AG5" s="31">
        <f>'GBI Allocations P1'!AG5*Salary!AG$2</f>
        <v>20754.759795963811</v>
      </c>
      <c r="AH5" s="31">
        <f>'GBI Allocations P1'!AH5*Salary!AH$2</f>
        <v>4912.2515519495319</v>
      </c>
      <c r="AI5" s="31">
        <f>'GBI Allocations P1'!AI5*Salary!AI$2</f>
        <v>6160.2665156492021</v>
      </c>
      <c r="AJ5" s="31">
        <f>'GBI Allocations P1'!AJ5*Salary!AJ$2</f>
        <v>8398.8793082511638</v>
      </c>
      <c r="AK5" s="31">
        <f>'GBI Allocations P1'!AK5*Salary!AK$2</f>
        <v>4397.5604574398503</v>
      </c>
      <c r="AL5" s="31">
        <f>'GBI Allocations P1'!AL5*Salary!AL$2</f>
        <v>7394.14662476987</v>
      </c>
      <c r="AM5" s="31">
        <f>'GBI Allocations P1'!AM5*Salary!AM$2</f>
        <v>7220.1242286204997</v>
      </c>
      <c r="AN5" s="31">
        <f>'GBI Allocations P1'!AN5*Salary!AN$2</f>
        <v>1399.5372115881553</v>
      </c>
      <c r="AO5" s="31">
        <f>'GBI Allocations P1'!AO5*Salary!AO$2</f>
        <v>3853.736201887848</v>
      </c>
      <c r="AP5" s="31">
        <f>'GBI Allocations P1'!AP5*Salary!AP$2</f>
        <v>811.51649594966511</v>
      </c>
      <c r="AQ5" s="31">
        <f>'GBI Allocations P1'!AQ5*Salary!AQ$2</f>
        <v>1138.3773068182802</v>
      </c>
      <c r="AR5" s="31">
        <f>'GBI Allocations P1'!AR5*Salary!AR$2</f>
        <v>3633.2450124412235</v>
      </c>
      <c r="AS5" s="31">
        <f>'GBI Allocations P1'!AS5*Salary!AS$2</f>
        <v>9429.4205683648615</v>
      </c>
      <c r="AT5" s="31">
        <f>'GBI Allocations P1'!AT5*Salary!AT$2</f>
        <v>3659.3583860876047</v>
      </c>
      <c r="AU5" s="31">
        <f>'GBI Allocations P1'!AU5*Salary!AU$2</f>
        <v>1074.0373246004133</v>
      </c>
      <c r="AV5" s="31">
        <f>'GBI Allocations P1'!AV5*Salary!AV$2</f>
        <v>0</v>
      </c>
      <c r="AW5" s="31">
        <f>'GBI Allocations P1'!AW5*Salary!AW$2</f>
        <v>0</v>
      </c>
      <c r="AX5" s="31">
        <f>'GBI Allocations P1'!AX5*Salary!AX$2</f>
        <v>0</v>
      </c>
      <c r="AY5" s="31">
        <f>'GBI Allocations P1'!AY5*Salary!AY$2</f>
        <v>0</v>
      </c>
    </row>
    <row r="6" spans="1:51" x14ac:dyDescent="0.35">
      <c r="A6" t="s">
        <v>167</v>
      </c>
      <c r="B6" s="31">
        <f>'GBI Allocations P1'!B6*Salary!B$2</f>
        <v>0</v>
      </c>
      <c r="C6" s="31">
        <f>'GBI Allocations P1'!C6*Salary!C$2</f>
        <v>29449.724880000002</v>
      </c>
      <c r="D6" s="31">
        <f>'GBI Allocations P1'!D6*Salary!D$2</f>
        <v>260.5410948</v>
      </c>
      <c r="E6" s="31">
        <f>'GBI Allocations P1'!E6*Salary!E$2</f>
        <v>1434.1989693960002</v>
      </c>
      <c r="F6" s="31">
        <f>'GBI Allocations P1'!F6*Salary!F$2</f>
        <v>1198.1758550497198</v>
      </c>
      <c r="G6" s="31">
        <f>'GBI Allocations P1'!G6*Salary!G$2</f>
        <v>319.09628617319157</v>
      </c>
      <c r="H6" s="31">
        <f>'GBI Allocations P1'!H6*Salary!H$2</f>
        <v>474.30953631554786</v>
      </c>
      <c r="I6" s="31">
        <f>'GBI Allocations P1'!I6*Salary!I$2</f>
        <v>1005.7186437336981</v>
      </c>
      <c r="J6" s="31">
        <f>'GBI Allocations P1'!J6*Salary!J$2</f>
        <v>640.82502037635743</v>
      </c>
      <c r="K6" s="31">
        <f>'GBI Allocations P1'!K6*Salary!K$2</f>
        <v>289.18933366345834</v>
      </c>
      <c r="L6" s="31">
        <f>'GBI Allocations P1'!L6*Salary!L$2</f>
        <v>890.15231085742619</v>
      </c>
      <c r="M6" s="31">
        <f>'GBI Allocations P1'!M6*Salary!M$2</f>
        <v>285.61371411651953</v>
      </c>
      <c r="N6" s="31">
        <f>'GBI Allocations P1'!N6*Salary!N$2</f>
        <v>70.168342197815207</v>
      </c>
      <c r="O6" s="31">
        <f>'GBI Allocations P1'!O6*Salary!O$2</f>
        <v>346.47568080787863</v>
      </c>
      <c r="P6" s="31">
        <f>'GBI Allocations P1'!P6*Salary!P$2</f>
        <v>866.89790227589447</v>
      </c>
      <c r="Q6" s="31">
        <f>'GBI Allocations P1'!Q6*Salary!Q$2</f>
        <v>1253.5820858415273</v>
      </c>
      <c r="R6" s="31">
        <f>'GBI Allocations P1'!R6*Salary!R$2</f>
        <v>267.48969859857948</v>
      </c>
      <c r="S6" s="31">
        <f>'GBI Allocations P1'!S6*Salary!S$2</f>
        <v>1278.7790857669422</v>
      </c>
      <c r="T6" s="31">
        <f>'GBI Allocations P1'!T6*Salary!T$2</f>
        <v>33862.700575164999</v>
      </c>
      <c r="U6" s="31">
        <f>'GBI Allocations P1'!U6*Salary!U$2</f>
        <v>1645.6563027302182</v>
      </c>
      <c r="V6" s="31">
        <f>'GBI Allocations P1'!V6*Salary!V$2</f>
        <v>785.16988137011697</v>
      </c>
      <c r="W6" s="31">
        <f>'GBI Allocations P1'!W6*Salary!W$2</f>
        <v>494.35111491978279</v>
      </c>
      <c r="X6" s="31">
        <f>'GBI Allocations P1'!X6*Salary!X$2</f>
        <v>665.72616809197416</v>
      </c>
      <c r="Y6" s="31">
        <f>'GBI Allocations P1'!Y6*Salary!Y$2</f>
        <v>23011.553138095438</v>
      </c>
      <c r="Z6" s="31">
        <f>'GBI Allocations P1'!Z6*Salary!Z$2</f>
        <v>4676.3216941595747</v>
      </c>
      <c r="AA6" s="31">
        <f>'GBI Allocations P1'!AA6*Salary!AA$2</f>
        <v>883.36999584186492</v>
      </c>
      <c r="AB6" s="31">
        <f>'GBI Allocations P1'!AB6*Salary!AB$2</f>
        <v>17106.518860810775</v>
      </c>
      <c r="AC6" s="31">
        <f>'GBI Allocations P1'!AC6*Salary!AC$2</f>
        <v>1297.6210551719328</v>
      </c>
      <c r="AD6" s="31">
        <f>'GBI Allocations P1'!AD6*Salary!AD$2</f>
        <v>17826.549845815225</v>
      </c>
      <c r="AE6" s="31">
        <f>'GBI Allocations P1'!AE6*Salary!AE$2</f>
        <v>16252.134204565351</v>
      </c>
      <c r="AF6" s="31">
        <f>'GBI Allocations P1'!AF6*Salary!AF$2</f>
        <v>14285.45437465241</v>
      </c>
      <c r="AG6" s="31">
        <f>'GBI Allocations P1'!AG6*Salary!AG$2</f>
        <v>22017.549398007392</v>
      </c>
      <c r="AH6" s="31">
        <f>'GBI Allocations P1'!AH6*Salary!AH$2</f>
        <v>10796.851097472621</v>
      </c>
      <c r="AI6" s="31">
        <f>'GBI Allocations P1'!AI6*Salary!AI$2</f>
        <v>8481.5263621257127</v>
      </c>
      <c r="AJ6" s="31">
        <f>'GBI Allocations P1'!AJ6*Salary!AJ$2</f>
        <v>8476.1696086338434</v>
      </c>
      <c r="AK6" s="31">
        <f>'GBI Allocations P1'!AK6*Salary!AK$2</f>
        <v>11891.627982544449</v>
      </c>
      <c r="AL6" s="31">
        <f>'GBI Allocations P1'!AL6*Salary!AL$2</f>
        <v>6296.5779851555917</v>
      </c>
      <c r="AM6" s="31">
        <f>'GBI Allocations P1'!AM6*Salary!AM$2</f>
        <v>700.13325853289678</v>
      </c>
      <c r="AN6" s="31">
        <f>'GBI Allocations P1'!AN6*Salary!AN$2</f>
        <v>206.24758907614924</v>
      </c>
      <c r="AO6" s="31">
        <f>'GBI Allocations P1'!AO6*Salary!AO$2</f>
        <v>833.24025986764298</v>
      </c>
      <c r="AP6" s="31">
        <f>'GBI Allocations P1'!AP6*Salary!AP$2</f>
        <v>1292.4151602161332</v>
      </c>
      <c r="AQ6" s="31">
        <f>'GBI Allocations P1'!AQ6*Salary!AQ$2</f>
        <v>4978.5034218186111</v>
      </c>
      <c r="AR6" s="31">
        <f>'GBI Allocations P1'!AR6*Salary!AR$2</f>
        <v>10777.093855469115</v>
      </c>
      <c r="AS6" s="31">
        <f>'GBI Allocations P1'!AS6*Salary!AS$2</f>
        <v>15142.813326536674</v>
      </c>
      <c r="AT6" s="31">
        <f>'GBI Allocations P1'!AT6*Salary!AT$2</f>
        <v>5176.2719051068252</v>
      </c>
      <c r="AU6" s="31">
        <f>'GBI Allocations P1'!AU6*Salary!AU$2</f>
        <v>6033.5626176082033</v>
      </c>
      <c r="AV6" s="31">
        <f>'GBI Allocations P1'!AV6*Salary!AV$2</f>
        <v>0</v>
      </c>
      <c r="AW6" s="31">
        <f>'GBI Allocations P1'!AW6*Salary!AW$2</f>
        <v>0</v>
      </c>
      <c r="AX6" s="31">
        <f>'GBI Allocations P1'!AX6*Salary!AX$2</f>
        <v>0</v>
      </c>
      <c r="AY6" s="31">
        <f>'GBI Allocations P1'!AY6*Salary!AY$2</f>
        <v>0</v>
      </c>
    </row>
    <row r="7" spans="1:51" x14ac:dyDescent="0.35">
      <c r="A7" t="s">
        <v>168</v>
      </c>
      <c r="B7" s="31">
        <f>'GBI Allocations P1'!B7*Salary!B$2</f>
        <v>0</v>
      </c>
      <c r="C7" s="31">
        <f>'GBI Allocations P1'!C7*Salary!C$2</f>
        <v>1016.0523599999999</v>
      </c>
      <c r="D7" s="31">
        <f>'GBI Allocations P1'!D7*Salary!D$2</f>
        <v>404.10455519999999</v>
      </c>
      <c r="E7" s="31">
        <f>'GBI Allocations P1'!E7*Salary!E$2</f>
        <v>442.65400289999997</v>
      </c>
      <c r="F7" s="31">
        <f>'GBI Allocations P1'!F7*Salary!F$2</f>
        <v>53.649665151480001</v>
      </c>
      <c r="G7" s="31">
        <f>'GBI Allocations P1'!G7*Salary!G$2</f>
        <v>96.330954316435196</v>
      </c>
      <c r="H7" s="31">
        <f>'GBI Allocations P1'!H7*Salary!H$2</f>
        <v>437.82418736819795</v>
      </c>
      <c r="I7" s="31">
        <f>'GBI Allocations P1'!I7*Salary!I$2</f>
        <v>681.72874508123152</v>
      </c>
      <c r="J7" s="31">
        <f>'GBI Allocations P1'!J7*Salary!J$2</f>
        <v>593.10400822067129</v>
      </c>
      <c r="K7" s="31">
        <f>'GBI Allocations P1'!K7*Salary!K$2</f>
        <v>309.84571463941973</v>
      </c>
      <c r="L7" s="31">
        <f>'GBI Allocations P1'!L7*Salary!L$2</f>
        <v>438.12184050013946</v>
      </c>
      <c r="M7" s="31">
        <f>'GBI Allocations P1'!M7*Salary!M$2</f>
        <v>1281.4020687389796</v>
      </c>
      <c r="N7" s="31">
        <f>'GBI Allocations P1'!N7*Salary!N$2</f>
        <v>514.56784278397822</v>
      </c>
      <c r="O7" s="31">
        <f>'GBI Allocations P1'!O7*Salary!O$2</f>
        <v>1196.9159882453989</v>
      </c>
      <c r="P7" s="31">
        <f>'GBI Allocations P1'!P7*Salary!P$2</f>
        <v>858.94471051189555</v>
      </c>
      <c r="Q7" s="31">
        <f>'GBI Allocations P1'!Q7*Salary!Q$2</f>
        <v>1174.1297001191772</v>
      </c>
      <c r="R7" s="31">
        <f>'GBI Allocations P1'!R7*Salary!R$2</f>
        <v>633.05895334997138</v>
      </c>
      <c r="S7" s="31">
        <f>'GBI Allocations P1'!S7*Salary!S$2</f>
        <v>1152.7022744941453</v>
      </c>
      <c r="T7" s="31">
        <f>'GBI Allocations P1'!T7*Salary!T$2</f>
        <v>345.63057261785389</v>
      </c>
      <c r="U7" s="31">
        <f>'GBI Allocations P1'!U7*Salary!U$2</f>
        <v>1433.6392330533188</v>
      </c>
      <c r="V7" s="31">
        <f>'GBI Allocations P1'!V7*Salary!V$2</f>
        <v>540.44160665735319</v>
      </c>
      <c r="W7" s="31">
        <f>'GBI Allocations P1'!W7*Salary!W$2</f>
        <v>2677.7352058154906</v>
      </c>
      <c r="X7" s="31">
        <f>'GBI Allocations P1'!X7*Salary!X$2</f>
        <v>1986.7765328994851</v>
      </c>
      <c r="Y7" s="31">
        <f>'GBI Allocations P1'!Y7*Salary!Y$2</f>
        <v>53701.321447707916</v>
      </c>
      <c r="Z7" s="31">
        <f>'GBI Allocations P1'!Z7*Salary!Z$2</f>
        <v>63602.639700614265</v>
      </c>
      <c r="AA7" s="31">
        <f>'GBI Allocations P1'!AA7*Salary!AA$2</f>
        <v>1048.2657283990129</v>
      </c>
      <c r="AB7" s="31">
        <f>'GBI Allocations P1'!AB7*Salary!AB$2</f>
        <v>62787.348085785299</v>
      </c>
      <c r="AC7" s="31">
        <f>'GBI Allocations P1'!AC7*Salary!AC$2</f>
        <v>94834.472115482102</v>
      </c>
      <c r="AD7" s="31">
        <f>'GBI Allocations P1'!AD7*Salary!AD$2</f>
        <v>62568.884278436562</v>
      </c>
      <c r="AE7" s="31">
        <f>'GBI Allocations P1'!AE7*Salary!AE$2</f>
        <v>60498.140598593192</v>
      </c>
      <c r="AF7" s="31">
        <f>'GBI Allocations P1'!AF7*Salary!AF$2</f>
        <v>48699.287270262212</v>
      </c>
      <c r="AG7" s="31">
        <f>'GBI Allocations P1'!AG7*Salary!AG$2</f>
        <v>62814.40555115795</v>
      </c>
      <c r="AH7" s="31">
        <f>'GBI Allocations P1'!AH7*Salary!AH$2</f>
        <v>58366.135406454327</v>
      </c>
      <c r="AI7" s="31">
        <f>'GBI Allocations P1'!AI7*Salary!AI$2</f>
        <v>63872.908303045973</v>
      </c>
      <c r="AJ7" s="31">
        <f>'GBI Allocations P1'!AJ7*Salary!AJ$2</f>
        <v>78011.676519584449</v>
      </c>
      <c r="AK7" s="31">
        <f>'GBI Allocations P1'!AK7*Salary!AK$2</f>
        <v>91151.800487643763</v>
      </c>
      <c r="AL7" s="31">
        <f>'GBI Allocations P1'!AL7*Salary!AL$2</f>
        <v>101871.69978735676</v>
      </c>
      <c r="AM7" s="31">
        <f>'GBI Allocations P1'!AM7*Salary!AM$2</f>
        <v>126607.43091803219</v>
      </c>
      <c r="AN7" s="31">
        <f>'GBI Allocations P1'!AN7*Salary!AN$2</f>
        <v>144594.29191302889</v>
      </c>
      <c r="AO7" s="31">
        <f>'GBI Allocations P1'!AO7*Salary!AO$2</f>
        <v>136324.05823048827</v>
      </c>
      <c r="AP7" s="31">
        <f>'GBI Allocations P1'!AP7*Salary!AP$2</f>
        <v>141985.33062467474</v>
      </c>
      <c r="AQ7" s="31">
        <f>'GBI Allocations P1'!AQ7*Salary!AQ$2</f>
        <v>140308.79765637577</v>
      </c>
      <c r="AR7" s="31">
        <f>'GBI Allocations P1'!AR7*Salary!AR$2</f>
        <v>114286.25134071441</v>
      </c>
      <c r="AS7" s="31">
        <f>'GBI Allocations P1'!AS7*Salary!AS$2</f>
        <v>119532.22789454307</v>
      </c>
      <c r="AT7" s="31">
        <f>'GBI Allocations P1'!AT7*Salary!AT$2</f>
        <v>138727.21471360317</v>
      </c>
      <c r="AU7" s="31">
        <f>'GBI Allocations P1'!AU7*Salary!AU$2</f>
        <v>145247.75348566766</v>
      </c>
      <c r="AV7" s="31">
        <f>'GBI Allocations P1'!AV7*Salary!AV$2</f>
        <v>0</v>
      </c>
      <c r="AW7" s="31">
        <f>'GBI Allocations P1'!AW7*Salary!AW$2</f>
        <v>0</v>
      </c>
      <c r="AX7" s="31">
        <f>'GBI Allocations P1'!AX7*Salary!AX$2</f>
        <v>0</v>
      </c>
      <c r="AY7" s="31">
        <f>'GBI Allocations P1'!AY7*Salary!AY$2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F52E-E51B-4510-8A42-C1836EA2FECB}">
  <dimension ref="A1:AY3"/>
  <sheetViews>
    <sheetView workbookViewId="0">
      <selection activeCell="C2" sqref="C2"/>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row>
    <row r="3" spans="1:51" x14ac:dyDescent="0.35">
      <c r="A3"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Y7"/>
  <sheetViews>
    <sheetView workbookViewId="0">
      <selection activeCell="I7" sqref="B2:I7"/>
    </sheetView>
  </sheetViews>
  <sheetFormatPr defaultRowHeight="14.5" x14ac:dyDescent="0.35"/>
  <cols>
    <col min="1" max="1" width="31.453125" bestFit="1" customWidth="1"/>
    <col min="3" max="3" width="8.9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106</v>
      </c>
      <c r="B2" s="28">
        <v>0.98019999999999996</v>
      </c>
      <c r="C2" s="28">
        <v>0.373</v>
      </c>
      <c r="D2" s="28">
        <v>0.96</v>
      </c>
      <c r="E2" s="28">
        <v>1.5700000000000002E-2</v>
      </c>
      <c r="F2" s="28">
        <v>0.93849999999999989</v>
      </c>
      <c r="G2" s="28">
        <v>0.98580000000000001</v>
      </c>
      <c r="H2" s="28">
        <v>0.97189999999999999</v>
      </c>
      <c r="I2" s="28">
        <v>0.95620000000000005</v>
      </c>
      <c r="J2" s="28">
        <v>4.1999999999999997E-3</v>
      </c>
      <c r="K2" s="28">
        <v>0.97909999999999997</v>
      </c>
      <c r="L2" s="28">
        <v>1.3600000000000001E-2</v>
      </c>
      <c r="M2" s="28">
        <v>5.2199999999999996E-2</v>
      </c>
      <c r="N2" s="28">
        <v>0.97360000000000002</v>
      </c>
      <c r="O2" s="28">
        <v>1.15E-2</v>
      </c>
      <c r="P2" s="28">
        <v>4.1999999999999997E-3</v>
      </c>
      <c r="Q2" s="28">
        <v>0.95590000000000008</v>
      </c>
      <c r="R2" s="28">
        <v>3.9000000000000003E-3</v>
      </c>
      <c r="S2" s="28">
        <v>0.95930000000000004</v>
      </c>
      <c r="T2" s="28">
        <v>8.3999999999999995E-3</v>
      </c>
      <c r="U2" s="28">
        <v>0.41710000000000003</v>
      </c>
      <c r="V2" s="28">
        <v>9.0000000000000011E-3</v>
      </c>
      <c r="W2" s="28">
        <v>2.29E-2</v>
      </c>
      <c r="X2" s="28">
        <v>3.7000000000000002E-3</v>
      </c>
      <c r="Y2" s="28">
        <v>0.24710000000000001</v>
      </c>
      <c r="Z2" s="28">
        <v>9.2699999999999991E-2</v>
      </c>
      <c r="AA2" s="28">
        <v>0.97530000000000006</v>
      </c>
      <c r="AB2" s="28">
        <v>0.13439999999999999</v>
      </c>
      <c r="AC2" s="28">
        <v>1.7000000000000001E-3</v>
      </c>
      <c r="AD2" s="28">
        <v>0.10730000000000001</v>
      </c>
      <c r="AE2" s="28">
        <v>0.1641</v>
      </c>
      <c r="AF2" s="28">
        <v>2.5999999999999999E-3</v>
      </c>
      <c r="AG2" s="28">
        <v>1.67E-2</v>
      </c>
      <c r="AH2" s="28">
        <v>0.1648</v>
      </c>
      <c r="AI2" s="28">
        <v>0.12609999999999999</v>
      </c>
      <c r="AJ2" s="28">
        <v>0.1263</v>
      </c>
      <c r="AK2" s="28">
        <v>5.7300000000000004E-2</v>
      </c>
      <c r="AL2" s="28">
        <v>7.980000000000001E-2</v>
      </c>
      <c r="AM2" s="28">
        <v>3.5999999999999999E-3</v>
      </c>
      <c r="AN2" s="28">
        <v>3.7000000000000002E-3</v>
      </c>
      <c r="AO2" s="28">
        <v>1.21E-2</v>
      </c>
      <c r="AP2" s="28">
        <v>1.38E-2</v>
      </c>
      <c r="AQ2" s="28">
        <v>8.199999999999999E-3</v>
      </c>
      <c r="AR2" s="28">
        <v>6.1200000000000004E-2</v>
      </c>
      <c r="AS2" s="28">
        <v>3.9800000000000002E-2</v>
      </c>
      <c r="AT2" s="28">
        <v>1.5100000000000001E-2</v>
      </c>
      <c r="AU2" s="28">
        <v>6.9999999999999993E-3</v>
      </c>
      <c r="AV2" s="28">
        <v>9.0000000000000011E-3</v>
      </c>
      <c r="AW2" s="28">
        <v>1.0800000000000001E-2</v>
      </c>
      <c r="AX2" s="28">
        <v>8.3999999999999995E-3</v>
      </c>
      <c r="AY2" s="28">
        <v>1.72E-2</v>
      </c>
    </row>
    <row r="3" spans="1:51" x14ac:dyDescent="0.35">
      <c r="A3" t="s">
        <v>107</v>
      </c>
      <c r="B3" s="28">
        <v>2.2000000000000001E-3</v>
      </c>
      <c r="C3" s="28">
        <v>2.35E-2</v>
      </c>
      <c r="D3" s="28">
        <v>1.09E-2</v>
      </c>
      <c r="E3" s="28">
        <v>0.92189999999999994</v>
      </c>
      <c r="F3" s="28">
        <v>1.54E-2</v>
      </c>
      <c r="G3" s="28">
        <v>3.0999999999999999E-3</v>
      </c>
      <c r="H3" s="28">
        <v>2.5000000000000001E-3</v>
      </c>
      <c r="I3" s="28">
        <v>3.5999999999999999E-3</v>
      </c>
      <c r="J3" s="28">
        <v>1.7399999999999999E-2</v>
      </c>
      <c r="K3" s="28">
        <v>2.2000000000000001E-3</v>
      </c>
      <c r="L3" s="28">
        <v>3.49E-2</v>
      </c>
      <c r="M3" s="28">
        <v>1.4199999999999999E-2</v>
      </c>
      <c r="N3" s="28">
        <v>7.4999999999999997E-3</v>
      </c>
      <c r="O3" s="28">
        <v>0.96260000000000001</v>
      </c>
      <c r="P3" s="28">
        <v>4.1999999999999997E-3</v>
      </c>
      <c r="Q3" s="28">
        <v>7.7000000000000002E-3</v>
      </c>
      <c r="R3" s="28">
        <v>8.1000000000000013E-3</v>
      </c>
      <c r="S3" s="28">
        <v>3.8E-3</v>
      </c>
      <c r="T3" s="28">
        <v>5.4000000000000003E-3</v>
      </c>
      <c r="U3" s="28">
        <v>0.37219999999999998</v>
      </c>
      <c r="V3" s="28">
        <v>0.96519999999999995</v>
      </c>
      <c r="W3" s="28">
        <v>0.9326000000000001</v>
      </c>
      <c r="X3" s="28">
        <v>0.94980000000000009</v>
      </c>
      <c r="Y3" s="28">
        <v>1.1000000000000001E-2</v>
      </c>
      <c r="Z3" s="28">
        <v>2.41E-2</v>
      </c>
      <c r="AA3" s="28">
        <v>8.9999999999999998E-4</v>
      </c>
      <c r="AB3" s="28">
        <v>6.0899999999999996E-2</v>
      </c>
      <c r="AC3" s="28">
        <v>2.1400000000000002E-2</v>
      </c>
      <c r="AD3" s="28">
        <v>0.13769999999999999</v>
      </c>
      <c r="AE3" s="28">
        <v>8.6400000000000005E-2</v>
      </c>
      <c r="AF3" s="28">
        <v>0.25530000000000003</v>
      </c>
      <c r="AG3" s="28">
        <v>8.199999999999999E-2</v>
      </c>
      <c r="AH3" s="28">
        <v>5.33E-2</v>
      </c>
      <c r="AI3" s="28">
        <v>0.10460000000000001</v>
      </c>
      <c r="AJ3" s="28">
        <v>6.1600000000000002E-2</v>
      </c>
      <c r="AK3" s="28">
        <v>6.7199999999999996E-2</v>
      </c>
      <c r="AL3" s="28">
        <v>6.3299999999999995E-2</v>
      </c>
      <c r="AM3" s="28">
        <v>5.0799999999999998E-2</v>
      </c>
      <c r="AN3" s="28">
        <v>2.0999999999999999E-3</v>
      </c>
      <c r="AO3" s="28">
        <v>1.66E-2</v>
      </c>
      <c r="AP3" s="28">
        <v>6.6E-3</v>
      </c>
      <c r="AQ3" s="28">
        <v>5.6999999999999993E-3</v>
      </c>
      <c r="AR3" s="28">
        <v>6.5000000000000002E-2</v>
      </c>
      <c r="AS3" s="28">
        <v>3.4999999999999996E-3</v>
      </c>
      <c r="AT3" s="28">
        <v>2.87E-2</v>
      </c>
      <c r="AU3" s="28">
        <v>3.3E-3</v>
      </c>
      <c r="AV3" s="28">
        <v>8.199999999999999E-3</v>
      </c>
      <c r="AW3" s="28">
        <v>1.6200000000000003E-2</v>
      </c>
      <c r="AX3" s="28">
        <v>3.0000000000000001E-3</v>
      </c>
      <c r="AY3" s="28">
        <v>2.7999999999999997E-2</v>
      </c>
    </row>
    <row r="4" spans="1:51" x14ac:dyDescent="0.35">
      <c r="A4" t="s">
        <v>161</v>
      </c>
      <c r="B4" s="28">
        <v>2.2000000000000001E-3</v>
      </c>
      <c r="C4" s="28">
        <v>1.95E-2</v>
      </c>
      <c r="D4" s="28">
        <v>7.0999999999999995E-3</v>
      </c>
      <c r="E4" s="28">
        <v>2.75E-2</v>
      </c>
      <c r="F4" s="28">
        <v>1.7100000000000001E-2</v>
      </c>
      <c r="G4" s="28">
        <v>1.7000000000000001E-3</v>
      </c>
      <c r="H4" s="28">
        <v>9.1000000000000004E-3</v>
      </c>
      <c r="I4" s="28">
        <v>6.4000000000000003E-3</v>
      </c>
      <c r="J4" s="28">
        <v>0.95540000000000003</v>
      </c>
      <c r="K4" s="28">
        <v>0.01</v>
      </c>
      <c r="L4" s="28">
        <v>1.41E-2</v>
      </c>
      <c r="M4" s="28">
        <v>5.4000000000000003E-3</v>
      </c>
      <c r="N4" s="28">
        <v>5.0000000000000001E-3</v>
      </c>
      <c r="O4" s="28">
        <v>8.9999999999999998E-4</v>
      </c>
      <c r="P4" s="28">
        <v>0.96829999999999994</v>
      </c>
      <c r="Q4" s="28">
        <v>7.7000000000000002E-3</v>
      </c>
      <c r="R4" s="28">
        <v>9.1000000000000004E-3</v>
      </c>
      <c r="S4" s="28">
        <v>8.3000000000000001E-3</v>
      </c>
      <c r="T4" s="28">
        <v>1.2999999999999999E-3</v>
      </c>
      <c r="U4" s="28">
        <v>1.1200000000000002E-2</v>
      </c>
      <c r="V4" s="28">
        <v>6.6E-3</v>
      </c>
      <c r="W4" s="28">
        <v>1.2E-2</v>
      </c>
      <c r="X4" s="28">
        <v>1.5800000000000002E-2</v>
      </c>
      <c r="Y4" s="28">
        <v>4.53E-2</v>
      </c>
      <c r="Z4" s="28">
        <v>0.25230000000000002</v>
      </c>
      <c r="AA4" s="28">
        <v>2.5000000000000001E-3</v>
      </c>
      <c r="AB4" s="28">
        <v>9.6300000000000011E-2</v>
      </c>
      <c r="AC4" s="28">
        <v>9.3800000000000008E-2</v>
      </c>
      <c r="AD4" s="28">
        <v>6.7199999999999996E-2</v>
      </c>
      <c r="AE4" s="28">
        <v>0.11210000000000001</v>
      </c>
      <c r="AF4" s="28">
        <v>0.22440000000000002</v>
      </c>
      <c r="AG4" s="28">
        <v>5.6799999999999996E-2</v>
      </c>
      <c r="AH4" s="28">
        <v>0.19519999999999998</v>
      </c>
      <c r="AI4" s="28">
        <v>0.1537</v>
      </c>
      <c r="AJ4" s="28">
        <v>7.5499999999999998E-2</v>
      </c>
      <c r="AK4" s="28">
        <v>4.9800000000000004E-2</v>
      </c>
      <c r="AL4" s="28">
        <v>5.67E-2</v>
      </c>
      <c r="AM4" s="28">
        <v>2.3300000000000001E-2</v>
      </c>
      <c r="AN4" s="28">
        <v>1.7000000000000001E-3</v>
      </c>
      <c r="AO4" s="28">
        <v>2.3599999999999999E-2</v>
      </c>
      <c r="AP4" s="28">
        <v>2.0799999999999999E-2</v>
      </c>
      <c r="AQ4" s="28">
        <v>2.1499999999999998E-2</v>
      </c>
      <c r="AR4" s="28">
        <v>3.4200000000000001E-2</v>
      </c>
      <c r="AS4" s="28">
        <v>2.5899999999999999E-2</v>
      </c>
      <c r="AT4" s="28">
        <v>1.26E-2</v>
      </c>
      <c r="AU4" s="28">
        <v>2.5000000000000001E-2</v>
      </c>
      <c r="AV4" s="28">
        <v>5.7999999999999996E-3</v>
      </c>
      <c r="AW4" s="28">
        <v>2.9999999999999997E-4</v>
      </c>
      <c r="AX4" s="28">
        <v>3.0999999999999999E-3</v>
      </c>
      <c r="AY4" s="28">
        <v>2.8000000000000004E-3</v>
      </c>
    </row>
    <row r="5" spans="1:51" x14ac:dyDescent="0.35">
      <c r="A5" t="s">
        <v>160</v>
      </c>
      <c r="B5" s="28">
        <v>7.7000000000000002E-3</v>
      </c>
      <c r="C5" s="28">
        <v>5.3E-3</v>
      </c>
      <c r="D5" s="28">
        <v>9.5999999999999992E-3</v>
      </c>
      <c r="E5" s="28">
        <v>3.0999999999999999E-3</v>
      </c>
      <c r="F5" s="28">
        <v>8.1000000000000013E-3</v>
      </c>
      <c r="G5" s="28">
        <v>2.3999999999999998E-3</v>
      </c>
      <c r="H5" s="28">
        <v>1.6000000000000001E-3</v>
      </c>
      <c r="I5" s="28">
        <v>8.8000000000000005E-3</v>
      </c>
      <c r="J5" s="28">
        <v>4.7999999999999996E-3</v>
      </c>
      <c r="K5" s="28">
        <v>1E-4</v>
      </c>
      <c r="L5" s="28">
        <v>0.91830000000000001</v>
      </c>
      <c r="M5" s="28">
        <v>0.90799999999999992</v>
      </c>
      <c r="N5" s="28">
        <v>6.5000000000000006E-3</v>
      </c>
      <c r="O5" s="28">
        <v>5.4000000000000003E-3</v>
      </c>
      <c r="P5" s="28">
        <v>1.5E-3</v>
      </c>
      <c r="Q5" s="28">
        <v>1.1999999999999999E-3</v>
      </c>
      <c r="R5" s="28">
        <v>0.96879999999999999</v>
      </c>
      <c r="S5" s="28">
        <v>1.7000000000000001E-3</v>
      </c>
      <c r="T5" s="28">
        <v>0.6089</v>
      </c>
      <c r="U5" s="28">
        <v>0.16889999999999999</v>
      </c>
      <c r="V5" s="28">
        <v>6.1999999999999998E-3</v>
      </c>
      <c r="W5" s="28">
        <v>1.6000000000000001E-3</v>
      </c>
      <c r="X5" s="28">
        <v>5.1999999999999998E-3</v>
      </c>
      <c r="Y5" s="28">
        <v>3.2199999999999999E-2</v>
      </c>
      <c r="Z5" s="28">
        <v>4.5400000000000003E-2</v>
      </c>
      <c r="AA5" s="28">
        <v>4.8999999999999998E-3</v>
      </c>
      <c r="AB5" s="28">
        <v>3.6799999999999999E-2</v>
      </c>
      <c r="AC5" s="28">
        <v>8.3000000000000004E-2</v>
      </c>
      <c r="AD5" s="28">
        <v>2.53E-2</v>
      </c>
      <c r="AE5" s="28">
        <v>1.1299999999999999E-2</v>
      </c>
      <c r="AF5" s="28">
        <v>8.8000000000000005E-3</v>
      </c>
      <c r="AG5" s="28">
        <v>0.16600000000000001</v>
      </c>
      <c r="AH5" s="28">
        <v>3.8900000000000004E-2</v>
      </c>
      <c r="AI5" s="28">
        <v>4.8300000000000003E-2</v>
      </c>
      <c r="AJ5" s="28">
        <v>6.5199999999999994E-2</v>
      </c>
      <c r="AK5" s="28">
        <v>3.3799999999999997E-2</v>
      </c>
      <c r="AL5" s="28">
        <v>5.1200000000000002E-2</v>
      </c>
      <c r="AM5" s="28">
        <v>4.9500000000000002E-2</v>
      </c>
      <c r="AN5" s="28">
        <v>9.4999999999999998E-3</v>
      </c>
      <c r="AO5" s="28">
        <v>2.5899999999999999E-2</v>
      </c>
      <c r="AP5" s="28">
        <v>5.4000000000000003E-3</v>
      </c>
      <c r="AQ5" s="28">
        <v>7.4999999999999997E-3</v>
      </c>
      <c r="AR5" s="28">
        <v>2.3700000000000002E-2</v>
      </c>
      <c r="AS5" s="28">
        <v>6.0899999999999996E-2</v>
      </c>
      <c r="AT5" s="28">
        <v>2.3399999999999997E-2</v>
      </c>
      <c r="AU5" s="28">
        <v>6.8000000000000005E-3</v>
      </c>
      <c r="AV5" s="28">
        <v>1.67E-2</v>
      </c>
      <c r="AW5" s="28">
        <v>2.06E-2</v>
      </c>
      <c r="AX5" s="28">
        <v>0</v>
      </c>
      <c r="AY5" s="28">
        <v>7.4999999999999997E-3</v>
      </c>
    </row>
    <row r="6" spans="1:51" x14ac:dyDescent="0.35">
      <c r="A6" t="s">
        <v>159</v>
      </c>
      <c r="B6" s="28">
        <v>4.6999999999999993E-3</v>
      </c>
      <c r="C6" s="28">
        <v>0.55940000000000001</v>
      </c>
      <c r="D6" s="28">
        <v>4.8999999999999998E-3</v>
      </c>
      <c r="E6" s="28">
        <v>2.4300000000000002E-2</v>
      </c>
      <c r="F6" s="28">
        <v>2.0099999999999996E-2</v>
      </c>
      <c r="G6" s="28">
        <v>5.3E-3</v>
      </c>
      <c r="H6" s="28">
        <v>7.8000000000000005E-3</v>
      </c>
      <c r="I6" s="28">
        <v>1.49E-2</v>
      </c>
      <c r="J6" s="28">
        <v>9.3999999999999986E-3</v>
      </c>
      <c r="K6" s="28">
        <v>4.1999999999999997E-3</v>
      </c>
      <c r="L6" s="28">
        <v>1.2800000000000001E-2</v>
      </c>
      <c r="M6" s="28">
        <v>3.7000000000000002E-3</v>
      </c>
      <c r="N6" s="28">
        <v>8.9999999999999998E-4</v>
      </c>
      <c r="O6" s="28">
        <v>4.4000000000000003E-3</v>
      </c>
      <c r="P6" s="28">
        <v>1.09E-2</v>
      </c>
      <c r="Q6" s="28">
        <v>1.4199999999999999E-2</v>
      </c>
      <c r="R6" s="28">
        <v>3.0000000000000001E-3</v>
      </c>
      <c r="S6" s="28">
        <v>1.4199999999999999E-2</v>
      </c>
      <c r="T6" s="28">
        <v>0.37229999999999996</v>
      </c>
      <c r="U6" s="28">
        <v>1.6299999999999999E-2</v>
      </c>
      <c r="V6" s="28">
        <v>7.7000000000000002E-3</v>
      </c>
      <c r="W6" s="28">
        <v>4.7999999999999996E-3</v>
      </c>
      <c r="X6" s="28">
        <v>6.4000000000000003E-3</v>
      </c>
      <c r="Y6" s="28">
        <v>0.1993</v>
      </c>
      <c r="Z6" s="28">
        <v>4.0099999999999997E-2</v>
      </c>
      <c r="AA6" s="28">
        <v>7.4999999999999997E-3</v>
      </c>
      <c r="AB6" s="28">
        <v>0.14380000000000001</v>
      </c>
      <c r="AC6" s="28">
        <v>1.0800000000000001E-2</v>
      </c>
      <c r="AD6" s="28">
        <v>0.1469</v>
      </c>
      <c r="AE6" s="28">
        <v>0.1326</v>
      </c>
      <c r="AF6" s="28">
        <v>0.11539999999999999</v>
      </c>
      <c r="AG6" s="28">
        <v>0.17610000000000001</v>
      </c>
      <c r="AH6" s="28">
        <v>8.5500000000000007E-2</v>
      </c>
      <c r="AI6" s="28">
        <v>6.6500000000000004E-2</v>
      </c>
      <c r="AJ6" s="28">
        <v>6.5799999999999997E-2</v>
      </c>
      <c r="AK6" s="28">
        <v>9.1400000000000009E-2</v>
      </c>
      <c r="AL6" s="28">
        <v>4.36E-2</v>
      </c>
      <c r="AM6" s="28">
        <v>4.7999999999999996E-3</v>
      </c>
      <c r="AN6" s="28">
        <v>1.4000000000000002E-3</v>
      </c>
      <c r="AO6" s="28">
        <v>5.6000000000000008E-3</v>
      </c>
      <c r="AP6" s="28">
        <v>8.6E-3</v>
      </c>
      <c r="AQ6" s="28">
        <v>3.2799999999999996E-2</v>
      </c>
      <c r="AR6" s="28">
        <v>7.0300000000000001E-2</v>
      </c>
      <c r="AS6" s="28">
        <v>9.7799999999999998E-2</v>
      </c>
      <c r="AT6" s="28">
        <v>3.3099999999999997E-2</v>
      </c>
      <c r="AU6" s="28">
        <v>3.8199999999999998E-2</v>
      </c>
      <c r="AV6" s="28">
        <v>1.7399999999999999E-2</v>
      </c>
      <c r="AW6" s="28">
        <v>1.41E-2</v>
      </c>
      <c r="AX6" s="28">
        <v>8.199999999999999E-3</v>
      </c>
      <c r="AY6" s="28">
        <v>3.3500000000000002E-2</v>
      </c>
    </row>
    <row r="7" spans="1:51" x14ac:dyDescent="0.35">
      <c r="A7" t="s">
        <v>158</v>
      </c>
      <c r="B7" s="28">
        <v>2.8999999999999998E-3</v>
      </c>
      <c r="C7" s="28">
        <v>1.9299999999999998E-2</v>
      </c>
      <c r="D7" s="28">
        <v>7.6E-3</v>
      </c>
      <c r="E7" s="28">
        <v>7.4999999999999997E-3</v>
      </c>
      <c r="F7" s="28">
        <v>8.9999999999999998E-4</v>
      </c>
      <c r="G7" s="28">
        <v>1.6000000000000001E-3</v>
      </c>
      <c r="H7" s="28">
        <v>7.1999999999999998E-3</v>
      </c>
      <c r="I7" s="28">
        <v>1.01E-2</v>
      </c>
      <c r="J7" s="28">
        <v>8.6999999999999994E-3</v>
      </c>
      <c r="K7" s="28">
        <v>4.5000000000000005E-3</v>
      </c>
      <c r="L7" s="28">
        <v>6.3E-3</v>
      </c>
      <c r="M7" s="28">
        <v>1.66E-2</v>
      </c>
      <c r="N7" s="28">
        <v>6.6E-3</v>
      </c>
      <c r="O7" s="28">
        <v>1.52E-2</v>
      </c>
      <c r="P7" s="28">
        <v>1.0800000000000001E-2</v>
      </c>
      <c r="Q7" s="28">
        <v>1.3300000000000001E-2</v>
      </c>
      <c r="R7" s="28">
        <v>7.0999999999999995E-3</v>
      </c>
      <c r="S7" s="28">
        <v>1.2800000000000001E-2</v>
      </c>
      <c r="T7" s="28">
        <v>3.8E-3</v>
      </c>
      <c r="U7" s="28">
        <v>1.4199999999999999E-2</v>
      </c>
      <c r="V7" s="28">
        <v>5.3E-3</v>
      </c>
      <c r="W7" s="28">
        <v>2.6000000000000002E-2</v>
      </c>
      <c r="X7" s="28">
        <v>1.9099999999999999E-2</v>
      </c>
      <c r="Y7" s="28">
        <v>0.46509999999999996</v>
      </c>
      <c r="Z7" s="28">
        <v>0.5454</v>
      </c>
      <c r="AA7" s="28">
        <v>8.8999999999999999E-3</v>
      </c>
      <c r="AB7" s="28">
        <v>0.52780000000000005</v>
      </c>
      <c r="AC7" s="28">
        <v>0.78930000000000011</v>
      </c>
      <c r="AD7" s="28">
        <v>0.51560000000000006</v>
      </c>
      <c r="AE7" s="28">
        <v>0.49359999999999998</v>
      </c>
      <c r="AF7" s="28">
        <v>0.39340000000000003</v>
      </c>
      <c r="AG7" s="28">
        <v>0.50240000000000007</v>
      </c>
      <c r="AH7" s="28">
        <v>0.4622</v>
      </c>
      <c r="AI7" s="28">
        <v>0.50080000000000002</v>
      </c>
      <c r="AJ7" s="28">
        <v>0.60560000000000003</v>
      </c>
      <c r="AK7" s="28">
        <v>0.7006</v>
      </c>
      <c r="AL7" s="28">
        <v>0.70540000000000003</v>
      </c>
      <c r="AM7" s="28">
        <v>0.86799999999999999</v>
      </c>
      <c r="AN7" s="28">
        <v>0.98150000000000004</v>
      </c>
      <c r="AO7" s="28">
        <v>0.91620000000000001</v>
      </c>
      <c r="AP7" s="28">
        <v>0.94480000000000008</v>
      </c>
      <c r="AQ7" s="28">
        <v>0.9244</v>
      </c>
      <c r="AR7" s="28">
        <v>0.74549999999999994</v>
      </c>
      <c r="AS7" s="28">
        <v>0.77200000000000002</v>
      </c>
      <c r="AT7" s="28">
        <v>0.88709999999999989</v>
      </c>
      <c r="AU7" s="28">
        <v>0.91959999999999997</v>
      </c>
      <c r="AV7" s="28">
        <v>0.94290000000000007</v>
      </c>
      <c r="AW7" s="28">
        <v>0.93799999999999994</v>
      </c>
      <c r="AX7" s="28">
        <v>0.97719999999999996</v>
      </c>
      <c r="AY7" s="28">
        <v>0.91099999999999992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Y9"/>
  <sheetViews>
    <sheetView tabSelected="1" workbookViewId="0">
      <selection activeCell="N9" sqref="N9"/>
    </sheetView>
  </sheetViews>
  <sheetFormatPr defaultRowHeight="14.5" x14ac:dyDescent="0.35"/>
  <cols>
    <col min="3" max="3" width="9.9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169</v>
      </c>
      <c r="B2" s="28">
        <v>0.01</v>
      </c>
      <c r="C2" s="28">
        <v>0.04</v>
      </c>
      <c r="D2" s="28">
        <v>0.01</v>
      </c>
      <c r="E2" s="28">
        <v>0.02</v>
      </c>
      <c r="F2" s="28">
        <v>1.9800000000000002E-2</v>
      </c>
      <c r="G2" s="28">
        <v>9.9000000000000008E-3</v>
      </c>
      <c r="H2" s="28">
        <v>9.9000000000000008E-3</v>
      </c>
      <c r="I2" s="28">
        <v>9.9000000000000008E-3</v>
      </c>
      <c r="J2" s="28">
        <v>9.9000000000000008E-3</v>
      </c>
      <c r="K2" s="28">
        <v>9.9000000000000008E-3</v>
      </c>
      <c r="L2" s="28">
        <v>1.9800000000000002E-2</v>
      </c>
      <c r="M2" s="28">
        <v>2.9399999999999999E-2</v>
      </c>
      <c r="N2" s="28">
        <v>9.9000000000000008E-3</v>
      </c>
      <c r="O2" s="28">
        <v>9.9000000000000008E-3</v>
      </c>
      <c r="P2" s="28">
        <v>1.9800000000000002E-2</v>
      </c>
      <c r="Q2" s="28">
        <v>2.9700000000000001E-2</v>
      </c>
      <c r="R2" s="28">
        <v>0.02</v>
      </c>
      <c r="S2" s="28">
        <v>0.01</v>
      </c>
      <c r="T2" s="28">
        <v>9.9000000000000008E-3</v>
      </c>
      <c r="U2" s="28">
        <v>0.04</v>
      </c>
      <c r="V2" s="28">
        <v>2.0199999999999999E-2</v>
      </c>
      <c r="W2" s="28">
        <v>3.9600000000000003E-2</v>
      </c>
      <c r="X2" s="28">
        <v>9.9000000000000008E-3</v>
      </c>
      <c r="Y2" s="28">
        <v>9.9000000000000008E-3</v>
      </c>
      <c r="Z2" s="28">
        <v>0.01</v>
      </c>
      <c r="AA2" s="28">
        <v>9.9000000000000008E-3</v>
      </c>
      <c r="AB2" s="28">
        <v>1.01E-2</v>
      </c>
      <c r="AC2" s="28">
        <v>0.01</v>
      </c>
      <c r="AD2" s="28">
        <v>9.9000000000000008E-3</v>
      </c>
      <c r="AE2" s="28">
        <v>0.01</v>
      </c>
      <c r="AF2" s="28">
        <v>0.05</v>
      </c>
      <c r="AG2" s="28">
        <v>1.01E-2</v>
      </c>
      <c r="AH2" s="28">
        <v>1.01E-2</v>
      </c>
      <c r="AI2" s="28">
        <v>0.01</v>
      </c>
      <c r="AJ2" s="28">
        <v>9.9000000000000008E-3</v>
      </c>
      <c r="AK2" s="28">
        <v>0.02</v>
      </c>
      <c r="AL2" s="28">
        <v>0.03</v>
      </c>
      <c r="AM2" s="28">
        <v>0.02</v>
      </c>
      <c r="AN2" s="28">
        <v>9.9000000000000008E-3</v>
      </c>
      <c r="AO2" s="28">
        <v>4.0399999999999998E-2</v>
      </c>
      <c r="AP2" s="28">
        <v>1.01E-2</v>
      </c>
      <c r="AQ2" s="28">
        <v>0.08</v>
      </c>
      <c r="AR2" s="28">
        <v>0.01</v>
      </c>
      <c r="AS2" s="28">
        <v>9.9000000000000008E-3</v>
      </c>
      <c r="AT2" s="28">
        <v>9.9000000000000008E-3</v>
      </c>
      <c r="AU2" s="28">
        <v>0.02</v>
      </c>
      <c r="AV2" s="28">
        <v>9.9000000000000008E-3</v>
      </c>
      <c r="AW2" s="28">
        <v>9.9000000000000008E-3</v>
      </c>
      <c r="AX2" s="28">
        <v>9.9000000000000008E-3</v>
      </c>
      <c r="AY2" s="28">
        <v>2.0199999999999999E-2</v>
      </c>
    </row>
    <row r="3" spans="1:51" x14ac:dyDescent="0.35">
      <c r="A3" t="s">
        <v>170</v>
      </c>
      <c r="B3" s="28">
        <v>0.97</v>
      </c>
      <c r="C3" s="28">
        <v>0.9</v>
      </c>
      <c r="D3" s="28">
        <v>0.96</v>
      </c>
      <c r="E3" s="28">
        <v>0.9</v>
      </c>
      <c r="F3" s="28">
        <v>0.93069999999999997</v>
      </c>
      <c r="G3" s="28">
        <v>0.30690000000000001</v>
      </c>
      <c r="H3" s="28">
        <v>0.97030000000000005</v>
      </c>
      <c r="I3" s="28">
        <v>0.94059999999999999</v>
      </c>
      <c r="J3" s="28">
        <v>0.95050000000000001</v>
      </c>
      <c r="K3" s="28">
        <v>0.97030000000000005</v>
      </c>
      <c r="L3" s="28">
        <v>0.95050000000000001</v>
      </c>
      <c r="M3" s="28">
        <v>0.95099999999999996</v>
      </c>
      <c r="N3" s="28">
        <v>0.97030000000000005</v>
      </c>
      <c r="O3" s="28">
        <v>0.95050000000000001</v>
      </c>
      <c r="P3" s="28">
        <v>0.96040000000000003</v>
      </c>
      <c r="Q3" s="28">
        <v>0.95050000000000001</v>
      </c>
      <c r="R3" s="28">
        <v>0.96</v>
      </c>
      <c r="S3" s="28">
        <v>0.95</v>
      </c>
      <c r="T3" s="28">
        <v>0.97030000000000005</v>
      </c>
      <c r="U3" s="28">
        <v>0.93</v>
      </c>
      <c r="V3" s="28">
        <v>0.95960000000000001</v>
      </c>
      <c r="W3" s="28">
        <v>0.92079999999999995</v>
      </c>
      <c r="X3" s="28">
        <v>0.94059999999999999</v>
      </c>
      <c r="Y3" s="28">
        <v>0.58420000000000005</v>
      </c>
      <c r="Z3" s="28">
        <v>0.45</v>
      </c>
      <c r="AA3" s="28">
        <v>0.97030000000000005</v>
      </c>
      <c r="AB3" s="28">
        <v>0.44440000000000002</v>
      </c>
      <c r="AC3" s="28">
        <v>0.16</v>
      </c>
      <c r="AD3" s="28">
        <v>0.52480000000000004</v>
      </c>
      <c r="AE3" s="28">
        <v>0.54</v>
      </c>
      <c r="AF3" s="28">
        <v>0.39</v>
      </c>
      <c r="AG3" s="28">
        <v>0.50509999999999999</v>
      </c>
      <c r="AH3" s="28">
        <v>0.53539999999999999</v>
      </c>
      <c r="AI3" s="28">
        <v>0.46</v>
      </c>
      <c r="AJ3" s="28">
        <v>0.505</v>
      </c>
      <c r="AK3" s="28">
        <v>0.33</v>
      </c>
      <c r="AL3" s="28">
        <v>0.28999999999999998</v>
      </c>
      <c r="AM3" s="28">
        <v>0.13</v>
      </c>
      <c r="AN3" s="28">
        <v>9.9000000000000008E-3</v>
      </c>
      <c r="AO3" s="28">
        <v>8.0799999999999997E-2</v>
      </c>
      <c r="AP3" s="28">
        <v>5.0500000000000003E-2</v>
      </c>
      <c r="AQ3" s="28">
        <v>0.04</v>
      </c>
      <c r="AR3" s="28">
        <v>0.2</v>
      </c>
      <c r="AS3" s="28">
        <v>0.22770000000000001</v>
      </c>
      <c r="AT3" s="28">
        <v>8.9099999999999999E-2</v>
      </c>
      <c r="AU3" s="28">
        <v>0.04</v>
      </c>
      <c r="AV3" s="28">
        <v>3.9600000000000003E-2</v>
      </c>
      <c r="AW3" s="28">
        <v>4.9500000000000002E-2</v>
      </c>
      <c r="AX3" s="28">
        <v>2.9700000000000001E-2</v>
      </c>
      <c r="AY3" s="28">
        <v>6.0600000000000001E-2</v>
      </c>
    </row>
    <row r="4" spans="1:51" x14ac:dyDescent="0.35">
      <c r="A4" t="s">
        <v>171</v>
      </c>
      <c r="B4" s="28">
        <v>0.01</v>
      </c>
      <c r="C4" s="28">
        <v>0.01</v>
      </c>
      <c r="D4" s="28">
        <v>0.01</v>
      </c>
      <c r="E4" s="28">
        <v>7.0000000000000007E-2</v>
      </c>
      <c r="F4" s="28">
        <v>3.9600000000000003E-2</v>
      </c>
      <c r="G4" s="28">
        <v>9.9000000000000008E-3</v>
      </c>
      <c r="H4" s="28">
        <v>9.9000000000000008E-3</v>
      </c>
      <c r="I4" s="28">
        <v>3.9600000000000003E-2</v>
      </c>
      <c r="J4" s="28">
        <v>2.9700000000000001E-2</v>
      </c>
      <c r="K4" s="28">
        <v>9.9000000000000008E-3</v>
      </c>
      <c r="L4" s="28">
        <v>9.9000000000000008E-3</v>
      </c>
      <c r="M4" s="28">
        <v>9.7999999999999997E-3</v>
      </c>
      <c r="N4" s="28">
        <v>9.9000000000000008E-3</v>
      </c>
      <c r="O4" s="28">
        <v>9.9000000000000008E-3</v>
      </c>
      <c r="P4" s="28">
        <v>9.9000000000000008E-3</v>
      </c>
      <c r="Q4" s="28">
        <v>9.9000000000000008E-3</v>
      </c>
      <c r="R4" s="28">
        <v>0.01</v>
      </c>
      <c r="S4" s="28">
        <v>0.01</v>
      </c>
      <c r="T4" s="28">
        <v>9.9000000000000008E-3</v>
      </c>
      <c r="U4" s="28">
        <v>0.02</v>
      </c>
      <c r="V4" s="28">
        <v>1.01E-2</v>
      </c>
      <c r="W4" s="28">
        <v>1.9800000000000002E-2</v>
      </c>
      <c r="X4" s="28">
        <v>2.9700000000000001E-2</v>
      </c>
      <c r="Y4" s="28">
        <v>0.39600000000000002</v>
      </c>
      <c r="Z4" s="28">
        <v>0.44</v>
      </c>
      <c r="AA4" s="28">
        <v>9.9000000000000008E-3</v>
      </c>
      <c r="AB4" s="28">
        <v>0.36359999999999998</v>
      </c>
      <c r="AC4" s="28">
        <v>0.7</v>
      </c>
      <c r="AD4" s="28">
        <v>0.43559999999999999</v>
      </c>
      <c r="AE4" s="28">
        <v>0.36</v>
      </c>
      <c r="AF4" s="28">
        <v>0.28000000000000003</v>
      </c>
      <c r="AG4" s="28">
        <v>0.47470000000000001</v>
      </c>
      <c r="AH4" s="28">
        <v>0.44440000000000002</v>
      </c>
      <c r="AI4" s="28">
        <v>0.41</v>
      </c>
      <c r="AJ4" s="28">
        <v>0.45540000000000003</v>
      </c>
      <c r="AK4" s="28">
        <v>0.64</v>
      </c>
      <c r="AL4" s="28">
        <v>0.61</v>
      </c>
      <c r="AM4" s="28">
        <v>0.84</v>
      </c>
      <c r="AN4" s="28">
        <v>0.97030000000000005</v>
      </c>
      <c r="AO4" s="28">
        <v>0.85860000000000003</v>
      </c>
      <c r="AP4" s="28">
        <v>0.91920000000000002</v>
      </c>
      <c r="AQ4" s="28">
        <v>0.85</v>
      </c>
      <c r="AR4" s="28">
        <v>0.7</v>
      </c>
      <c r="AS4" s="28">
        <v>0.66339999999999999</v>
      </c>
      <c r="AT4" s="28">
        <v>0.86140000000000005</v>
      </c>
      <c r="AU4" s="28">
        <v>0.88</v>
      </c>
      <c r="AV4" s="28">
        <v>0.93069999999999997</v>
      </c>
      <c r="AW4" s="28">
        <v>0.92079999999999995</v>
      </c>
      <c r="AX4" s="28">
        <v>0.92079999999999995</v>
      </c>
      <c r="AY4" s="28">
        <v>0.88890000000000002</v>
      </c>
    </row>
    <row r="5" spans="1:51" x14ac:dyDescent="0.35">
      <c r="A5" t="s">
        <v>172</v>
      </c>
      <c r="B5" s="28">
        <v>0.01</v>
      </c>
      <c r="C5" s="28">
        <v>0.05</v>
      </c>
      <c r="D5" s="28">
        <v>0.02</v>
      </c>
      <c r="E5" s="28">
        <v>0.01</v>
      </c>
      <c r="F5" s="28">
        <v>9.9000000000000008E-3</v>
      </c>
      <c r="G5" s="28">
        <v>0.67330000000000001</v>
      </c>
      <c r="H5" s="28">
        <v>9.9000000000000008E-3</v>
      </c>
      <c r="I5" s="28">
        <v>9.9000000000000008E-3</v>
      </c>
      <c r="J5" s="28">
        <v>9.9000000000000008E-3</v>
      </c>
      <c r="K5" s="28">
        <v>9.9000000000000008E-3</v>
      </c>
      <c r="L5" s="28">
        <v>1.9800000000000002E-2</v>
      </c>
      <c r="M5" s="28">
        <v>9.7999999999999997E-3</v>
      </c>
      <c r="N5" s="28">
        <v>9.9000000000000008E-3</v>
      </c>
      <c r="O5" s="28">
        <v>2.9700000000000001E-2</v>
      </c>
      <c r="P5" s="28">
        <v>9.9000000000000008E-3</v>
      </c>
      <c r="Q5" s="28">
        <v>9.9000000000000008E-3</v>
      </c>
      <c r="R5" s="28">
        <v>0.01</v>
      </c>
      <c r="S5" s="28">
        <v>0.03</v>
      </c>
      <c r="T5" s="28">
        <v>9.9000000000000008E-3</v>
      </c>
      <c r="U5" s="28">
        <v>0.01</v>
      </c>
      <c r="V5" s="28">
        <v>1.01E-2</v>
      </c>
      <c r="W5" s="28">
        <v>1.9800000000000002E-2</v>
      </c>
      <c r="X5" s="28">
        <v>1.9800000000000002E-2</v>
      </c>
      <c r="Y5" s="28">
        <v>9.9000000000000008E-3</v>
      </c>
      <c r="Z5" s="28">
        <v>0.1</v>
      </c>
      <c r="AA5" s="28">
        <v>9.9000000000000008E-3</v>
      </c>
      <c r="AB5" s="28">
        <v>0.18179999999999999</v>
      </c>
      <c r="AC5" s="28">
        <v>0.13</v>
      </c>
      <c r="AD5" s="28">
        <v>2.9700000000000001E-2</v>
      </c>
      <c r="AE5" s="28">
        <v>0.09</v>
      </c>
      <c r="AF5" s="28">
        <v>0.28000000000000003</v>
      </c>
      <c r="AG5" s="28">
        <v>1.01E-2</v>
      </c>
      <c r="AH5" s="28">
        <v>1.01E-2</v>
      </c>
      <c r="AI5" s="28">
        <v>0.12</v>
      </c>
      <c r="AJ5" s="28">
        <v>2.9700000000000001E-2</v>
      </c>
      <c r="AK5" s="28">
        <v>0.01</v>
      </c>
      <c r="AL5" s="28">
        <v>7.0000000000000007E-2</v>
      </c>
      <c r="AM5" s="28">
        <v>0.01</v>
      </c>
      <c r="AN5" s="28">
        <v>9.9000000000000008E-3</v>
      </c>
      <c r="AO5" s="28">
        <v>2.0199999999999999E-2</v>
      </c>
      <c r="AP5" s="28">
        <v>2.0199999999999999E-2</v>
      </c>
      <c r="AQ5" s="28">
        <v>0.03</v>
      </c>
      <c r="AR5" s="28">
        <v>0.09</v>
      </c>
      <c r="AS5" s="28">
        <v>9.9000000000000005E-2</v>
      </c>
      <c r="AT5" s="28">
        <v>3.9600000000000003E-2</v>
      </c>
      <c r="AU5" s="28">
        <v>0.06</v>
      </c>
      <c r="AV5" s="28">
        <v>1.9800000000000002E-2</v>
      </c>
      <c r="AW5" s="28">
        <v>1.9800000000000002E-2</v>
      </c>
      <c r="AX5" s="28">
        <v>3.9600000000000003E-2</v>
      </c>
      <c r="AY5" s="28">
        <v>3.0300000000000001E-2</v>
      </c>
    </row>
    <row r="9" spans="1:51" x14ac:dyDescent="0.35">
      <c r="C9"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Y7"/>
  <sheetViews>
    <sheetView workbookViewId="0">
      <selection activeCell="A2" sqref="A2:A7"/>
    </sheetView>
  </sheetViews>
  <sheetFormatPr defaultRowHeight="14.5" x14ac:dyDescent="0.35"/>
  <cols>
    <col min="1" max="1" width="31.4531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106</v>
      </c>
    </row>
    <row r="3" spans="1:51" x14ac:dyDescent="0.35">
      <c r="A3" t="s">
        <v>107</v>
      </c>
    </row>
    <row r="4" spans="1:51" x14ac:dyDescent="0.35">
      <c r="A4" t="s">
        <v>161</v>
      </c>
    </row>
    <row r="5" spans="1:51" x14ac:dyDescent="0.35">
      <c r="A5" t="s">
        <v>160</v>
      </c>
    </row>
    <row r="6" spans="1:51" x14ac:dyDescent="0.35">
      <c r="A6" t="s">
        <v>159</v>
      </c>
    </row>
    <row r="7" spans="1:51" x14ac:dyDescent="0.35">
      <c r="A7" t="s">
        <v>158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32" t="s">
        <v>100</v>
      </c>
      <c r="N43" s="33" t="s">
        <v>101</v>
      </c>
    </row>
    <row r="44" spans="2:14" x14ac:dyDescent="0.35">
      <c r="C44" s="1" t="s">
        <v>97</v>
      </c>
      <c r="D44" s="26">
        <v>0.1</v>
      </c>
      <c r="E44" s="26">
        <v>0.03</v>
      </c>
      <c r="H44" s="26">
        <v>0.03</v>
      </c>
      <c r="I44" s="26">
        <v>0.04</v>
      </c>
      <c r="J44" s="26">
        <v>0.06</v>
      </c>
      <c r="K44" s="26">
        <v>7.0000000000000007E-2</v>
      </c>
      <c r="L44" s="26">
        <v>0.1</v>
      </c>
      <c r="M44" s="32"/>
      <c r="N44" s="33"/>
    </row>
    <row r="45" spans="2:14" x14ac:dyDescent="0.35">
      <c r="M45" s="32"/>
      <c r="N45" s="33"/>
    </row>
    <row r="46" spans="2:14" x14ac:dyDescent="0.35">
      <c r="H46" s="26">
        <f>AVERAGE(H44:L44)</f>
        <v>6.0000000000000012E-2</v>
      </c>
      <c r="I46" s="26">
        <f>AVERAGE(I44:L44)</f>
        <v>6.7500000000000004E-2</v>
      </c>
      <c r="M46" s="32"/>
      <c r="N46" s="33"/>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Y5"/>
  <sheetViews>
    <sheetView workbookViewId="0">
      <selection activeCell="G11" sqref="G11"/>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169</v>
      </c>
    </row>
    <row r="3" spans="1:51" x14ac:dyDescent="0.35">
      <c r="A3" t="s">
        <v>170</v>
      </c>
    </row>
    <row r="4" spans="1:51" x14ac:dyDescent="0.35">
      <c r="A4" t="s">
        <v>171</v>
      </c>
    </row>
    <row r="5" spans="1:51" x14ac:dyDescent="0.35">
      <c r="A5" t="s">
        <v>172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Y7"/>
  <sheetViews>
    <sheetView workbookViewId="0">
      <selection activeCell="D9" sqref="D9"/>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row>
    <row r="3" spans="1:51" x14ac:dyDescent="0.35">
      <c r="A3" t="s">
        <v>164</v>
      </c>
    </row>
    <row r="4" spans="1:51" x14ac:dyDescent="0.35">
      <c r="A4" t="s">
        <v>165</v>
      </c>
    </row>
    <row r="5" spans="1:51" x14ac:dyDescent="0.35">
      <c r="A5" t="s">
        <v>166</v>
      </c>
    </row>
    <row r="6" spans="1:51" x14ac:dyDescent="0.35">
      <c r="A6" t="s">
        <v>167</v>
      </c>
    </row>
    <row r="7" spans="1:51" x14ac:dyDescent="0.35">
      <c r="A7" t="s">
        <v>168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4ACF-8769-4D41-B361-0B24E4C47EDE}">
  <dimension ref="A1:AY7"/>
  <sheetViews>
    <sheetView workbookViewId="0">
      <selection activeCell="A2" sqref="A2:A7"/>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106</v>
      </c>
      <c r="B2">
        <v>-4.6374624539303522E-2</v>
      </c>
      <c r="C2">
        <v>0.25193929244792046</v>
      </c>
      <c r="D2">
        <v>0.25632261453563498</v>
      </c>
      <c r="E2">
        <v>-5.9773063379075286E-2</v>
      </c>
      <c r="F2">
        <v>0.4037825622478608</v>
      </c>
      <c r="G2">
        <v>0.31172393348028482</v>
      </c>
      <c r="H2">
        <v>5.9218288104509353E-2</v>
      </c>
      <c r="I2">
        <v>0.10707307173309566</v>
      </c>
      <c r="J2">
        <v>0.1143557726991431</v>
      </c>
      <c r="K2">
        <v>0.12346019482714743</v>
      </c>
      <c r="L2">
        <v>9.0155243291453413E-2</v>
      </c>
      <c r="M2">
        <v>0.16489957003965827</v>
      </c>
      <c r="N2">
        <v>-3.2891724441363568E-2</v>
      </c>
      <c r="O2">
        <v>-2.8709220895397625E-2</v>
      </c>
      <c r="P2">
        <v>-2.9700592918326052E-2</v>
      </c>
      <c r="Q2">
        <v>5.3046739497358164E-2</v>
      </c>
      <c r="R2">
        <v>4.0017378805269122E-2</v>
      </c>
      <c r="S2">
        <v>0.31809496159743089</v>
      </c>
      <c r="T2">
        <v>-3.0274921180414083E-2</v>
      </c>
      <c r="U2">
        <v>0.42106698481842941</v>
      </c>
      <c r="V2">
        <v>-0.15114640093107001</v>
      </c>
      <c r="W2">
        <v>0.11903432201536934</v>
      </c>
      <c r="X2">
        <v>-0.14501133771544472</v>
      </c>
      <c r="Y2">
        <v>-9.8981450678448213E-2</v>
      </c>
      <c r="Z2">
        <v>-0.28480526143549512</v>
      </c>
      <c r="AA2">
        <v>0.16386844102281728</v>
      </c>
      <c r="AB2">
        <v>-4.9048038763010116E-2</v>
      </c>
      <c r="AC2">
        <v>0.10968519365888074</v>
      </c>
      <c r="AD2">
        <v>-7.9101954782518469E-2</v>
      </c>
      <c r="AE2">
        <v>0.11709658947834378</v>
      </c>
      <c r="AF2">
        <v>0.42713820722628815</v>
      </c>
      <c r="AG2">
        <v>-0.26668674586449892</v>
      </c>
      <c r="AH2">
        <v>-0.1530648452641632</v>
      </c>
      <c r="AI2">
        <v>0.23493864763154781</v>
      </c>
      <c r="AJ2">
        <v>6.041256988737298E-2</v>
      </c>
      <c r="AK2">
        <v>1.4204164172181066E-2</v>
      </c>
      <c r="AL2">
        <v>-6.9574101825511381E-2</v>
      </c>
      <c r="AM2">
        <v>7.3240333938557445E-2</v>
      </c>
      <c r="AN2">
        <v>0.10362599817724494</v>
      </c>
      <c r="AO2">
        <v>5.1557175598106575E-2</v>
      </c>
      <c r="AP2">
        <v>-5.2116699156352086E-2</v>
      </c>
      <c r="AQ2">
        <v>-0.23205744218937063</v>
      </c>
      <c r="AR2">
        <v>0.46613427903603921</v>
      </c>
      <c r="AS2">
        <v>7.4472391324156284E-2</v>
      </c>
      <c r="AT2">
        <v>0.71150702464550397</v>
      </c>
      <c r="AU2">
        <v>2.0245654526625412E-2</v>
      </c>
      <c r="AV2">
        <v>0.27735916529071791</v>
      </c>
      <c r="AW2">
        <v>0.11781713077091949</v>
      </c>
      <c r="AX2">
        <v>-4.1329986166300792E-3</v>
      </c>
      <c r="AY2">
        <v>7.0092809209421958E-2</v>
      </c>
    </row>
    <row r="3" spans="1:51" x14ac:dyDescent="0.35">
      <c r="A3" t="s">
        <v>107</v>
      </c>
      <c r="B3">
        <v>-3.4134004457981759E-2</v>
      </c>
      <c r="C3">
        <v>0.19511077137000687</v>
      </c>
      <c r="D3">
        <v>6.9691772197972179E-2</v>
      </c>
      <c r="E3">
        <v>0.1033057450186734</v>
      </c>
      <c r="F3">
        <v>7.6016162916965113E-2</v>
      </c>
      <c r="G3">
        <v>0.23027144965944113</v>
      </c>
      <c r="H3">
        <v>3.2689217671517445E-2</v>
      </c>
      <c r="I3">
        <v>-8.8332981043660608E-2</v>
      </c>
      <c r="J3">
        <v>-0.10923190033107699</v>
      </c>
      <c r="K3">
        <v>-4.3963023434883675E-2</v>
      </c>
      <c r="L3">
        <v>0.20956142406649048</v>
      </c>
      <c r="M3">
        <v>-1.5205665643450494E-2</v>
      </c>
      <c r="N3">
        <v>-5.9960028782211405E-2</v>
      </c>
      <c r="O3">
        <v>5.7027602095488295E-2</v>
      </c>
      <c r="P3">
        <v>-3.5388428115954884E-2</v>
      </c>
      <c r="Q3">
        <v>-4.1584959494241347E-2</v>
      </c>
      <c r="R3">
        <v>-6.6624170345609413E-3</v>
      </c>
      <c r="S3">
        <v>0.21043093873515328</v>
      </c>
      <c r="T3">
        <v>6.8683867347799188E-2</v>
      </c>
      <c r="U3">
        <v>0.37689316574426335</v>
      </c>
      <c r="V3">
        <v>4.2532040403342908E-2</v>
      </c>
      <c r="W3">
        <v>0.18667478780794977</v>
      </c>
      <c r="X3">
        <v>-2.3315533646275588E-2</v>
      </c>
      <c r="Y3">
        <v>2.0929003130567336E-2</v>
      </c>
      <c r="Z3">
        <v>-3.3223354241563752E-2</v>
      </c>
      <c r="AA3">
        <v>0.14205355388071439</v>
      </c>
      <c r="AB3">
        <v>-3.1351511198571491E-2</v>
      </c>
      <c r="AC3">
        <v>7.7272300158451657E-2</v>
      </c>
      <c r="AD3">
        <v>-7.6933006132187454E-2</v>
      </c>
      <c r="AE3">
        <v>4.2148946498898887E-3</v>
      </c>
      <c r="AF3">
        <v>0.39390059080264517</v>
      </c>
      <c r="AG3">
        <v>-9.848900274038308E-2</v>
      </c>
      <c r="AH3">
        <v>-9.6519892653231909E-2</v>
      </c>
      <c r="AI3">
        <v>0.17365697809383684</v>
      </c>
      <c r="AJ3">
        <v>0.13561299161585239</v>
      </c>
      <c r="AK3">
        <v>6.2760250987418553E-2</v>
      </c>
      <c r="AL3">
        <v>-1.9523505554479681E-2</v>
      </c>
      <c r="AM3">
        <v>0.13169239029263036</v>
      </c>
      <c r="AN3">
        <v>0.16529749354644085</v>
      </c>
      <c r="AO3">
        <v>6.9245797760353556E-2</v>
      </c>
      <c r="AP3">
        <v>-0.13108725517574527</v>
      </c>
      <c r="AQ3">
        <v>-0.12086994313042287</v>
      </c>
      <c r="AR3">
        <v>0.26810918058794209</v>
      </c>
      <c r="AS3">
        <v>2.1392416323751551E-2</v>
      </c>
      <c r="AT3">
        <v>0.29513880715473073</v>
      </c>
      <c r="AU3">
        <v>-1.6946598826961257E-3</v>
      </c>
      <c r="AV3">
        <v>7.6425522373073873E-2</v>
      </c>
      <c r="AW3">
        <v>0.10705452816213645</v>
      </c>
      <c r="AX3">
        <v>-1.1778299652929536E-2</v>
      </c>
      <c r="AY3">
        <v>0.12849202499791512</v>
      </c>
    </row>
    <row r="4" spans="1:51" x14ac:dyDescent="0.35">
      <c r="A4" t="s">
        <v>161</v>
      </c>
      <c r="B4">
        <v>-2.4348050660809251E-2</v>
      </c>
      <c r="C4">
        <v>0.17899997942074442</v>
      </c>
      <c r="D4">
        <v>5.3592043458880134E-2</v>
      </c>
      <c r="E4">
        <v>-9.7456791152005784E-2</v>
      </c>
      <c r="F4">
        <v>9.9075542917716142E-2</v>
      </c>
      <c r="G4">
        <v>-1.2404188671498617E-2</v>
      </c>
      <c r="H4">
        <v>-2.0112401297278204E-2</v>
      </c>
      <c r="I4">
        <v>8.8319812711201706E-4</v>
      </c>
      <c r="J4">
        <v>0.13739337408998864</v>
      </c>
      <c r="K4">
        <v>4.93102042936715E-2</v>
      </c>
      <c r="L4">
        <v>0.16346340391895264</v>
      </c>
      <c r="M4">
        <v>0.15165498697161639</v>
      </c>
      <c r="N4">
        <v>-3.7833919205281896E-2</v>
      </c>
      <c r="O4">
        <v>-3.2854561153112916E-2</v>
      </c>
      <c r="P4">
        <v>8.8478774729274345E-2</v>
      </c>
      <c r="Q4">
        <v>5.2819549037135038E-2</v>
      </c>
      <c r="R4">
        <v>7.9197987324172381E-2</v>
      </c>
      <c r="S4">
        <v>2.0094932630428275E-2</v>
      </c>
      <c r="T4">
        <v>0.1675414410016085</v>
      </c>
      <c r="U4">
        <v>0.1310381975414967</v>
      </c>
      <c r="V4">
        <v>5.2266955821262284E-2</v>
      </c>
      <c r="W4">
        <v>1.4832552895459594E-2</v>
      </c>
      <c r="X4">
        <v>-1.9128735871546287E-2</v>
      </c>
      <c r="Y4">
        <v>-0.10185033256489218</v>
      </c>
      <c r="Z4">
        <v>-0.10937817346668721</v>
      </c>
      <c r="AA4">
        <v>5.4434209891755625E-2</v>
      </c>
      <c r="AB4">
        <v>3.2901852569451107E-2</v>
      </c>
      <c r="AC4">
        <v>0.13941133867926814</v>
      </c>
      <c r="AD4">
        <v>-1.9714931120616841E-3</v>
      </c>
      <c r="AE4">
        <v>9.5073761389524059E-2</v>
      </c>
      <c r="AF4">
        <v>0.23102348181169319</v>
      </c>
      <c r="AG4">
        <v>-5.5404051968755641E-2</v>
      </c>
      <c r="AH4">
        <v>-1.6079316485009265E-2</v>
      </c>
      <c r="AI4">
        <v>0.17435244591535337</v>
      </c>
      <c r="AJ4">
        <v>6.8288645445059748E-2</v>
      </c>
      <c r="AK4">
        <v>-0.10568757583847876</v>
      </c>
      <c r="AL4">
        <v>7.7890760169976314E-3</v>
      </c>
      <c r="AM4">
        <v>-9.7682374094033908E-2</v>
      </c>
      <c r="AN4">
        <v>-4.8483464601972281E-2</v>
      </c>
      <c r="AO4">
        <v>-3.0515458984663457E-3</v>
      </c>
      <c r="AP4">
        <v>2.7520955675692793E-3</v>
      </c>
      <c r="AQ4">
        <v>3.4665731121924281E-2</v>
      </c>
      <c r="AR4">
        <v>0.16682695641162315</v>
      </c>
      <c r="AS4">
        <v>3.9148103395052702E-2</v>
      </c>
      <c r="AT4">
        <v>0.19318839075466232</v>
      </c>
      <c r="AU4">
        <v>-6.6513778884906838E-3</v>
      </c>
      <c r="AV4">
        <v>0.15805628543610295</v>
      </c>
      <c r="AW4">
        <v>6.1989057853666374E-2</v>
      </c>
      <c r="AX4">
        <v>-0.10102989980336718</v>
      </c>
      <c r="AY4">
        <v>4.7570480242633773E-2</v>
      </c>
    </row>
    <row r="5" spans="1:51" x14ac:dyDescent="0.35">
      <c r="A5" t="s">
        <v>160</v>
      </c>
      <c r="B5">
        <v>2.0947373043940232E-3</v>
      </c>
      <c r="C5">
        <v>0.16863527274992385</v>
      </c>
      <c r="D5">
        <v>-4.3988899549594396E-2</v>
      </c>
      <c r="E5">
        <v>9.2439085080484595E-3</v>
      </c>
      <c r="F5">
        <v>-5.8187200655120397E-2</v>
      </c>
      <c r="G5">
        <v>6.393462710665343E-2</v>
      </c>
      <c r="H5">
        <v>3.9390304980641E-2</v>
      </c>
      <c r="I5">
        <v>-4.8821518700243871E-3</v>
      </c>
      <c r="J5">
        <v>-1.0087751091934383E-2</v>
      </c>
      <c r="K5">
        <v>-4.0523476546512227E-2</v>
      </c>
      <c r="L5">
        <v>0.22293804810000961</v>
      </c>
      <c r="M5">
        <v>0.17926818565699532</v>
      </c>
      <c r="N5">
        <v>-1.3958242070529314E-2</v>
      </c>
      <c r="O5">
        <v>6.29207364008606E-2</v>
      </c>
      <c r="P5">
        <v>-5.8488370474529816E-4</v>
      </c>
      <c r="Q5">
        <v>-2.4558541927591326E-2</v>
      </c>
      <c r="R5">
        <v>9.9825643984252199E-2</v>
      </c>
      <c r="S5">
        <v>9.5745177078208954E-2</v>
      </c>
      <c r="T5">
        <v>0.18763394710053749</v>
      </c>
      <c r="U5">
        <v>0.25076435289002275</v>
      </c>
      <c r="V5">
        <v>4.3184299723693531E-2</v>
      </c>
      <c r="W5">
        <v>1.4553844236743441E-2</v>
      </c>
      <c r="X5">
        <v>-6.46543044094261E-2</v>
      </c>
      <c r="Y5">
        <v>-6.8264578060728831E-2</v>
      </c>
      <c r="Z5">
        <v>-6.1684509125154663E-2</v>
      </c>
      <c r="AA5">
        <v>9.5210856186225046E-2</v>
      </c>
      <c r="AB5">
        <v>0.11893617882276653</v>
      </c>
      <c r="AC5">
        <v>-3.1171782286205985E-2</v>
      </c>
      <c r="AD5">
        <v>1.8900135651397809E-2</v>
      </c>
      <c r="AE5">
        <v>1.2824898959576503E-2</v>
      </c>
      <c r="AF5">
        <v>0.21820203216987899</v>
      </c>
      <c r="AG5">
        <v>-2.4014377471840653E-2</v>
      </c>
      <c r="AH5">
        <v>3.8296852003223636E-2</v>
      </c>
      <c r="AI5">
        <v>1.9952541657046741E-2</v>
      </c>
      <c r="AJ5">
        <v>0.15024427853413069</v>
      </c>
      <c r="AK5">
        <v>-9.0532127248145189E-3</v>
      </c>
      <c r="AL5">
        <v>7.8239784778870725E-3</v>
      </c>
      <c r="AM5">
        <v>1.2720264634141998E-2</v>
      </c>
      <c r="AN5">
        <v>0.11698172627821091</v>
      </c>
      <c r="AO5">
        <v>1.3563192783854205E-2</v>
      </c>
      <c r="AP5">
        <v>-3.1307857227137026E-2</v>
      </c>
      <c r="AQ5">
        <v>-1.7042856163464459E-2</v>
      </c>
      <c r="AR5">
        <v>0.20639671534077375</v>
      </c>
      <c r="AS5">
        <v>5.989281647284872E-2</v>
      </c>
      <c r="AT5">
        <v>0.15184773869153112</v>
      </c>
      <c r="AU5">
        <v>5.3546078104615979E-3</v>
      </c>
      <c r="AV5">
        <v>6.5052611824913953E-2</v>
      </c>
      <c r="AW5">
        <v>7.8823819307450416E-2</v>
      </c>
      <c r="AX5">
        <v>-0.14338179349370206</v>
      </c>
      <c r="AY5">
        <v>0.11585202582222953</v>
      </c>
    </row>
    <row r="6" spans="1:51" x14ac:dyDescent="0.35">
      <c r="A6" t="s">
        <v>159</v>
      </c>
      <c r="B6">
        <v>2.030658361074611E-2</v>
      </c>
      <c r="C6">
        <v>0.17407088736482224</v>
      </c>
      <c r="D6">
        <v>-4.6518788571582204E-2</v>
      </c>
      <c r="E6">
        <v>8.6784081187656348E-3</v>
      </c>
      <c r="F6">
        <v>-1.094991646316601E-2</v>
      </c>
      <c r="G6">
        <v>4.2874326827782028E-2</v>
      </c>
      <c r="H6">
        <v>4.2086601997496809E-2</v>
      </c>
      <c r="I6">
        <v>-1.7316859701690612E-2</v>
      </c>
      <c r="J6">
        <v>5.8994448996374516E-3</v>
      </c>
      <c r="K6">
        <v>1.566046272107835E-2</v>
      </c>
      <c r="L6">
        <v>0.13556024037343284</v>
      </c>
      <c r="M6">
        <v>9.9561145246060745E-2</v>
      </c>
      <c r="N6">
        <v>-1.1234137156741375E-2</v>
      </c>
      <c r="O6">
        <v>7.7927824267948642E-2</v>
      </c>
      <c r="P6">
        <v>7.6843927674916657E-2</v>
      </c>
      <c r="Q6">
        <v>-2.3689760318698072E-2</v>
      </c>
      <c r="R6">
        <v>9.5850567757821414E-2</v>
      </c>
      <c r="S6">
        <v>-1.6291818495720589E-3</v>
      </c>
      <c r="T6">
        <v>0.15662866258483188</v>
      </c>
      <c r="U6">
        <v>0.11023687113533853</v>
      </c>
      <c r="V6">
        <v>2.3511467000357333E-2</v>
      </c>
      <c r="W6">
        <v>3.6602317517634653E-2</v>
      </c>
      <c r="X6">
        <v>-4.8538279095632464E-2</v>
      </c>
      <c r="Y6">
        <v>-3.0067359701889673E-2</v>
      </c>
      <c r="Z6">
        <v>-3.4510361971969217E-2</v>
      </c>
      <c r="AA6">
        <v>9.5364119469438791E-2</v>
      </c>
      <c r="AB6">
        <v>1.4863393955985682E-2</v>
      </c>
      <c r="AC6">
        <v>-2.9047233095698566E-2</v>
      </c>
      <c r="AD6">
        <v>-1.5385537587214504E-2</v>
      </c>
      <c r="AE6">
        <v>-7.3986273175308259E-4</v>
      </c>
      <c r="AF6">
        <v>0.11899469604747615</v>
      </c>
      <c r="AG6">
        <v>7.204786691262699E-2</v>
      </c>
      <c r="AH6">
        <v>5.7388718776625325E-3</v>
      </c>
      <c r="AI6">
        <v>0.13027792547223549</v>
      </c>
      <c r="AJ6">
        <v>0.1133545730503398</v>
      </c>
      <c r="AK6">
        <v>6.023182481219802E-3</v>
      </c>
      <c r="AL6">
        <v>2.5378987462348235E-2</v>
      </c>
      <c r="AM6">
        <v>-3.319730127062881E-3</v>
      </c>
      <c r="AN6">
        <v>3.5408805121952325E-2</v>
      </c>
      <c r="AO6">
        <v>-1.1836192945465451E-2</v>
      </c>
      <c r="AP6">
        <v>3.4041737409844508E-3</v>
      </c>
      <c r="AQ6">
        <v>-1.5798285098030274E-2</v>
      </c>
      <c r="AR6">
        <v>0.12280627257731114</v>
      </c>
      <c r="AS6">
        <v>4.3636186103408248E-2</v>
      </c>
      <c r="AT6">
        <v>0.11189226414190867</v>
      </c>
      <c r="AU6">
        <v>4.2019732941085852E-2</v>
      </c>
      <c r="AV6">
        <v>4.830090038191881E-2</v>
      </c>
      <c r="AW6">
        <v>1.195386399278342E-2</v>
      </c>
      <c r="AX6">
        <v>-5.9960932960714364E-2</v>
      </c>
      <c r="AY6">
        <v>3.6272181257773983E-2</v>
      </c>
    </row>
    <row r="7" spans="1:51" x14ac:dyDescent="0.35">
      <c r="A7" t="s">
        <v>158</v>
      </c>
      <c r="B7">
        <v>4.2149821151798994E-2</v>
      </c>
      <c r="C7">
        <v>0.10310123378760072</v>
      </c>
      <c r="D7">
        <v>3.1754403971268275E-2</v>
      </c>
      <c r="E7">
        <v>2.5015652143324685E-2</v>
      </c>
      <c r="F7">
        <v>1.9348110955474951E-2</v>
      </c>
      <c r="G7">
        <v>1.0157775343372144E-2</v>
      </c>
      <c r="H7">
        <v>4.9364963256446348E-2</v>
      </c>
      <c r="I7">
        <v>-1.0190624127589532E-2</v>
      </c>
      <c r="J7">
        <v>3.9711314704807599E-2</v>
      </c>
      <c r="K7">
        <v>1.7363413659658988E-3</v>
      </c>
      <c r="L7">
        <v>5.2922022453726125E-2</v>
      </c>
      <c r="M7">
        <v>7.1070860032021566E-2</v>
      </c>
      <c r="N7">
        <v>-1.7577139890127547E-2</v>
      </c>
      <c r="O7">
        <v>3.0519435576796816E-3</v>
      </c>
      <c r="P7">
        <v>7.7577743992467196E-2</v>
      </c>
      <c r="Q7">
        <v>3.0400247471855657E-3</v>
      </c>
      <c r="R7">
        <v>8.3761181406708518E-2</v>
      </c>
      <c r="S7">
        <v>-2.5010586373327315E-2</v>
      </c>
      <c r="T7">
        <v>0.11157190887237256</v>
      </c>
      <c r="U7">
        <v>3.9371753544031662E-2</v>
      </c>
      <c r="V7">
        <v>2.0310458220712091E-2</v>
      </c>
      <c r="W7">
        <v>5.9640325461275623E-2</v>
      </c>
      <c r="X7">
        <v>5.9617911935997192E-2</v>
      </c>
      <c r="Y7">
        <v>4.2957097710987213E-3</v>
      </c>
      <c r="Z7">
        <v>1.6193350720530519E-2</v>
      </c>
      <c r="AA7">
        <v>5.8660680685023614E-2</v>
      </c>
      <c r="AB7">
        <v>-1.4014379546415157E-2</v>
      </c>
      <c r="AC7">
        <v>3.1370644912172452E-2</v>
      </c>
      <c r="AD7">
        <v>-8.982946330022834E-3</v>
      </c>
      <c r="AE7">
        <v>1.6586273497583459E-2</v>
      </c>
      <c r="AF7">
        <v>6.4740848808989337E-2</v>
      </c>
      <c r="AG7">
        <v>1.0540152102622935E-2</v>
      </c>
      <c r="AH7">
        <v>3.9379022970009503E-2</v>
      </c>
      <c r="AI7">
        <v>6.5580331063234354E-2</v>
      </c>
      <c r="AJ7">
        <v>7.6254379826020013E-2</v>
      </c>
      <c r="AK7">
        <v>-2.4022284728990151E-2</v>
      </c>
      <c r="AL7">
        <v>7.6718608750679707E-2</v>
      </c>
      <c r="AM7">
        <v>-5.1493088273791843E-3</v>
      </c>
      <c r="AN7">
        <v>-1.1449030297456586E-2</v>
      </c>
      <c r="AO7">
        <v>2.57450236135921E-2</v>
      </c>
      <c r="AP7">
        <v>2.0794227346421668E-2</v>
      </c>
      <c r="AQ7">
        <v>7.6564054535642301E-2</v>
      </c>
      <c r="AR7">
        <v>1.2164388978604501E-2</v>
      </c>
      <c r="AS7">
        <v>5.9620057740045418E-2</v>
      </c>
      <c r="AT7">
        <v>2.0534110572525854E-2</v>
      </c>
      <c r="AU7">
        <v>2.6882986772883921E-2</v>
      </c>
      <c r="AV7">
        <v>3.2178990974434107E-2</v>
      </c>
      <c r="AW7">
        <v>3.5080280965447574E-2</v>
      </c>
      <c r="AX7">
        <v>7.7056709367708809E-3</v>
      </c>
      <c r="AY7">
        <v>2.4774392298001047E-2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7"/>
  <sheetViews>
    <sheetView workbookViewId="0">
      <selection activeCell="A2" sqref="A2:A7"/>
    </sheetView>
  </sheetViews>
  <sheetFormatPr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163</v>
      </c>
      <c r="B2" s="1">
        <v>0.17</v>
      </c>
    </row>
    <row r="3" spans="1:2" x14ac:dyDescent="0.35">
      <c r="A3" s="1" t="s">
        <v>164</v>
      </c>
      <c r="B3" s="1">
        <v>0.05</v>
      </c>
    </row>
    <row r="4" spans="1:2" x14ac:dyDescent="0.35">
      <c r="A4" s="1" t="s">
        <v>165</v>
      </c>
      <c r="B4" s="1">
        <v>0.19</v>
      </c>
    </row>
    <row r="5" spans="1:2" x14ac:dyDescent="0.35">
      <c r="A5" s="1" t="s">
        <v>166</v>
      </c>
      <c r="B5" s="1">
        <v>0.28000000000000003</v>
      </c>
    </row>
    <row r="6" spans="1:2" x14ac:dyDescent="0.35">
      <c r="A6" s="1" t="s">
        <v>167</v>
      </c>
      <c r="B6" s="1">
        <v>0.3</v>
      </c>
    </row>
    <row r="7" spans="1:2" x14ac:dyDescent="0.35">
      <c r="A7" s="1" t="s">
        <v>168</v>
      </c>
      <c r="B7" s="1">
        <v>0.82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A2" sqref="A2:A7"/>
    </sheetView>
  </sheetViews>
  <sheetFormatPr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sqref="A1:G7"/>
    </sheetView>
  </sheetViews>
  <sheetFormatPr defaultRowHeight="14.5" x14ac:dyDescent="0.35"/>
  <cols>
    <col min="1" max="1" width="31.453125" bestFit="1" customWidth="1"/>
    <col min="2" max="2" width="29.6328125" bestFit="1" customWidth="1"/>
    <col min="3" max="3" width="31.453125" bestFit="1" customWidth="1"/>
    <col min="4" max="4" width="24.90625" bestFit="1" customWidth="1"/>
    <col min="5" max="5" width="30.81640625" bestFit="1" customWidth="1"/>
    <col min="6" max="6" width="24.36328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G7"/>
  <sheetViews>
    <sheetView workbookViewId="0">
      <selection activeCell="A2" sqref="A2:A7"/>
    </sheetView>
  </sheetViews>
  <sheetFormatPr defaultRowHeight="14.5" x14ac:dyDescent="0.35"/>
  <cols>
    <col min="1" max="1" width="31.453125" bestFit="1" customWidth="1"/>
    <col min="2" max="2" width="29.6328125" bestFit="1" customWidth="1"/>
    <col min="3" max="3" width="31.453125" bestFit="1" customWidth="1"/>
    <col min="4" max="4" width="24.90625" bestFit="1" customWidth="1"/>
    <col min="5" max="5" width="30.81640625" bestFit="1" customWidth="1"/>
    <col min="6" max="6" width="24.36328125" bestFit="1" customWidth="1"/>
    <col min="7" max="7" width="23.26953125" bestFit="1" customWidth="1"/>
  </cols>
  <sheetData>
    <row r="1" spans="1:7" x14ac:dyDescent="0.35">
      <c r="B1" t="str" cm="1">
        <f t="array" ref="B1:G1">TRANSPOSE(A2:A7)</f>
        <v>Small Cap</v>
      </c>
      <c r="C1" t="str">
        <v>US Agg Bond</v>
      </c>
      <c r="D1" t="str">
        <v>Gold</v>
      </c>
      <c r="E1" t="str">
        <v>Private Equity</v>
      </c>
      <c r="F1" t="str">
        <v>Venture Capital</v>
      </c>
      <c r="G1" t="str">
        <v>Angel Venture</v>
      </c>
    </row>
    <row r="2" spans="1:7" x14ac:dyDescent="0.35">
      <c r="A2" t="s">
        <v>163</v>
      </c>
      <c r="B2">
        <v>1</v>
      </c>
      <c r="C2">
        <v>-8.6999999999999994E-2</v>
      </c>
      <c r="D2">
        <v>-0.01</v>
      </c>
      <c r="E2">
        <v>0.78600000000000003</v>
      </c>
      <c r="F2">
        <v>0.68700000000000006</v>
      </c>
      <c r="G2">
        <v>0.45800000000000002</v>
      </c>
    </row>
    <row r="3" spans="1:7" x14ac:dyDescent="0.35">
      <c r="A3" t="s">
        <v>164</v>
      </c>
      <c r="B3">
        <v>-8.6999999999999994E-2</v>
      </c>
      <c r="C3">
        <v>1</v>
      </c>
      <c r="D3">
        <v>0.40799999999999997</v>
      </c>
      <c r="E3">
        <v>3.4000000000000002E-2</v>
      </c>
      <c r="F3">
        <v>-0.11</v>
      </c>
      <c r="G3">
        <v>-0.01</v>
      </c>
    </row>
    <row r="4" spans="1:7" x14ac:dyDescent="0.35">
      <c r="A4" t="s">
        <v>165</v>
      </c>
      <c r="B4">
        <v>-0.01</v>
      </c>
      <c r="C4">
        <v>0.40799999999999997</v>
      </c>
      <c r="D4">
        <v>1</v>
      </c>
      <c r="E4">
        <v>0.03</v>
      </c>
      <c r="F4">
        <v>2.5999999999999999E-2</v>
      </c>
      <c r="G4">
        <v>-0.01</v>
      </c>
    </row>
    <row r="5" spans="1:7" x14ac:dyDescent="0.35">
      <c r="A5" t="s">
        <v>166</v>
      </c>
      <c r="B5">
        <v>0.78600000000000003</v>
      </c>
      <c r="C5">
        <v>3.4000000000000002E-2</v>
      </c>
      <c r="D5">
        <v>0.03</v>
      </c>
      <c r="E5">
        <v>1</v>
      </c>
      <c r="F5">
        <v>0.56999999999999995</v>
      </c>
      <c r="G5">
        <v>0.92200000000000004</v>
      </c>
    </row>
    <row r="6" spans="1:7" x14ac:dyDescent="0.35">
      <c r="A6" t="s">
        <v>167</v>
      </c>
      <c r="B6">
        <v>0.68700000000000006</v>
      </c>
      <c r="C6">
        <v>-0.11</v>
      </c>
      <c r="D6">
        <v>2.5999999999999999E-2</v>
      </c>
      <c r="E6">
        <v>0.56999999999999995</v>
      </c>
      <c r="F6">
        <v>1</v>
      </c>
      <c r="G6">
        <v>0.82499999999999996</v>
      </c>
    </row>
    <row r="7" spans="1:7" x14ac:dyDescent="0.35">
      <c r="A7" t="s">
        <v>168</v>
      </c>
      <c r="B7">
        <v>0.45800000000000002</v>
      </c>
      <c r="C7">
        <v>-0.01</v>
      </c>
      <c r="D7">
        <v>-0.01</v>
      </c>
      <c r="E7">
        <v>0.92200000000000004</v>
      </c>
      <c r="F7">
        <v>0.82499999999999996</v>
      </c>
      <c r="G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A2" sqref="A2:A7"/>
    </sheetView>
  </sheetViews>
  <sheetFormatPr defaultColWidth="8.7265625" defaultRowHeight="14.5" x14ac:dyDescent="0.35"/>
  <cols>
    <col min="1" max="1" width="3.1796875" style="1" customWidth="1"/>
    <col min="2" max="2" width="18.1796875" style="1" bestFit="1" customWidth="1"/>
    <col min="3" max="4" width="13.26953125" style="1" bestFit="1" customWidth="1"/>
    <col min="5" max="5" width="13.81640625" style="1" bestFit="1" customWidth="1"/>
    <col min="6" max="6" width="13.26953125" style="1" bestFit="1" customWidth="1"/>
    <col min="7" max="16384" width="8.7265625" style="1"/>
  </cols>
  <sheetData>
    <row r="2" spans="2:7" x14ac:dyDescent="0.35">
      <c r="B2" t="s">
        <v>79</v>
      </c>
      <c r="C2" t="s">
        <v>75</v>
      </c>
      <c r="D2" t="s">
        <v>76</v>
      </c>
      <c r="E2" t="s">
        <v>77</v>
      </c>
      <c r="F2" t="s">
        <v>78</v>
      </c>
      <c r="G2" s="34" t="s">
        <v>81</v>
      </c>
    </row>
    <row r="3" spans="2:7" x14ac:dyDescent="0.35">
      <c r="B3" t="s">
        <v>72</v>
      </c>
      <c r="C3">
        <v>1</v>
      </c>
      <c r="D3">
        <v>0.45</v>
      </c>
      <c r="E3">
        <v>0.5</v>
      </c>
      <c r="F3">
        <v>0.57999999999999996</v>
      </c>
      <c r="G3" s="34"/>
    </row>
    <row r="4" spans="2:7" x14ac:dyDescent="0.35">
      <c r="B4" t="s">
        <v>73</v>
      </c>
      <c r="C4" s="23">
        <v>5157000</v>
      </c>
      <c r="D4" s="23">
        <v>5000000</v>
      </c>
      <c r="E4" s="23">
        <v>713500</v>
      </c>
      <c r="F4" s="23">
        <v>8812000</v>
      </c>
      <c r="G4" s="34"/>
    </row>
    <row r="5" spans="2:7" x14ac:dyDescent="0.35">
      <c r="B5" t="s">
        <v>74</v>
      </c>
      <c r="C5">
        <v>10</v>
      </c>
      <c r="D5">
        <v>30</v>
      </c>
      <c r="E5">
        <v>4</v>
      </c>
      <c r="F5">
        <v>18</v>
      </c>
      <c r="G5" s="34"/>
    </row>
    <row r="7" spans="2:7" x14ac:dyDescent="0.35">
      <c r="B7" t="s">
        <v>79</v>
      </c>
      <c r="C7" t="s">
        <v>75</v>
      </c>
      <c r="D7" t="s">
        <v>76</v>
      </c>
      <c r="E7" t="s">
        <v>77</v>
      </c>
      <c r="F7" t="s">
        <v>78</v>
      </c>
      <c r="G7" s="34" t="s">
        <v>80</v>
      </c>
    </row>
    <row r="8" spans="2:7" x14ac:dyDescent="0.35">
      <c r="B8" t="s">
        <v>72</v>
      </c>
      <c r="C8">
        <v>1</v>
      </c>
      <c r="D8">
        <v>0.45</v>
      </c>
      <c r="E8">
        <v>0.5</v>
      </c>
      <c r="F8">
        <v>0.57999999999999996</v>
      </c>
      <c r="G8" s="34"/>
    </row>
    <row r="9" spans="2:7" x14ac:dyDescent="0.35">
      <c r="B9" t="s">
        <v>73</v>
      </c>
      <c r="C9" s="23">
        <v>1000000</v>
      </c>
      <c r="D9" s="23">
        <v>2000000</v>
      </c>
      <c r="E9" s="23">
        <v>20000</v>
      </c>
      <c r="F9" s="23">
        <v>100000</v>
      </c>
      <c r="G9" s="34"/>
    </row>
    <row r="10" spans="2:7" x14ac:dyDescent="0.35">
      <c r="B10" t="s">
        <v>74</v>
      </c>
      <c r="C10">
        <v>10</v>
      </c>
      <c r="D10">
        <v>30</v>
      </c>
      <c r="E10">
        <v>4</v>
      </c>
      <c r="F10">
        <v>18</v>
      </c>
      <c r="G10" s="34"/>
    </row>
  </sheetData>
  <mergeCells count="2">
    <mergeCell ref="G7:G10"/>
    <mergeCell ref="G2:G5"/>
  </mergeCells>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A3" sqref="A3:XFD3"/>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K7" sqref="K7"/>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N</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Y</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Y</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N</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Y</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N</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Y</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N</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Y</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N</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Y</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N</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N</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Y</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2.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Loop</vt:lpstr>
      <vt:lpstr>Salary</vt:lpstr>
      <vt:lpstr>Wealth</vt:lpstr>
      <vt:lpstr>GBI Investment</vt:lpstr>
      <vt:lpstr>Aktiesparekonto</vt:lpstr>
      <vt:lpstr>GBI Allocations P1</vt:lpstr>
      <vt:lpstr>GBI Goals P1</vt:lpstr>
      <vt:lpstr>GBI Allocations P2</vt:lpstr>
      <vt:lpstr>notes next time talk</vt:lpstr>
      <vt:lpstr>GBI Goals P2</vt:lpstr>
      <vt:lpstr>Returns2</vt:lpstr>
      <vt:lpstr>Returns</vt:lpstr>
      <vt:lpstr>Volatilities2</vt:lpstr>
      <vt:lpstr>Volatilities</vt:lpstr>
      <vt:lpstr>Correlation</vt:lpstr>
      <vt:lpstr>Correlation2</vt:lpstr>
      <vt:lpstr>Goals</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2025-04-08T09:04:32Z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