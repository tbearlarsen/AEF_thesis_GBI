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rb\Documents\Github Repositories\AEF_thesis_GBI\GBI Optimisation\"/>
    </mc:Choice>
  </mc:AlternateContent>
  <xr:revisionPtr revIDLastSave="0" documentId="13_ncr:1_{D9EF28C5-778E-456F-912C-2EE5E55C2EF6}" xr6:coauthVersionLast="47" xr6:coauthVersionMax="47" xr10:uidLastSave="{00000000-0000-0000-0000-000000000000}"/>
  <bookViews>
    <workbookView xWindow="19095" yWindow="0" windowWidth="19410" windowHeight="20985" tabRatio="850" firstSheet="10" activeTab="15" xr2:uid="{31CD02D4-91DC-4A3F-AC52-23F22D133229}"/>
  </bookViews>
  <sheets>
    <sheet name="Index" sheetId="7" r:id="rId1"/>
    <sheet name="Goals_P1" sheetId="19" r:id="rId2"/>
    <sheet name="Goals_P2" sheetId="10" r:id="rId3"/>
    <sheet name="Loop" sheetId="1" r:id="rId4"/>
    <sheet name="Income" sheetId="2" r:id="rId5"/>
    <sheet name="Job Hopping" sheetId="8" r:id="rId6"/>
    <sheet name="Djøf Finance Workers" sheetId="5" r:id="rId7"/>
    <sheet name="Djøf Finance Hoppers" sheetId="6" r:id="rId8"/>
    <sheet name="returns_short_low" sheetId="11" r:id="rId9"/>
    <sheet name="returns_short_medium" sheetId="12" r:id="rId10"/>
    <sheet name="returns_short_high" sheetId="13" r:id="rId11"/>
    <sheet name="returns_long_low" sheetId="14" r:id="rId12"/>
    <sheet name="returns_long_medium" sheetId="15" r:id="rId13"/>
    <sheet name="returns_long_high" sheetId="16" r:id="rId14"/>
    <sheet name="blackrock_raw" sheetId="17" r:id="rId15"/>
    <sheet name="Sheet1" sheetId="18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</externalReferences>
  <definedNames>
    <definedName name="__FDS_HYPERLINK_TOGGLE_STATE__" hidden="1">"ON"</definedName>
    <definedName name="_DLX1">[1]Rates!#REF!</definedName>
    <definedName name="_DLX1.INC">'[2]Car Air'!#REF!</definedName>
    <definedName name="_DLX10.INC">'[3]US&amp;Europe'!#REF!</definedName>
    <definedName name="_DLX10_INC">#REF!</definedName>
    <definedName name="_DLX100.INC">'[3]Bonds Data BIS'!#REF!</definedName>
    <definedName name="_DLX14.INC">#REF!</definedName>
    <definedName name="_DLX15.INC">'[3]Bonds Data BIS'!#REF!</definedName>
    <definedName name="_DLX16.INC">'[3]Bonds Data BIS'!#REF!</definedName>
    <definedName name="_DLX2.INC">#REF!</definedName>
    <definedName name="_DLX20.INC">#REF!</definedName>
    <definedName name="_DLX3.INC">#REF!</definedName>
    <definedName name="_DLX4.INC">#REF!</definedName>
    <definedName name="_DLX5.INC">#REF!</definedName>
    <definedName name="_DLX5_INC">#REF!</definedName>
    <definedName name="_DLX50.INC">'[3]US&amp;Europe'!#REF!</definedName>
    <definedName name="_DLX52.INC">#REF!</definedName>
    <definedName name="_DLX53.INC">'[3]US&amp;Europe'!#REF!</definedName>
    <definedName name="_DLX54.INC">'[3]US&amp;Europe'!#REF!</definedName>
    <definedName name="_DLX56.INC">'[3]US&amp;Europe'!#REF!</definedName>
    <definedName name="_DLX6.INC">#REF!</definedName>
    <definedName name="_DLX60.INC">#REF!</definedName>
    <definedName name="_DLX7.INC">'[3]US&amp;Europe'!#REF!</definedName>
    <definedName name="_DLX8.INC">'[3]US&amp;Europe'!#REF!</definedName>
    <definedName name="_DLX80.INC">'[3]Bonds Data BIS'!#REF!</definedName>
    <definedName name="_DLX9.INC">'[3]US&amp;Europe'!#REF!</definedName>
    <definedName name="_Regression_Int" hidden="1">1</definedName>
    <definedName name="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wrn111" hidden="1">{#N/A,#N/A,FALSE,"One Pager";#N/A,#N/A,FALSE,"Technical"}</definedName>
    <definedName name="_wrn2" hidden="1">{#N/A,#N/A,TRUE,"Financials";#N/A,#N/A,TRUE,"Operating Statistics";#N/A,#N/A,TRUE,"Capex &amp; Depreciation";#N/A,#N/A,TRUE,"Debt"}</definedName>
    <definedName name="_wrn3" hidden="1">{#N/A,#N/A,FALSE,"One Pager";#N/A,#N/A,FALSE,"Technical"}</definedName>
    <definedName name="AUD_Nom">#REF!</definedName>
    <definedName name="AUD_Tenor">#REF!</definedName>
    <definedName name="AUD_yr">#REF!</definedName>
    <definedName name="BLPH1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CAD_Nom">#REF!</definedName>
    <definedName name="CAD_Tenor">#REF!</definedName>
    <definedName name="CAD_yr">#REF!</definedName>
    <definedName name="CHF_Nom">#REF!</definedName>
    <definedName name="CHF_Tenor">#REF!</definedName>
    <definedName name="CHF_yr">#REF!</definedName>
    <definedName name="CIQWBGuid" hidden="1">"b0891d4e-ba28-4aca-aa83-e3df72dfeb1c"</definedName>
    <definedName name="CIQWBInfo" hidden="1">"{ ""CIQVersion"":""9.45.614.5792"" }"</definedName>
    <definedName name="cn_asia">[4]Weights!$J$5</definedName>
    <definedName name="code">[5]CONSTANT!#REF!</definedName>
    <definedName name="Currency_cusip">'[6]Currency bucketing mapping'!$B$35:$B$160</definedName>
    <definedName name="Currency_name">'[6]Currency bucketing mapping'!$B$35:$BF$35</definedName>
    <definedName name="Currency_table">'[6]Currency bucketing mapping'!$B$35:$BF$160</definedName>
    <definedName name="D_0">#REF!</definedName>
    <definedName name="D_0_DE">#REF!</definedName>
    <definedName name="D_0_FR">#REF!</definedName>
    <definedName name="D_0_IT">#REF!</definedName>
    <definedName name="D_0_JP">#REF!</definedName>
    <definedName name="D_0_UK">#REF!</definedName>
    <definedName name="DaysInYear">[7]C!$B$29</definedName>
    <definedName name="DE_gwth">#REF!</definedName>
    <definedName name="DE_S">#REF!</definedName>
    <definedName name="ERP">[8]CF20!$C$18</definedName>
    <definedName name="EUR_Nom">#REF!</definedName>
    <definedName name="EUR_Tenor">#REF!</definedName>
    <definedName name="EUR_yr">#REF!</definedName>
    <definedName name="FR_gwth">#REF!</definedName>
    <definedName name="FR_S">#REF!</definedName>
    <definedName name="GBP_Nom">#REF!</definedName>
    <definedName name="GBP_Tenor">#REF!</definedName>
    <definedName name="GBP_yr">#REF!</definedName>
    <definedName name="gGDP">[8]CF20!$C$14</definedName>
    <definedName name="gls_ACT_EST_ROW" hidden="1">#REF!</definedName>
    <definedName name="gls_ACT_FORM_OFFSET" hidden="1">#REF!</definedName>
    <definedName name="gls_ADMIN" hidden="1">[9]_Control!$D$30</definedName>
    <definedName name="gls_ALLOW_BOTH_PC" hidden="1">[9]_Control!$D$52</definedName>
    <definedName name="gls_ALLOW_PARENT_OR_CONSOLIDATED" hidden="1">[9]_Control!$D$41</definedName>
    <definedName name="gls_ALLOW_PUBLISH" hidden="1">[9]_Control!$D$27</definedName>
    <definedName name="gls_AnalystEmpNoHeading" hidden="1">#REF!</definedName>
    <definedName name="gls_AnalystNameHeading" hidden="1">#REF!</definedName>
    <definedName name="gls_CF_BEGINS" hidden="1">[9]_Control!$D$38</definedName>
    <definedName name="gls_CFD_CHANGEACT" hidden="1">[9]_Control!$D$45</definedName>
    <definedName name="gls_CFD_CHANGEEST" hidden="1">[9]_Control!$D$46</definedName>
    <definedName name="gls_CFD_FIRSTAVAIL" hidden="1">[9]_Control!$D$47</definedName>
    <definedName name="gls_CFD_LISTAVAIL" hidden="1">[9]_Control!$D$48</definedName>
    <definedName name="gls_CFD_SELECTED" hidden="1">[9]_Control!$D$44</definedName>
    <definedName name="gls_CHANGED_NAMES" hidden="1">[9]_Control!$D$25</definedName>
    <definedName name="gls_CHG_KEY_USER" hidden="1">[9]_Control!$D$10</definedName>
    <definedName name="gls_CHG_SEL_ONLY" hidden="1">[9]_Control!$D$9</definedName>
    <definedName name="gls_COMPANY_WORKBOOK_ID" hidden="1">[9]_Control!$D$17</definedName>
    <definedName name="gls_DELETED_PERIODS" hidden="1">[9]_Control!$J$1</definedName>
    <definedName name="gls_EST_FORM_OFFSET" hidden="1">#REF!</definedName>
    <definedName name="gls_EXC_NOT_EXT" hidden="1">[9]_Control!$D$35</definedName>
    <definedName name="gls_EXISTING_PERIODS" hidden="1">[9]_Control!$G$1</definedName>
    <definedName name="gls_EXT_BELOW_PBT" hidden="1">[9]_Control!$D$39</definedName>
    <definedName name="gls_EXT_LINK_GLOSS" hidden="1">[9]_Control!$D$50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AdditionalInfo" hidden="1">#REF!</definedName>
    <definedName name="gls_GenComments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EPSComment" hidden="1">#REF!</definedName>
    <definedName name="gls_GenHomeRegion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NoteComment" hidden="1">#REF!</definedName>
    <definedName name="gls_GenProfile" hidden="1">#REF!</definedName>
    <definedName name="gls_GenRecComment" hidden="1">#REF!</definedName>
    <definedName name="gls_GenSaleslineInfo" hidden="1">#REF!</definedName>
    <definedName name="gls_GenSalesSplitByRegion" hidden="1">#REF!</definedName>
    <definedName name="gls_GenSalesSplitHeading" hidden="1">#REF!</definedName>
    <definedName name="gls_GenSheetVersion" hidden="1">#REF!</definedName>
    <definedName name="gls_genStockCore" hidden="1">#REF!</definedName>
    <definedName name="gls_genStockRec" hidden="1">#REF!</definedName>
    <definedName name="gls_GLOSS_MONTHS" hidden="1">[9]_Control!$A$1:$A$12</definedName>
    <definedName name="gls_GW_IN" hidden="1">[9]_Control!$D$36</definedName>
    <definedName name="gls_IIAA_IN" hidden="1">[9]_Control!$D$37</definedName>
    <definedName name="gls_InterimValue" hidden="1">[9]_Control!$D$22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LANGUAGE" hidden="1">[9]_Control!$D$23</definedName>
    <definedName name="gls_NEXT_PK" hidden="1">[9]_Control!$D$21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PROFILE_NAME" hidden="1">[9]_Control!$D$19</definedName>
    <definedName name="gls_SASS5HistEPSGrowth" hidden="1">#REF!</definedName>
    <definedName name="gls_SASS5ProjEPSGrowth" hidden="1">#REF!</definedName>
    <definedName name="gls_SASSDirectorHoldings" hidden="1">#REF!</definedName>
    <definedName name="gls_SASSEPS45AGR" hidden="1">#REF!</definedName>
    <definedName name="gls_SASSIsInterimLastAnnounce" hidden="1">#REF!</definedName>
    <definedName name="gls_SASSLastAnnounce" hidden="1">#REF!</definedName>
    <definedName name="gls_SASSNETDIV45AGR" hidden="1">#REF!</definedName>
    <definedName name="gls_SaveBeforePublish" hidden="1">[9]_Control!$D$26</definedName>
    <definedName name="gls_SaveWkbForNewPeriodCodes" hidden="1">[9]_Control!$D$28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HOW_CONTROL_VALUE" hidden="1">[9]_Control!$D$1</definedName>
    <definedName name="gls_SHOW_KEY_VAL_COLUMN" hidden="1">[9]_Control!$D$11</definedName>
    <definedName name="gls_SHOW_KEY_VALUES" hidden="1">[9]_Control!$D$8</definedName>
    <definedName name="gls_SHOW_LINKED_ITEMS" hidden="1">[9]_Control!$D$6</definedName>
    <definedName name="gls_SHOW_LOCAL_NAMES" hidden="1">[9]_Control!$D$2</definedName>
    <definedName name="gls_SHOW_MULTIPLIERS" hidden="1">[9]_Control!$D$7</definedName>
    <definedName name="gls_SHOW_PK_COLUMN" hidden="1">[9]_Control!$D$5</definedName>
    <definedName name="gls_SHOW_STATUS_INFORMATION" hidden="1">[9]_Control!$D$3</definedName>
    <definedName name="gls_SHOW_UNITS" hidden="1">[9]_Control!$D$4</definedName>
    <definedName name="gls_SPARE_YEARS" hidden="1">#REF!</definedName>
    <definedName name="gls_SPECIAL_DIALOG" hidden="1">[9]_Control!$D$49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StockTicker" hidden="1">[9]_Control!$D$20</definedName>
    <definedName name="gls_TEMP_PERIOD_CODE" hidden="1">#REF!</definedName>
    <definedName name="gls_THISWORKBOOK_NAME" hidden="1">[9]_Control!$D$18</definedName>
    <definedName name="gls_UNUSUAL_POS" hidden="1">[9]_Control!$D$40</definedName>
    <definedName name="gls_USER_CELL_FORMAT" hidden="1">[9]_Control!$D$51</definedName>
    <definedName name="gls_USING_CONSOLIDATED" hidden="1">[9]_Control!$D$34</definedName>
    <definedName name="gls_YEAR_AE_CONTROL" hidden="1">#REF!</definedName>
    <definedName name="gls_YEAR_END_ROW" hidden="1">#REF!</definedName>
    <definedName name="gls_YetToRunStartupWizard" hidden="1">[9]_Control!$D$29</definedName>
    <definedName name="hk_asia">[4]Weights!$J$6</definedName>
    <definedName name="hk_nie">[4]Weights!$K$6</definedName>
    <definedName name="id_asean">[4]Weights!$L$8</definedName>
    <definedName name="id_asean5">[4]Weights!$M$8</definedName>
    <definedName name="id_asia">[4]Weights!$J$8</definedName>
    <definedName name="in_asia">[4]Weights!$J$7</definedName>
    <definedName name="Index_PRICE">[8]CF20!$C$12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43872.5396759259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T_gwth">#REF!</definedName>
    <definedName name="IT_S">#REF!</definedName>
    <definedName name="JP_gwth">#REF!</definedName>
    <definedName name="JP_S">#REF!</definedName>
    <definedName name="JPY_Nom">#REF!</definedName>
    <definedName name="JPY_Tenor">#REF!</definedName>
    <definedName name="JPY_yr">#REF!</definedName>
    <definedName name="k">#REF!</definedName>
    <definedName name="kr_asia">[4]Weights!$J$9</definedName>
    <definedName name="kr_nie">[4]Weights!$K$9</definedName>
    <definedName name="M_PlaceofPath" hidden="1">"\\SNYCEQT0100\HOME\LZURLO\DATA\TELMEX\Models\tmx_vdf.xls"</definedName>
    <definedName name="MKT_5yFWD">#REF!</definedName>
    <definedName name="MKT_5yFWD_ccy">#REF!</definedName>
    <definedName name="MKT_5yFWD_tenor">#REF!</definedName>
    <definedName name="my_asean">[4]Weights!$L$10</definedName>
    <definedName name="my_asean5">[4]Weights!$M$10</definedName>
    <definedName name="my_asia">[4]Weights!$J$10</definedName>
    <definedName name="OMO_RRR">#REF!</definedName>
    <definedName name="Page_0026">#N/A</definedName>
    <definedName name="Page_0027">#N/A</definedName>
    <definedName name="ph_asean">[4]Weights!$L$11</definedName>
    <definedName name="ph_asean5">[4]Weights!$M$11</definedName>
    <definedName name="ph_asia">[4]Weights!$J$11</definedName>
    <definedName name="Player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xlnm.Print_Area">#N/A</definedName>
    <definedName name="sg_asean5">[4]Weights!$M$12</definedName>
    <definedName name="sg_asia">[4]Weights!$J$12</definedName>
    <definedName name="sg_nie">[4]Weights!$K$12</definedName>
    <definedName name="SolvedReturn">[10]CF20!$F$50</definedName>
    <definedName name="SolvedReturn2">[8]CF20!$F$59</definedName>
    <definedName name="spd_EUR_linkers">#REF!</definedName>
    <definedName name="SpreadsheetBuilder_1" hidden="1">#REF!</definedName>
    <definedName name="SpreadsheetBuilder_2" hidden="1">#REF!</definedName>
    <definedName name="SpreadsheetBuilder_3" hidden="1">#REF!</definedName>
    <definedName name="SpreadsheetBuilder_4" hidden="1">#REF!</definedName>
    <definedName name="SpreadsheetBuilder_5" hidden="1">#REF!</definedName>
    <definedName name="SpreadsheetBuilder_7" hidden="1">#REF!</definedName>
    <definedName name="th_asean">[4]Weights!$L$14</definedName>
    <definedName name="th_asean5">[4]Weights!$M$14</definedName>
    <definedName name="th_asia">[4]Weights!$J$14</definedName>
    <definedName name="Tigr_Exhibit052c116f_fa03_453e_98be_14a9d0dd2058" hidden="1">#REF!</definedName>
    <definedName name="Tigr_Exhibit1113a9ef_7b01_4439_86db_1d2bbe7df0ac" hidden="1">#REF!</definedName>
    <definedName name="Tigr_Exhibit35b4bd78_d1e7_47d7_9864_956742c3e774" hidden="1">#REF!</definedName>
    <definedName name="Tigr_Exhibit397f6bfd_406c_40a1_9009_f5d98b80386f" hidden="1">[11]table!#REF!</definedName>
    <definedName name="Tigr_Exhibit5170b4cc_c7f3_46f9_904a_3aacaf1d7bdc" hidden="1">#REF!</definedName>
    <definedName name="Tigr_Exhibit54d8a2f4_eba6_4aec_9e5b_245ab3dbf58e" hidden="1">#REF!</definedName>
    <definedName name="Tigr_Exhibit576261f4_88db_4080_ae87_1b1914c9adb3" hidden="1">#REF!</definedName>
    <definedName name="Tigr_Exhibit5a33439a_d266_4ce7_8f98_be0140951553" hidden="1">[11]table!#REF!</definedName>
    <definedName name="Tigr_Exhibit624067c3_9ca8_4b04_8f5d_e3af8e62f374" hidden="1">#REF!</definedName>
    <definedName name="Tigr_Exhibit85fa87ab_c172_44b2_864d_78796004dd90" hidden="1">#REF!</definedName>
    <definedName name="Tigr_Exhibit9344d486_5b89_4b33_b900_19a7edd4aa3c" hidden="1">#REF!</definedName>
    <definedName name="Tigr_Exhibit9e9e0bd5_38bb_463b_bac6_e3b8e4b25555" hidden="1">#REF!</definedName>
    <definedName name="Tigr_Exhibitad91ea03_81cd_48cb_8b2b_0aa43c450efa" hidden="1">#REF!</definedName>
    <definedName name="Tigr_Exhibitb4317050_8e37_410d_9395_60290cc834c2" hidden="1">[11]table!#REF!</definedName>
    <definedName name="Tigr_Exhibitb6a2f72d_5780_438a_bc18_ddfdc55327ab" hidden="1">#REF!</definedName>
    <definedName name="Tigr_Exhibitc2fe1ca1_6833_4470_a00b_0b31a20ce419" hidden="1">[11]table!#REF!</definedName>
    <definedName name="Tigr_Exhibitc72ef51d_f40f_4f26_bc18_214f1da98272" hidden="1">#REF!</definedName>
    <definedName name="Tigr_Exhibitcb4442e9_d113_4670_8b2e_72dc16ff2245" hidden="1">#REF!</definedName>
    <definedName name="Tigr_Exhibitd07d21f6_e7c1_4c44_aec5_80a56b5e291b" hidden="1">#REF!</definedName>
    <definedName name="Tigr_Exhibitd128574e_653f_4165_8efb_b0bfc8e0b363" hidden="1">[11]table!#REF!</definedName>
    <definedName name="Tigr_Exhibitdab8e344_3648_43b7_bd5c_cb0212370d7d" hidden="1">#REF!</definedName>
    <definedName name="Tigr_Exhibitdcbc2a45_f882_40e3_aa68_e89f64f59b5f" hidden="1">#REF!</definedName>
    <definedName name="Tigr_Exhibitf5f21f65_69c7_4860_bb92_d262bba1f1bb" hidden="1">#REF!</definedName>
    <definedName name="Tigr_Exhibitf687f29e_825f_4649_b503_90666490e5ac" hidden="1">#REF!</definedName>
    <definedName name="Tigr_Exhibitfb02c44d_a8a5_4bd9_aaba_19b80c5a8f22" hidden="1">#REF!</definedName>
    <definedName name="TRNR_0022038504de447abd8a933ff7ebe766_1_2" hidden="1">#REF!</definedName>
    <definedName name="TRNR_009f5003b0f74013b8a5778bf8c40b5e_114_4" hidden="1" xml:space="preserve">    '[12]25 energy performance'!$B$7</definedName>
    <definedName name="TRNR_01e02471d7604ee88f2e36cadd8f094d_354_2" hidden="1">#REF!</definedName>
    <definedName name="TRNR_023df90456774c4babbeba2a51298872_184_0" hidden="1">'[13]Price move from peak'!#REF!</definedName>
    <definedName name="TRNR_02571366124c4be8a90baec84b360a6f_808_4" hidden="1" xml:space="preserve">                        '[14]Front end repricing'!$E$2</definedName>
    <definedName name="TRNR_02c5ed77fc674760bb39ca5f1999a853_131_3" hidden="1" xml:space="preserve">                        '[15]Forward Earnings'!$A$1</definedName>
    <definedName name="TRNR_02d9f7785fc240e3b9f78371ef301d31_184_0" hidden="1">'[13]Price move from peak'!#REF!</definedName>
    <definedName name="TRNR_02fb48280ee148ea8ce5a53d1af52471_133_1" hidden="1" xml:space="preserve">                        '[14]Core PCE YoY'!$A$1</definedName>
    <definedName name="TRNR_03330a6294b94741b7463e8bd998c237_132_0" hidden="1">'[13]Price move from peak'!#REF!</definedName>
    <definedName name="TRNR_033bc21edfbf433095a7619eb48b7b2a_2_6" hidden="1">#REF!</definedName>
    <definedName name="TRNR_03a8e3d59832403581e4d9ffffa5a9dc_52_2" hidden="1" xml:space="preserve">                                                                                        '[16]2 equity bond scatter'!$B$7</definedName>
    <definedName name="TRNR_03b5b758e87049098cfea1146a22f2bb_262_2" hidden="1">#REF!</definedName>
    <definedName name="TRNR_03d2d266c69d48cc8a1af23df1ad8ad8_713_3" hidden="1" xml:space="preserve">                        '[17]Yield breakdown'!$B$4</definedName>
    <definedName name="TRNR_03e4f5a9f94f4b3a927a7d0aae8e0ac7_3653_2" hidden="1">#REF!</definedName>
    <definedName name="TRNR_058badf99ad740458bdc9600b19b0357_3_2" hidden="1">#REF!</definedName>
    <definedName name="TRNR_05d4ea35cf254312a5a029d3c300bf41_51_3" hidden="1">#REF!</definedName>
    <definedName name="TRNR_05d8e688f8be4c29a2b24f7f2bc4323d_1_1" hidden="1" xml:space="preserve">                                                                                                                                '[16]2 equity bond scatter'!$Q$5</definedName>
    <definedName name="TRNR_06452938cc28454d8730b4afd5d8a300_52_2" hidden="1" xml:space="preserve">                                        '[16]2 equity bond scatter'!$B$7</definedName>
    <definedName name="TRNR_0695b177738b4d2bbe532564186a8d63_42_0" hidden="1">'[13]Price move from peak'!#REF!</definedName>
    <definedName name="TRNR_069d482229be49c3a4454968e8b95def_2611_3" hidden="1">#REF!</definedName>
    <definedName name="TRNR_06b69a8c01b6485aabbb4da7f45496a8_131_4" hidden="1" xml:space="preserve">                        '[18]Forward Earnings'!$A$1</definedName>
    <definedName name="TRNR_06fc6e6aefeb461d88957e02f07fc87a_354_2" hidden="1">#REF!</definedName>
    <definedName name="TRNR_06fcd81e21b249c1b9179115cbc8c7ae_204_11" hidden="1">[19]Yields!#REF!</definedName>
    <definedName name="TRNR_08b994993ca74a6997af161f4e3028ed_285_0" hidden="1">#REF!</definedName>
    <definedName name="TRNR_0927a714a696439f883008e70eac0026_132_0" hidden="1">'[13]Price move from peak'!#REF!</definedName>
    <definedName name="TRNR_0952e1325265498e822e7671e5b52f14_24_2" hidden="1">#REF!</definedName>
    <definedName name="TRNR_09961c64069d405e8fc7af5e7050e754_86_3" hidden="1" xml:space="preserve">                          '[20]P9 Margins'!$B$9</definedName>
    <definedName name="TRNR_09ec4f68ed5c4963a85fd07d7ac370a3_354_2" hidden="1">#REF!</definedName>
    <definedName name="TRNR_0a528f8b24f94d04882519bcd4c4c374_53_3" hidden="1" xml:space="preserve">                                                                                    '[16]2 equity bond scatter'!$G$7</definedName>
    <definedName name="TRNR_0a90e5cf5ef44b68bda7723c7a7132e7_184_1" hidden="1">'[13]Price move from peak'!#REF!</definedName>
    <definedName name="TRNR_0ab50ac2f96d4e829dfe727b4fe80dbb_3_2" hidden="1">#REF!</definedName>
    <definedName name="TRNR_0ad002cd71bc48fc918f597e0f5c0dc0_69_12" hidden="1">#REF!</definedName>
    <definedName name="TRNR_0af661a046b545098b61d5b679753138_22_1" hidden="1">#REF!</definedName>
    <definedName name="TRNR_0b3c1f9db42e4d0dad7f651d8481426e_1364_4" hidden="1">#REF!</definedName>
    <definedName name="TRNR_0b9e5a0c11414b5c96ebf68ca1a51260_1_1" hidden="1" xml:space="preserve">                                                                                                                                                                                                  '[21]P3 Equity Bond returns'!$N$5</definedName>
    <definedName name="TRNR_0bcc0200341b4c3d891a3a123cd005ad_713_3" hidden="1" xml:space="preserve">                        '[17]Yield breakdown'!$B$4</definedName>
    <definedName name="TRNR_0c58e63d6a4c485e84ffca15697d6014_22_1" hidden="1">#REF!</definedName>
    <definedName name="TRNR_0c60889b11054055862c351b15269474_152_1" hidden="1">#REF!</definedName>
    <definedName name="TRNR_0c77e8b20404444693cd1c8ccfba92f8_109_2" hidden="1">#REF!</definedName>
    <definedName name="TRNR_0d04f28dd6b24959af4624b234968264_122_1" hidden="1" xml:space="preserve">                                                                                        '[22]19 earnings'!$N$1</definedName>
    <definedName name="TRNR_0db19cfbf27a4998b9e6810a85292ff8_522_25" hidden="1">#REF!</definedName>
    <definedName name="TRNR_0dc5eb7bc071459d95a50387909e81a3_1_1" hidden="1" xml:space="preserve">                                                                                        '[16]2 equity bond scatter'!$Q$5</definedName>
    <definedName name="TRNR_0dd083e5f2eb483f934fa1e3a5cfe0a8_103_22" hidden="1">#REF!</definedName>
    <definedName name="TRNR_0e2928f722444093be5ca2f5aa65e453_1_1" hidden="1" xml:space="preserve">                        '[23]US rate paths'!$C$5</definedName>
    <definedName name="TRNR_0e4e8dcdf25c4ee386e8ecc609aed7cf_9767_2" hidden="1">#REF!</definedName>
    <definedName name="TRNR_0e9f7e2b95934d50b7c9202e6ae70d7d_1_1" hidden="1" xml:space="preserve">                                                                                                                '[16]2 equity bond scatter'!$Q$5</definedName>
    <definedName name="TRNR_0ed1d890895747f0b9abb31352e06e25_1_2" hidden="1">#REF!</definedName>
    <definedName name="TRNR_0eed335a95da4e5b84dfaab8cd3ed9f4_7159_1" hidden="1">#REF!</definedName>
    <definedName name="TRNR_0f42e7950da8458ca981da53f3783240_2_1" hidden="1" xml:space="preserve">                            '[12]25 energy performance'!#REF!</definedName>
    <definedName name="TRNR_0f8192d927ed431994b4120977d394be_1_16" hidden="1">#REF!</definedName>
    <definedName name="TRNR_0fe186b5c0684094a7a449ad8601a4c9_53_3" hidden="1" xml:space="preserve">                                                                                        '[16]2 equity bond scatter'!$G$7</definedName>
    <definedName name="TRNR_103fade85aad429c9392d37a18c76ba1_329_4" hidden="1">'[24]Regional PE Ratios'!#REF!</definedName>
    <definedName name="TRNR_10b2608a99094f93aa41152cbeedad10_1_1" hidden="1">#REF!</definedName>
    <definedName name="TRNR_10f04cf0bfba47a4bca7c2d95e860da7_1_32" hidden="1">#REF!</definedName>
    <definedName name="TRNR_10f460ca41dd4d11b0c837622463a4e2_2_1" hidden="1">#REF!</definedName>
    <definedName name="TRNR_110f9d2dbc194b60a96303eba513e802_109_2" hidden="1">#REF!</definedName>
    <definedName name="TRNR_112bf0614b2f4b7182d0baaff78b9d3b_635_1" hidden="1">#REF!</definedName>
    <definedName name="TRNR_1204ec8b2ebd4e0994a27f2ea91c3079_0_0" hidden="1">#REF!</definedName>
    <definedName name="TRNR_1248fe869bb54a06bb44f19171fdf55a_5_3" hidden="1" xml:space="preserve">                                                                                                                '[22]20 earnings growth'!$C$124</definedName>
    <definedName name="TRNR_124e6eaf16444d1389b5b24d758b019f_284_1" hidden="1" xml:space="preserve">                                                '[16]5 reallocation'!$R$3</definedName>
    <definedName name="TRNR_125ce7401f1543fbac73bc256f412311_1_16" hidden="1">#REF!</definedName>
    <definedName name="TRNR_1280b6f2ae74488aaee39c5b4e9648e8_3_0" hidden="1">#REF!</definedName>
    <definedName name="TRNR_12ad6a2b00024bfeb3a250aa0fb21094_3_0" hidden="1" xml:space="preserve">                                                                                                                                                                        '[21]P8 Commodity prices'!$AK$4</definedName>
    <definedName name="TRNR_12c0872c497549b9ae9a51a419d63128_522_9" hidden="1">#REF!</definedName>
    <definedName name="TRNR_12d9cc4dcadd4985865f8ff44f76cc97_99_2" hidden="1">#REF!</definedName>
    <definedName name="TRNR_131228f3dd29455cbc85f609d1d7a1c6_2_5" hidden="1">#REF!</definedName>
    <definedName name="TRNR_1348913699b549c9a461c17555e758f6_42_0" hidden="1">'[13]Price move from peak'!#REF!</definedName>
    <definedName name="TRNR_13bafd09ca3a449cab60a2022fd43149_53_3" hidden="1" xml:space="preserve">                                                                                      '[16]2 equity bond scatter'!$G$7</definedName>
    <definedName name="TRNR_13ec0d2f069c4a9aa65b9439650fc51c_131_3" hidden="1">#REF!</definedName>
    <definedName name="TRNR_140f9f9e576e4f649d45f06fea5daf48_357_1" hidden="1">#REF!</definedName>
    <definedName name="TRNR_143ffb9adef64df09d9388195e4de716_52_22" hidden="1">#REF!</definedName>
    <definedName name="TRNR_147e2e6abdf04a2c8090927bd1927ca2_1_2" hidden="1">#REF!</definedName>
    <definedName name="TRNR_1483c6a70b2e487e9687f420a8dedca3_354_2" hidden="1">#REF!</definedName>
    <definedName name="TRNR_14cf539c69b844c4ae464e59c87a7ba0_24_2" hidden="1">#REF!</definedName>
    <definedName name="TRNR_15a5553da3ce45cdaa1fbae61b47b4de_1135_4" hidden="1">#REF!</definedName>
    <definedName name="TRNR_15ce99caacdf457298fff89919e623d3_3_0" hidden="1">#REF!</definedName>
    <definedName name="TRNR_162c9677ce1b432dad60cfd39512918c_52_2" hidden="1" xml:space="preserve">                                            '[16]2 equity bond scatter'!$B$7</definedName>
    <definedName name="TRNR_163d4ba639b147229f9c1f8d4bf21c77_56_2" hidden="1">#REF!</definedName>
    <definedName name="TRNR_16491ea54b384106be905505a488a34c_56_2" hidden="1">#REF!</definedName>
    <definedName name="TRNR_1654c5c8811948ca978777d3a599c835_1826_4" hidden="1">#REF!</definedName>
    <definedName name="TRNR_16634befd77747e1a3c2db3f69d6ecfd_9_1" hidden="1">#REF!</definedName>
    <definedName name="TRNR_16c2411c5c744737ace3fc4dc374c84e_522_3" hidden="1">#REF!</definedName>
    <definedName name="TRNR_16ffc2601da94412bb02f45e71af0cea_472_25" hidden="1">#REF!</definedName>
    <definedName name="TRNR_171a341da3d9490aae75825a25c24ae1_52_2" hidden="1" xml:space="preserve">                                  '[16]2 equity bond scatter'!$B$7</definedName>
    <definedName name="TRNR_1755142f0d224eab894d1142698ebb70_444_25" hidden="1">#REF!</definedName>
    <definedName name="TRNR_176c27c646744197badfd0c40eefd110_1826_4" hidden="1">#REF!</definedName>
    <definedName name="TRNR_179cea9620474640acc1ce8a704f89bc_1_32" hidden="1">#REF!</definedName>
    <definedName name="TRNR_188f382276504567996caf1401f83a08_1_1" hidden="1" xml:space="preserve">                                            '[16]2 equity bond scatter'!$N$5</definedName>
    <definedName name="TRNR_1901f7631c054956846696055358198c_1_1" hidden="1" xml:space="preserve">                              '[20]P9 Margins'!$I$2</definedName>
    <definedName name="TRNR_19033554cf8e4903926214cc052aeea0_1464_1" hidden="1">'[25]Market Overview'!#REF!</definedName>
    <definedName name="TRNR_194ba81d102f41d3bccbd07c26674d0d_52_2" hidden="1" xml:space="preserve">                                            '[16]2 equity bond scatter'!$B$7</definedName>
    <definedName name="TRNR_198d2498a5c649bf857c9860e6cefb20_109_2" hidden="1">#REF!</definedName>
    <definedName name="TRNR_19b02aba1ccf475a976fcc4261897ad0_132_0" hidden="1">'[13]Price move from peak'!#REF!</definedName>
    <definedName name="TRNR_1a76fc0d6eee4af98ea855de11850adc_630_1" hidden="1">'[26]Consumer confidence'!#REF!</definedName>
    <definedName name="TRNR_1a923f58b83d4c67ba99fd5e918b0e1e_522_1" hidden="1">#REF!</definedName>
    <definedName name="TRNR_1ab45169b7dd45d3bb3b69f865cb617d_184_0" hidden="1">'[13]Price move from peak'!#REF!</definedName>
    <definedName name="TRNR_1b32cca261544e789ac267db2f3c49ce_7_1" hidden="1" xml:space="preserve">                                                 '[16]7 Bev curve'!$B$9</definedName>
    <definedName name="TRNR_1b3c45ab744d4797b983e899653536b7_354_2" hidden="1">#REF!</definedName>
    <definedName name="TRNR_1beb6a5d42c04c09bfb28d77f79095cb_93_3" hidden="1">#REF!</definedName>
    <definedName name="TRNR_1c150b7ffd3343a1a5180452e07d1f8c_627_2" hidden="1">#REF!</definedName>
    <definedName name="TRNR_1c4109679f1f43f9af2d8545cdaa31a6_662_2" hidden="1">#REF!</definedName>
    <definedName name="TRNR_1e1a605c109644a28df4b279a05d0d0a_13_1" hidden="1" xml:space="preserve">                                                                                                                                                                                  '[21]P6 Cutting through confusion'!#REF!</definedName>
    <definedName name="TRNR_1e3b0befaeab4f8389cd09bb0e5d6f3f_3_2" hidden="1">#REF!</definedName>
    <definedName name="TRNR_1e6a5b9761ae489c89ad6cd7b6cf88d9_69_22" hidden="1">#REF!</definedName>
    <definedName name="TRNR_1eb8a91826e543798b067ef406cdfdac_2_6" hidden="1">#REF!</definedName>
    <definedName name="TRNR_1f939ccb531b469faf56ea779834a189_52_3" hidden="1" xml:space="preserve">                        '[16]2 equity bond scatter'!$G$7</definedName>
    <definedName name="TRNR_2059bde9c69942cfbd049b7421f84890_568_2" hidden="1">#REF!</definedName>
    <definedName name="TRNR_212e1c448bfc4d8fabfd9774f6ee3e2b_56_2" hidden="1">#REF!</definedName>
    <definedName name="TRNR_21387fb04754483b8151c05acd2b35f3_1_2" hidden="1">#REF!</definedName>
    <definedName name="TRNR_217ac1c0c91c44ac8c6f53af799977b4_30_4" hidden="1">#REF!</definedName>
    <definedName name="TRNR_21b9cfe68abd4cbcb534a928ba242268_3_0" hidden="1">#REF!</definedName>
    <definedName name="TRNR_22328570d3864970a2f59fb840e0b45c_42_0" hidden="1">'[13]Price move from peak'!#REF!</definedName>
    <definedName name="TRNR_23261311fe5942b2be66ea7f6dcb0278_522_3" hidden="1">#REF!</definedName>
    <definedName name="TRNR_241fc6fb835d44a2aa611200013ff0f7_0_0" hidden="1">#REF!</definedName>
    <definedName name="TRNR_2422538fb9fb4294ab1e0d641fc5bebe_88_7" hidden="1">#REF!</definedName>
    <definedName name="TRNR_243824d937714a64ae3c57be84508484_1_1" hidden="1" xml:space="preserve">                                                                                                                '[16]2 equity bond scatter'!$Q$5</definedName>
    <definedName name="TRNR_2439fe4aa3144cb4a4cc6adb96f26233_354_2" hidden="1">#REF!</definedName>
    <definedName name="TRNR_244b156d402d401d9dfce4d1c006eaa3_628_2" hidden="1">#REF!</definedName>
    <definedName name="TRNR_248c102b648c4f90bef605312dbab57f_569_2" hidden="1">#REF!</definedName>
    <definedName name="TRNR_2499ea3221df4855918db5e1744c7f04_23_3" hidden="1">#REF!</definedName>
    <definedName name="TRNR_25509cab880c4b9caea7561f12ab51a6_662_2" hidden="1">#REF!</definedName>
    <definedName name="TRNR_25bd1612ee9543c2863d524a25b3b90b_16_6" hidden="1">#REF!</definedName>
    <definedName name="TRNR_25deafa667464b479e4983b7a1fdc306_86_2" hidden="1">#REF!</definedName>
    <definedName name="TRNR_264bb6388a7349a299e0328bf4b2764f_1135_5" hidden="1">#REF!</definedName>
    <definedName name="TRNR_269ee402894640b286824878af79dd82_266_2" hidden="1" xml:space="preserve">                                                                                                                '[22]14 US unemployment'!$A$6</definedName>
    <definedName name="TRNR_26fed1823d48472b8319729a82598fbf_109_2" hidden="1">#REF!</definedName>
    <definedName name="TRNR_270da73763444de48994778ed1d564a1_119_1" hidden="1" xml:space="preserve">                        '[22]19 earnings'!$A$1</definedName>
    <definedName name="TRNR_271dd887607742dd888fad30d697f595_1_1" hidden="1">#REF!</definedName>
    <definedName name="TRNR_271eaa364249408e8821342c725888ec_22_1" hidden="1">#REF!</definedName>
    <definedName name="TRNR_2767db6ad56e4ea492b4f07884f4f382_56_2" hidden="1">#REF!</definedName>
    <definedName name="TRNR_278c636e7f2143d29ec5a43e7d71a6d8_1_1" hidden="1" xml:space="preserve">                                                  '[16]2 equity bond scatter'!$Q$5</definedName>
    <definedName name="TRNR_27b5b925622f4ae2affdcbf6ee7d3e5c_3_2" hidden="1">#REF!</definedName>
    <definedName name="TRNR_27d86fbd3c2b4378b05a9a13a80da44b_3_2" hidden="1">#REF!</definedName>
    <definedName name="TRNR_280e7e69613f4b2e99987b422ef6900c_1305_1" hidden="1" xml:space="preserve">                        '[23]US rate paths'!$C$5</definedName>
    <definedName name="TRNR_2834186cf2e541dcbf43fad5c57937f0_875_3" hidden="1">#REF!</definedName>
    <definedName name="TRNR_2869fb90a1ad45b582b2ce3f2fc0c556_18_1" hidden="1">#REF!</definedName>
    <definedName name="TRNR_289b92a3f251448aafc0efa562de6b17_1_32" hidden="1">#REF!</definedName>
    <definedName name="TRNR_28b1f0ae048f4a408153aaece20f3bcd_1397_5" hidden="1">#REF!</definedName>
    <definedName name="TRNR_290d399556e64950a9b2ecde80939fc1_1_32" hidden="1">#REF!</definedName>
    <definedName name="TRNR_29198288034e41a58aac8ec8a3571f5f_264_2" hidden="1" xml:space="preserve">                                                                                                                '[22]22 5y5y inflation vs  10y'!$BF$6</definedName>
    <definedName name="TRNR_294f83ab00fc48149300a65a899e91f7_192_2" hidden="1">#REF!</definedName>
    <definedName name="TRNR_2a696123317a41e29034659c22f501a3_132_3" hidden="1" xml:space="preserve">                                            '[16]23 EM perf'!$C$8</definedName>
    <definedName name="TRNR_2a7528d46a39412c9fd5070d25f30b31_7757_1" hidden="1" xml:space="preserve">                        '[17]US rate path'!$B$4</definedName>
    <definedName name="TRNR_2a9a0ba3e2c54844a59756b7fc8d8828_187_2" hidden="1">#REF!</definedName>
    <definedName name="TRNR_2ab2a9fb79504fbf9ea0b594f8675fca_623_3" hidden="1">#REF!</definedName>
    <definedName name="TRNR_2adff21ca4a24ba1a50de13720887930_3_0" hidden="1">#REF!</definedName>
    <definedName name="TRNR_2b3d985f7e7d41ecb20362f7f6f856bc_485_3" hidden="1">#REF!</definedName>
    <definedName name="TRNR_2b53265c98684c0e905ec95f0f1b5911_1_1" hidden="1" xml:space="preserve">                                                                        '[16]2 equity bond scatter'!$N$5</definedName>
    <definedName name="TRNR_2b67df83cf7940c4b962ab45fa198f2a_132_0" hidden="1">'[13]Price move from peak'!#REF!</definedName>
    <definedName name="TRNR_2b6e5039832743fd974a2f04c0fd10b5_132_0" hidden="1">'[13]Price move from peak'!#REF!</definedName>
    <definedName name="TRNR_2bb90b0fcd824806a0cbb2df13e6b733_1_1" hidden="1" xml:space="preserve">                                '[16]2 equity bond scatter'!$Q$5</definedName>
    <definedName name="TRNR_2bdd2c04bcd248898d2c0cd90bbb5168_128_1" hidden="1" xml:space="preserve">                                                                                                                                                                          '[21]P6 Cutting through confusion'!#REF!</definedName>
    <definedName name="TRNR_2c6d8d93a4ba4952bfd1db3f7d33d432_1_2" hidden="1">#REF!</definedName>
    <definedName name="TRNR_2ca21ab43de245eeb1fae09e0b883ebe_629_2" hidden="1">#REF!</definedName>
    <definedName name="TRNR_2cba9cf7785e4db8bbdd10d9ddd1b478_53_3" hidden="1" xml:space="preserve">                                                                                      '[16]2 equity bond scatter'!$G$7</definedName>
    <definedName name="TRNR_2d1fa54fe8a14643a5fd5ae6e6be3c78_1_1" hidden="1" xml:space="preserve">                                            '[16]2 equity bond scatter'!$Q$5</definedName>
    <definedName name="TRNR_2d2afd9413aa48fb948263f718b766ad_264_2" hidden="1" xml:space="preserve">                                                                                                                '[22]22 5y5y inflation vs  10y'!$BA$6</definedName>
    <definedName name="TRNR_2d6d5bbcee404431bfaf5e9707f29e3f_919_3" hidden="1" xml:space="preserve">                             '[16]21 yield breakdown'!$C$5</definedName>
    <definedName name="TRNR_2dd106e25d4644ebb2fe0459e60c5f7c_131_3" hidden="1">#REF!</definedName>
    <definedName name="TRNR_2e9c842a04e64cb1a3a190f7c7700194_1527_1" hidden="1" xml:space="preserve">                        '[27]One-week repo'!$B$4</definedName>
    <definedName name="TRNR_2e9fc950c23849f8be768bad7f9ff89c_90_3" hidden="1">#REF!</definedName>
    <definedName name="TRNR_2f1b5d01d85c4161a1da8c5f371478d7_662_2" hidden="1">#REF!</definedName>
    <definedName name="TRNR_2f38b40639e645ecaf794fb567b737b0_97_2" hidden="1">#REF!</definedName>
    <definedName name="TRNR_2f53ed21e70c4de182b646a277fdf9cd_187_2" hidden="1">#REF!</definedName>
    <definedName name="TRNR_2f6666c16fc04e93b700cd252295a15b_3_2" hidden="1">#REF!</definedName>
    <definedName name="TRNR_2f6cf7c3e5e040be89495bff9e403669_51_2" hidden="1" xml:space="preserve">                                                                                                                                                                                          '[21]P3 Equity Bond returns'!$B$7</definedName>
    <definedName name="TRNR_2f92e24ed1ae4c5fad38fa07f8dfe33a_98_2" hidden="1">#REF!</definedName>
    <definedName name="TRNR_2f934da538394633ba64d1273323c587_3_0" hidden="1">#REF!</definedName>
    <definedName name="TRNR_2f96b2b7e8494556b38d2d960b6fb36e_1_5" hidden="1">#REF!</definedName>
    <definedName name="TRNR_2fd4f8a6f5864cf28fd3bb6110e85361_627_3" hidden="1" xml:space="preserve">                                                '[14]UW US Treasuries'!$B$6</definedName>
    <definedName name="TRNR_30070d0fe59b4abfa879c284e02ddb26_3_2" hidden="1">#REF!</definedName>
    <definedName name="TRNR_30742d257990456395b2ef7ac651c384_184_0" hidden="1">'[13]Price move from peak'!#REF!</definedName>
    <definedName name="TRNR_3076cc4e0d7349728097981da1da70be_192_1" hidden="1" xml:space="preserve">                                                                                                                                                              '[21]P5 Living with inflation'!$S$2</definedName>
    <definedName name="TRNR_30e265b973044369b1c1a4b6f5cff15c_5_3" hidden="1" xml:space="preserve">                                                                                                                '[22]20 earnings growth'!$C$124</definedName>
    <definedName name="TRNR_316abb6abe04402d826aba4b30e591aa_147_4" hidden="1" xml:space="preserve">                                                                                        '[22]10 US PCE'!$A$2</definedName>
    <definedName name="TRNR_326ad92fab894aff896e9a5b5e5dd4ea_372_2" hidden="1">#REF!</definedName>
    <definedName name="TRNR_329c7461baed4e75b47f8e4288e27ee0_3_2" hidden="1">#REF!</definedName>
    <definedName name="TRNR_33dc2efc94684e34a8fda0661eedba77_86_4" hidden="1">#REF!</definedName>
    <definedName name="TRNR_3457a2703fb245ad9f4d7504143e7b5e_132_0" hidden="1">'[13]Price move from peak'!#REF!</definedName>
    <definedName name="TRNR_348d230be3ae41bd9b60f16efee103da_99_2" hidden="1">#REF!</definedName>
    <definedName name="TRNR_3513c489eb294b329fba20cc97972897_1_32" hidden="1">#REF!</definedName>
    <definedName name="TRNR_355091f948b34062b7dca7762466a9e9_50_2" hidden="1" xml:space="preserve">                                                                                                                '[22]13 Labor market'!$A$6</definedName>
    <definedName name="TRNR_3555682d4fa14f9d8e6c8c70b111846a_42_0" hidden="1">'[13]Price move from peak'!#REF!</definedName>
    <definedName name="TRNR_35662209cddb49af9f783649386e3d7d_97_2" hidden="1">#REF!</definedName>
    <definedName name="TRNR_359639a6556c405984880945ab66261d_3_2" hidden="1">#REF!</definedName>
    <definedName name="TRNR_362b95ac3b294a1e8c67a6461f96718c_634_1" hidden="1">#REF!</definedName>
    <definedName name="TRNR_374d28037bf24ad086df32e2fe402fb3_131_6" hidden="1" xml:space="preserve">                        '[22]20 earnings growth'!$R$1</definedName>
    <definedName name="TRNR_37c7dffb11a44814b835c0be79db784b_52_2" hidden="1" xml:space="preserve">                                  '[16]2 equity bond scatter'!$B$7</definedName>
    <definedName name="TRNR_37d14926bbe84cd7a5b01f0f71a64f3d_97_2" hidden="1">#REF!</definedName>
    <definedName name="TRNR_37fd508a95f64726b2b48a16e5488d27_662_2" hidden="1">#REF!</definedName>
    <definedName name="TRNR_384a04b2920c443cb310c774cc9b5189_3_0" hidden="1">#REF!</definedName>
    <definedName name="TRNR_392828ec508746a8a823359d22dc50ea_1_16" hidden="1">#REF!</definedName>
    <definedName name="TRNR_3ab4b67339d942c19655e555adec1079_1_1" hidden="1">#REF!</definedName>
    <definedName name="TRNR_3aef964708a541caadaacac75ab1af07_23_3" hidden="1">'[28]Gov. Bond Returns YTD'!#REF!</definedName>
    <definedName name="TRNR_3b45c693a95b4f78acb6c94ea7b1ecee_26_1" hidden="1">#REF!</definedName>
    <definedName name="TRNR_3b4bc04d41a74750bcfd76421bf75593_53_3" hidden="1" xml:space="preserve">                                                                                      '[16]2 equity bond scatter'!$G$7</definedName>
    <definedName name="TRNR_3bde59b2284441dcb1169c9f2d8f6379_60_3" hidden="1">#REF!</definedName>
    <definedName name="TRNR_3c1df4fbc5cd45ceabef05a02cb8f522_6091_1" hidden="1">#REF!</definedName>
    <definedName name="TRNR_3c243511dc33479fb9c2d93ad45380b2_612_3" hidden="1">#REF!</definedName>
    <definedName name="TRNR_3c59622afec24c70beb314e80cf9dbe1_1_4" hidden="1">#REF!</definedName>
    <definedName name="TRNR_3caec76bcea645c09a727fb817ac6b43_50_2" hidden="1" xml:space="preserve">                                                                                                                '[22]13 Labor market'!$A$6</definedName>
    <definedName name="TRNR_3cc26214bbd349508b589d4757e02d29_7756_1" hidden="1" xml:space="preserve">                        '[23]US rate paths'!$N$6</definedName>
    <definedName name="TRNR_3cdd1fcbb7a3440d9fec564aae4e83e8_198_3" hidden="1">#REF!</definedName>
    <definedName name="TRNR_3d04cad8e52a4d18ba2b433ffa97dc3c_2_1" hidden="1">#REF!</definedName>
    <definedName name="TRNR_3d369e897c0a449294786058f79fb54d_132_0" hidden="1">'[13]Price move from peak'!#REF!</definedName>
    <definedName name="TRNR_3db93553dbbc4699b1940078f798f2a3_3_2" hidden="1">#REF!</definedName>
    <definedName name="TRNR_3dc268b817ad4f4cb661080963a7cc27_53_3" hidden="1" xml:space="preserve">                                            '[16]2 equity bond scatter'!$G$7</definedName>
    <definedName name="TRNR_3e58bba7bdf0464e9599ead80862155a_2610_3" hidden="1">#REF!</definedName>
    <definedName name="TRNR_3e5da22a202543d881e0fb0ad7405842_109_2" hidden="1" xml:space="preserve">                                                  '[16]3 Timeline'!$D$4</definedName>
    <definedName name="TRNR_3e907f26e53143908b36d5686a4a5729_3_0" hidden="1" xml:space="preserve">            '[21]P8 Commodity prices'!$AJ$4</definedName>
    <definedName name="TRNR_3f087541a281442ba63b49b8240389f6_45_1" hidden="1">#REF!</definedName>
    <definedName name="TRNR_3fd2ad8bb314468d8510e4bd51674ff9_1_4" hidden="1">#REF!</definedName>
    <definedName name="TRNR_402e2ae01c1549a2a1eaf16c6023aabe_52_3" hidden="1">#REF!</definedName>
    <definedName name="TRNR_405a023172b64d34aeeb596afa353f01_1_2" hidden="1">#REF!</definedName>
    <definedName name="TRNR_4069bb8c5add4bbb8febc1fe8b50e50e_132_0" hidden="1">'[13]Price move from peak'!#REF!</definedName>
    <definedName name="TRNR_40f3ee76557647bb829777943fce1711_662_2" hidden="1">#REF!</definedName>
    <definedName name="TRNR_40f9f34501ae4db7b269a859c8307996_24_2" hidden="1">#REF!</definedName>
    <definedName name="TRNR_41243149c5d6487d9276ae7d1e2477d4_50_2" hidden="1" xml:space="preserve">                                                                                                                '[22]13 Labor market'!$A$6</definedName>
    <definedName name="TRNR_41b21af8a2b84d8181f63e7c7b4b5540_15_4" hidden="1">#REF!</definedName>
    <definedName name="TRNR_4209b003d10144d28ddf347586540bc1_2_6" hidden="1">#REF!</definedName>
    <definedName name="TRNR_42491f0dc74b4b07bb0ee4d47db3c3f9_1145_18" hidden="1">#REF!</definedName>
    <definedName name="TRNR_425035760b43421fb3afe02d85e5faaf_1_1" hidden="1" xml:space="preserve">                                                  '[16]2 equity bond scatter'!$Q$5</definedName>
    <definedName name="TRNR_42b85146d90b48fbb4a8c9e3e418d2ed_109_2" hidden="1">#REF!</definedName>
    <definedName name="TRNR_42ccd2e2f1c74a05be6746233ddd20de_629_2" hidden="1">#REF!</definedName>
    <definedName name="TRNR_4317d9b7efa943369e573338e5c4a174_253_1" hidden="1">#REF!</definedName>
    <definedName name="TRNR_439e1c4a378d4706957408d02fab8818_3_2" hidden="1">#REF!</definedName>
    <definedName name="TRNR_43c4edd405cd4220ae59178fdb30e8f2_100_2" hidden="1">#REF!</definedName>
    <definedName name="TRNR_43cdc442ec00411793b7e9a51995d1a3_1_1" hidden="1" xml:space="preserve">                                                                                                                '[16]2 equity bond scatter'!$N$5</definedName>
    <definedName name="TRNR_43fbbb80c0cb49859f5b9d1f44f515d4_62_2" hidden="1" xml:space="preserve">                                                                                                                '[22]22 5y5y inflation vs  10y'!$BA$6</definedName>
    <definedName name="TRNR_4411c8e1497d46b4b77e605ac969dfa8_0_0" hidden="1">#REF!</definedName>
    <definedName name="TRNR_44ec4a67e4574c2d9a0d53b79d7eb94a_81_3" hidden="1">#REF!</definedName>
    <definedName name="TRNR_44ffff8e964e42a2999288e39b75fda1_46_1" hidden="1">#REF!</definedName>
    <definedName name="TRNR_45367014747a4fac9a4bfa1c672d4f7e_109_2" hidden="1">#REF!</definedName>
    <definedName name="TRNR_455fdb3b7d734167ad47bf9aa561cf13_185_4" hidden="1">#REF!</definedName>
    <definedName name="TRNR_45c262c7e40e4e9996cfb192b3ae6adf_184_0" hidden="1">'[13]Price move from peak'!#REF!</definedName>
    <definedName name="TRNR_4644f0c9bb7e46b78523452b78c1d2ea_329_4" hidden="1">'[24]Regional PE Ratios'!#REF!</definedName>
    <definedName name="TRNR_46889d88e84f4b4787c95eb494953ed2_3_2" hidden="1" xml:space="preserve">                                                '[21]P8 Commodity prices'!$AG$4</definedName>
    <definedName name="TRNR_46c0c0f770a14473a6160e5ae28f53d7_634_1" hidden="1">#REF!</definedName>
    <definedName name="TRNR_4783304536c44c19b10448628d3c2eeb_52_2" hidden="1" xml:space="preserve">                                  '[16]2 equity bond scatter'!$B$7</definedName>
    <definedName name="TRNR_481c3a7ec56340c198eb1d01040ce086_662_2" hidden="1">#REF!</definedName>
    <definedName name="TRNR_48cdf9bdd4fd499c865d3017ae78f7dc_1_32" hidden="1">#REF!</definedName>
    <definedName name="TRNR_48e7ee12c90049048681b548a1f49948_1_5" hidden="1">#REF!</definedName>
    <definedName name="TRNR_4ac2a7f0eab64692a92bc18b07a0bee8_50_1" hidden="1" xml:space="preserve">                                                                                                                '[22]13 Labor market'!$A$6</definedName>
    <definedName name="TRNR_4b7a7b2d8617470c8487d9a011b16fd0_1388_5" hidden="1">#REF!</definedName>
    <definedName name="TRNR_4b99625cbf3b45cdbfdb03ce3202ae3a_181_3" hidden="1">'[29]Chart of the week'!$C$9</definedName>
    <definedName name="TRNR_4c0bc3da268c4b3cb79adf5484d27a0b_3_2" hidden="1">#REF!</definedName>
    <definedName name="TRNR_4c5de5a3e1eb4800829d3221c18df623_99_2" hidden="1">#REF!</definedName>
    <definedName name="TRNR_4c6897a8a5fc4815b03a00d1fdbd0b6f_136_2" hidden="1" xml:space="preserve">                                                  '[16]3 Timeline'!$D$4</definedName>
    <definedName name="TRNR_4c6cc8b0d4bc4f8780d2ca1c9549a125_354_2" hidden="1">#REF!</definedName>
    <definedName name="TRNR_4c97241b6eff4cda84d4c53bf43978cb_808_4" hidden="1" xml:space="preserve">                                '[14]Front end repricing'!$E$2</definedName>
    <definedName name="TRNR_4c9d18419c5d49c09a64f306b94ec58f_857_2" hidden="1">#REF!</definedName>
    <definedName name="TRNR_4d2676638fd34119acee6fb860250ade_56_2" hidden="1">#REF!</definedName>
    <definedName name="TRNR_4d41e2affe934858a6148cb48c1b8491_25_1" hidden="1">#REF!</definedName>
    <definedName name="TRNR_4d646242afa940c4a8c16793e5007f06_3_0" hidden="1">#REF!</definedName>
    <definedName name="TRNR_4e04c9efc7c84ba59d0e9ca6c30fde04_71_20" hidden="1">#REF!</definedName>
    <definedName name="TRNR_4e4d50783a9140dea2e0f61ec690a188_1693_1" hidden="1">[30]Spreads!#REF!</definedName>
    <definedName name="TRNR_50273989263d4d04a0df1e1bfffa23b1_679_3" hidden="1" xml:space="preserve">                                                '[14]UW US Treasuries'!$B$6</definedName>
    <definedName name="TRNR_50568117ba1e4b4cbb62c28ec353a9a6_192_2" hidden="1">#REF!</definedName>
    <definedName name="TRNR_507c08c9ace540379f5d934f2fab48bb_1_5" hidden="1">#REF!</definedName>
    <definedName name="TRNR_50de05d70863437aaec96158805a2370_1_1" hidden="1">#REF!</definedName>
    <definedName name="TRNR_50e915b2db304e04adc7beca66a11680_3_2" hidden="1">#REF!</definedName>
    <definedName name="TRNR_510497f369604e9ba832a17b5c7248eb_1_2" hidden="1">#REF!</definedName>
    <definedName name="TRNR_5196330dbea745a794a91b03a2e69f74_109_2" hidden="1">#REF!</definedName>
    <definedName name="TRNR_51a90b60a8004681838cd6e877b1c4a8_109_2" hidden="1">#REF!</definedName>
    <definedName name="TRNR_51ee9576c07a46ee9181f89f0f5c94cf_3_2" hidden="1">#REF!</definedName>
    <definedName name="TRNR_51f6eb9e327c45368e4061a45db9c5ac_1394_4" hidden="1">#REF!</definedName>
    <definedName name="TRNR_5228f17d28fc45c29d68ed3df673a0bd_342_3" hidden="1">#REF!</definedName>
    <definedName name="TRNR_52af26229f174bfd83af5b8446dfc876_7984_22" hidden="1">#REF!</definedName>
    <definedName name="TRNR_52d7eef0ca3c465785f175acded02de8_56_2" hidden="1">#REF!</definedName>
    <definedName name="TRNR_530d3b4010b04f52832c91c0f40590f4_192_2" hidden="1">#REF!</definedName>
    <definedName name="TRNR_5316ed3f588a4732b91aaa046d24a402_305_9" hidden="1">'[24]US Earnings Estimates'!#REF!</definedName>
    <definedName name="TRNR_53271935cdc142e7ad1798973d4146af_1042_0" hidden="1">'[13]Price move from peak'!#REF!</definedName>
    <definedName name="TRNR_5352a53cfa474fce967ded6690969db2_1_1" hidden="1" xml:space="preserve">                                                                                        '[16]2 equity bond scatter'!$Q$5</definedName>
    <definedName name="TRNR_53981416a6094f62902fb40f68fc9daa_2_6" hidden="1">#REF!</definedName>
    <definedName name="TRNR_54919ce6f8c7429c9ff69583cca160cc_1_2" hidden="1">#REF!</definedName>
    <definedName name="TRNR_5571c4d46f5648f5b786febeba23afb9_1_1" hidden="1" xml:space="preserve">                                                            '[16]2 equity bond scatter'!$N$5</definedName>
    <definedName name="TRNR_5585735d3e284ffdb6d2775407812d41_192_2" hidden="1">#REF!</definedName>
    <definedName name="TRNR_55bc11e12eeb43038e273441026a97f7_3_0" hidden="1">#REF!</definedName>
    <definedName name="TRNR_56ce972487284728b644db58955f89b7_192_2" hidden="1">#REF!</definedName>
    <definedName name="TRNR_57075dc238f94dbca69320e9f40dcc95_1_1" hidden="1" xml:space="preserve">                                                  '[16]2 equity bond scatter'!$Q$5</definedName>
    <definedName name="TRNR_571d65367c1545de993ce780a4d1f631_7757_1" hidden="1">#REF!</definedName>
    <definedName name="TRNR_5723066f32a4484d80cd75ef61112f9b_24_2" hidden="1">#REF!</definedName>
    <definedName name="TRNR_5730b404b11e4e1f9475a8ef5d504ea2_184_0" hidden="1">'[13]Price move from peak'!#REF!</definedName>
    <definedName name="TRNR_5824ffb397ac409aa77a78485d39a370_266_3" hidden="1" xml:space="preserve">                                                                                                                '[22]14 US unemployment'!$A$6</definedName>
    <definedName name="TRNR_5888df9673de4b8e838cf561ecebde3a_56_2" hidden="1">#REF!</definedName>
    <definedName name="TRNR_5902378b498344ac9e9d6a083181ac26_1_32" hidden="1">#REF!</definedName>
    <definedName name="TRNR_59281e9e1c914bf1b8e93bf6d1186be6_1_2" hidden="1">#REF!</definedName>
    <definedName name="TRNR_59c1c6edeb5a4e9ea45a923e6209de29_253_3" hidden="1" xml:space="preserve">              '[20]P9 Margins'!$B$9</definedName>
    <definedName name="TRNR_59fbab36b9c242078f59dfa447062ca8_122_4" hidden="1" xml:space="preserve">                '[22]19 earnings'!$T$1</definedName>
    <definedName name="TRNR_5a27c4831e3e47728ab646fa7ed7a582_6091_1" hidden="1">#REF!</definedName>
    <definedName name="TRNR_5a373dd62cdc4fa89d9d5575cfe044ea_6061_1" hidden="1">#REF!</definedName>
    <definedName name="TRNR_5b33a746ef1d4dd181a684a866bcc609_3_2" hidden="1">#REF!</definedName>
    <definedName name="TRNR_5b6f105978844c279e8e6333cd30931d_522_25" hidden="1">#REF!</definedName>
    <definedName name="TRNR_5bdca5adb5fa42c28a740cb83258cfb1_1_2" hidden="1">#REF!</definedName>
    <definedName name="TRNR_5c2c984d1e3d43c681a69de17dfef63c_1305_1" hidden="1" xml:space="preserve">                        '[23]US rate paths'!$C$5</definedName>
    <definedName name="TRNR_5c52da01777c43b5ba1c7886223f5e16_192_2" hidden="1">#REF!</definedName>
    <definedName name="TRNR_5c902287249148739bdbbd1d1e2a1ceb_232_1" hidden="1" xml:space="preserve">  '[20]P10 FF Geopolitics'!$A$8</definedName>
    <definedName name="TRNR_5ca5cda8eb9949248e1956b9b1748256_56_2" hidden="1">#REF!</definedName>
    <definedName name="TRNR_5ce8d7bd09214bea8a28adbdd04772f1_99_2" hidden="1">#REF!</definedName>
    <definedName name="TRNR_5d5a2ccea16442cab243464e52ff4835_144_2" hidden="1" xml:space="preserve">                                                  '[16]3 Timeline'!$D$4</definedName>
    <definedName name="TRNR_5dd4777b8d9e4755af62fcd6697fb896_305_5" hidden="1">'[24]US Earnings Estimates'!#REF!</definedName>
    <definedName name="TRNR_5f2c83c7772d4fc986bba8bbfe5fd511_1573_2" hidden="1" xml:space="preserve">                                                                                                                '[22]19 RealYields'!$V$3</definedName>
    <definedName name="TRNR_5f4c6d73522d4d4c94f7ce932d526605_662_2" hidden="1">#REF!</definedName>
    <definedName name="TRNR_5f6a732d58474870a5e08cb4d4ff73d0_522_1" hidden="1" xml:space="preserve">                        '[22]19 earnings'!$A$1</definedName>
    <definedName name="TRNR_5f9a6ae8d34f4cc8bef205acae00ac9d_662_2" hidden="1">#REF!</definedName>
    <definedName name="TRNR_5f9fc73478c34eee9612820cba0999d6_1_32" hidden="1">#REF!</definedName>
    <definedName name="TRNR_60359aeac038487aa49cfdf251470bf7_1826_4" hidden="1">#REF!</definedName>
    <definedName name="TRNR_6036627395b14131a58ce16ea7cdc2f9_264_2" hidden="1" xml:space="preserve">                                                                                                                '[22]22 5y5y inflation vs  10y'!$BF$6</definedName>
    <definedName name="TRNR_60dc8520a2b9481e9ce828c1319baf7a_52_3" hidden="1" xml:space="preserve">                                                                                            '[21]P3 Equity Bond returns'!$G$7</definedName>
    <definedName name="TRNR_6173c6fe96eb46569f25d8c44a91132d_635_1" hidden="1">#REF!</definedName>
    <definedName name="TRNR_617f6c497a2c493eafcba2eb588b4ad6_95_22" hidden="1">#REF!</definedName>
    <definedName name="TRNR_61aa0f3446a04342ae4596710b8f54e3_98_22" hidden="1">#REF!</definedName>
    <definedName name="TRNR_629ad3f6ebfe46ada057684f5efb8a63_0_0" hidden="1">#REF!</definedName>
    <definedName name="TRNR_62a46143fd364139a8faeabc2557922e_1_2" hidden="1">#REF!</definedName>
    <definedName name="TRNR_63113377dc094b879b0ec2fcec9ce337_87_3" hidden="1">#REF!</definedName>
    <definedName name="TRNR_63cdc67117d24d7fae088f0e1398f4c0_184_0" hidden="1">'[13]Price move from peak'!#REF!</definedName>
    <definedName name="TRNR_64374df0ec264481900650681dc3b1c3_132_0" hidden="1">'[13]Price move from peak'!#REF!</definedName>
    <definedName name="TRNR_6450fc4e7928425185b5df312e1c6af0_24_2" hidden="1">#REF!</definedName>
    <definedName name="TRNR_64902412772f46af8f0221301483c56e_1_1" hidden="1" xml:space="preserve">                                                                                            '[21]P3 Equity Bond returns'!$Q$5</definedName>
    <definedName name="TRNR_64999fb5e7004eebaab12e10631e99fc_3_0" hidden="1">#REF!</definedName>
    <definedName name="TRNR_655634f7d8354b3fb37b18a78fa9b1e7_1_1" hidden="1" xml:space="preserve">                                                  '[16]2 equity bond scatter'!$Q$5</definedName>
    <definedName name="TRNR_65b3cce11c524f16a44df6348311387b_919_3" hidden="1" xml:space="preserve">                             '[16]21 yield breakdown'!$C$5</definedName>
    <definedName name="TRNR_66516c68cba948019b85e0aaa556a605_1135_4" hidden="1">#REF!</definedName>
    <definedName name="TRNR_66739097a9c546e4851d9619ce3d89b9_339_2" hidden="1">#REF!</definedName>
    <definedName name="TRNR_667b848e76404babb901050956c043ca_72_12" hidden="1">#REF!</definedName>
    <definedName name="TRNR_678b2b4f7eee49a4b83c1fa286488383_120_1" hidden="1">#REF!</definedName>
    <definedName name="TRNR_67ced6ea3580423f996025b23cda311f_112_4" hidden="1" xml:space="preserve">    '[12]25 energy performance'!$B$7</definedName>
    <definedName name="TRNR_680c9228ec2343bda2b8bd2373bc84ac_1_1" hidden="1" xml:space="preserve">                                                                                        '[16]2 equity bond scatter'!$N$5</definedName>
    <definedName name="TRNR_682ffe6358e642c5a7dc88ccc56a23cd_9767_3" hidden="1">#REF!</definedName>
    <definedName name="TRNR_695f025cad13405e8b6005607e58cadd_1_2" hidden="1">#REF!</definedName>
    <definedName name="TRNR_69a3cbdf23d14126bece4ff15e51021d_354_2" hidden="1">#REF!</definedName>
    <definedName name="TRNR_6a17e3a051924c399fe0d2e1bdb9452b_357_1" hidden="1" xml:space="preserve">                        '[23]US rate paths'!$AC$5</definedName>
    <definedName name="TRNR_6a61dcbc638a42c591e0b55b4746b5c3_42_0" hidden="1">'[13]Price move from peak'!#REF!</definedName>
    <definedName name="TRNR_6a6a3ec3632344d7a1faa07a4fcc9a38_179_22" hidden="1">[31]Weights!#REF!</definedName>
    <definedName name="TRNR_6add998e74364ddd872fb4ad322eea11_1_1" hidden="1" xml:space="preserve">                                                                                            '[21]P3 Equity Bond returns'!$N$5</definedName>
    <definedName name="TRNR_6c711747849447bd922369891c55b2b5_1_42" hidden="1">#REF!</definedName>
    <definedName name="TRNR_6c85ce12118a4216bd07e059c72cefba_1_1" hidden="1" xml:space="preserve">                                                                                            '[21]P3 Equity Bond returns'!$N$5</definedName>
    <definedName name="TRNR_6ca7948aced1410098d27bdb8b0ee930_1_32" hidden="1">#REF!</definedName>
    <definedName name="TRNR_6cc057c180264f25a47141a3edb9444c_1_3" hidden="1">#REF!</definedName>
    <definedName name="TRNR_6d0b9c375a0b4ca1b8aaf04223dbf3d6_2_1" hidden="1">#REF!</definedName>
    <definedName name="TRNR_6d93389898de4d858eb009f67aa89a9e_1826_4" hidden="1">#REF!</definedName>
    <definedName name="TRNR_6d965aa59af340afb9a3344f1150346f_329_4" hidden="1">'[24]Regional PE Ratios'!#REF!</definedName>
    <definedName name="TRNR_6df2400bee874d62a0680d23cc3787a6_131_3" hidden="1" xml:space="preserve">                        '[22]20 earnings growth'!$R$1</definedName>
    <definedName name="TRNR_6f70faec2ef2458a8105a70a43a9947f_95_22" hidden="1">#REF!</definedName>
    <definedName name="TRNR_6f7ccf4b5e4d4d5ebe831159f2ccf167_132_2" hidden="1" xml:space="preserve">                                            '[16]18 S&amp;P 2Yr'!$B$10</definedName>
    <definedName name="TRNR_6f9e5815820f4887a1c6bc495b04e3e2_114_4" hidden="1" xml:space="preserve">    '[12]25 energy performance'!$B$7</definedName>
    <definedName name="TRNR_6fbc607a2bca42b1a27a7a3a548ab5ed_68_20" hidden="1">#REF!</definedName>
    <definedName name="TRNR_70d42860d5f6410d862ab4093f7abdc6_1_16" hidden="1">#REF!</definedName>
    <definedName name="TRNR_71008636fba644809264811ed87104e5_357_1" hidden="1" xml:space="preserve">                        '[23]US rate paths'!$AC$5</definedName>
    <definedName name="TRNR_71362e39f24d419c942d28d3fa40f223_339_2" hidden="1">#REF!</definedName>
    <definedName name="TRNR_715c57b33d3a447da63bbd75b71d6e2e_354_2" hidden="1">#REF!</definedName>
    <definedName name="TRNR_7304df2a7a824765920c0bccbcef1731_3_0" hidden="1" xml:space="preserve">                                                                                                                                                                                                '[21]P8 Commodity prices'!$AJ$4</definedName>
    <definedName name="TRNR_73410f1a86c24ec5b705ea6364235048_1_1" hidden="1" xml:space="preserve">                                                                                                                                                                        '[16]2 equity bond scatter'!$N$5</definedName>
    <definedName name="TRNR_73aa6707034747d1b445cfa5e86a7933_121_1" hidden="1" xml:space="preserve">                                                                                                                                                            '[22]19 earnings'!$A$1</definedName>
    <definedName name="TRNR_73c6c15d8ef4411994e43b322ec2ed23_3_0" hidden="1">#REF!</definedName>
    <definedName name="TRNR_73ee80a3f19b45209233a62389025ec2_69_1" hidden="1">#REF!</definedName>
    <definedName name="TRNR_744832c72d094981bd44502a7ce5a8b8_56_2" hidden="1">#REF!</definedName>
    <definedName name="TRNR_74abd1a2669d4f2384b380a77856c256_9322_1" hidden="1" xml:space="preserve">                        '[17]US rate path'!$B$4</definedName>
    <definedName name="TRNR_74f07cf141a74fbeba0eb353c54f6417_120_4" hidden="1" xml:space="preserve">                        '[22]19 earnings'!$T$1</definedName>
    <definedName name="TRNR_7535e262fe72484f8ad08716ce2b993a_132_0" hidden="1">'[13]Price move from peak'!#REF!</definedName>
    <definedName name="TRNR_7545d7d910da449b945823632a34c880_46_1" hidden="1">#REF!</definedName>
    <definedName name="TRNR_7561981422384efaae265109c7aa0a24_3_2" hidden="1">#REF!</definedName>
    <definedName name="TRNR_759563a552c949ac89ce7f75be2ed1a8_100_2" hidden="1" xml:space="preserve">                                                  '[16]3 Timeline'!$D$4</definedName>
    <definedName name="TRNR_76184850b03447dab481eeaf54a10332_132_1" hidden="1">'[13]Price move from peak'!#REF!</definedName>
    <definedName name="TRNR_764c5d595a3942aaae1f1d8a2dd918a9_1_32" hidden="1">#REF!</definedName>
    <definedName name="TRNR_76d9281d27a14640bde79f267fb7b103_1826_4" hidden="1">#REF!</definedName>
    <definedName name="TRNR_76f7453905054d3eaa8fec5f228f05a2_2_4" hidden="1">#REF!</definedName>
    <definedName name="TRNR_77017b32d169451eab1c09c12019f525_38_1" hidden="1">#REF!</definedName>
    <definedName name="TRNR_775da72ce0a34d1094966f80ab42bea0_567_2" hidden="1">#REF!</definedName>
    <definedName name="TRNR_77c4d409cb9c4fcc818d7d6c843cc519_1_1" hidden="1" xml:space="preserve">                                                                        '[16]2 equity bond scatter'!$N$5</definedName>
    <definedName name="TRNR_77fc3407ae364e918ee165e33fab1e9e_1_2" hidden="1">#REF!</definedName>
    <definedName name="TRNR_78ba38c2b1694ab28f87482086671e5d_1_42" hidden="1">#REF!</definedName>
    <definedName name="TRNR_78e114c2ce084befb97e14c25866f676_24_2" hidden="1">#REF!</definedName>
    <definedName name="TRNR_794a0e86fed846f9b39aa0f092328922_1_32" hidden="1">#REF!</definedName>
    <definedName name="TRNR_79c7f224e8c846ac86e3e1450e5fefec_3_2" hidden="1" xml:space="preserve">                                          '[20]P9 Margins'!$I$2</definedName>
    <definedName name="TRNR_79f06be8afab4a7485c8dfd245cc8958_3_2" hidden="1">#REF!</definedName>
    <definedName name="TRNR_7a729fde92ba4d2196156d2274193bd8_264_2" hidden="1" xml:space="preserve">                                                                                                                '[22]22 5y5y inflation vs  10y'!$BA$6</definedName>
    <definedName name="TRNR_7a8fc1d01c5e40eaaa4f04130959eddd_68_1" hidden="1">[32]Summary!#REF!</definedName>
    <definedName name="TRNR_7b24b1e1cd3040c19054a6320fd5463e_1_2" hidden="1">#REF!</definedName>
    <definedName name="TRNR_7b9af8235e6d4bbca08160a86c416bda_23_3" hidden="1">#REF!</definedName>
    <definedName name="TRNR_7bb1f9407d044d469c6cfc06b045579b_6091_1" hidden="1">#REF!</definedName>
    <definedName name="TRNR_7bf4ba2b6b7e4f1ebf45d7dac5a26dc5_1_2" hidden="1">'[28]Index Performance'!#REF!</definedName>
    <definedName name="TRNR_7c1263c036f4421eaa5baeaca96ef2c6_0_0" hidden="1">#REF!</definedName>
    <definedName name="TRNR_7c263e8322484f83b753625b751a8fdd_1574_2" hidden="1" xml:space="preserve">                                                                                                                '[22]19 RealYields'!$V$3</definedName>
    <definedName name="TRNR_7cf04fb65a46415c8f6ec910c031e17e_22_2" hidden="1">#REF!</definedName>
    <definedName name="TRNR_7d20cdf9b3f24ec4831902afd823a09f_184_0" hidden="1">'[13]Price move from peak'!#REF!</definedName>
    <definedName name="TRNR_7e5e87df27444d8aa5a0042913a79e09_192_2" hidden="1">#REF!</definedName>
    <definedName name="TRNR_7e862245246942bc99ac7f42de6385ad_1_32" hidden="1">#REF!</definedName>
    <definedName name="TRNR_7eb17b99920b46ee95971865048f4477_142_2" hidden="1" xml:space="preserve">                                                  '[16]3 Timeline'!$D$4</definedName>
    <definedName name="TRNR_7eb6bc1625d14f0bb0824ef792bf31eb_9767_2" hidden="1">#REF!</definedName>
    <definedName name="TRNR_7ec5ea530ba34a06a89e0f9fb228ad92_198_2" hidden="1">#REF!</definedName>
    <definedName name="TRNR_7f47d685ae4a43cab43d056fbc63af2d_662_2" hidden="1">#REF!</definedName>
    <definedName name="TRNR_7f4fdb92db814345a53729de5616e2cb_109_2" hidden="1">#REF!</definedName>
    <definedName name="TRNR_7f666f4ca9fc40da933eb81c16e91280_62_2" hidden="1" xml:space="preserve">                                                                                                                '[22]22 5y5y inflation vs  10y'!$BA$6</definedName>
    <definedName name="TRNR_7f9219ab46e44f5d828d8bf4c11db965_629_2" hidden="1">#REF!</definedName>
    <definedName name="TRNR_801c7da7fa2240758cfbd90d7f07b39d_124_22" hidden="1">#REF!</definedName>
    <definedName name="TRNR_8059242153054eba9c4808285a27feb7_1_3" hidden="1" xml:space="preserve">                  '[20]P9 Margins'!$B$9</definedName>
    <definedName name="TRNR_806d6911fb624bafaf28ab48b39b2563_262_2" hidden="1">#REF!</definedName>
    <definedName name="TRNR_80ab426a435f49d188467bd78541389a_1_32" hidden="1">#REF!</definedName>
    <definedName name="TRNR_80abbb4797c249758ba7154556d6fc75_51_2" hidden="1">#REF!</definedName>
    <definedName name="TRNR_813aa90693a743c7ae777f41121da7f2_418_22" hidden="1">#REF!</definedName>
    <definedName name="TRNR_81929c8e818f4eae8ccd768d91db2b00_3_2" hidden="1">#REF!</definedName>
    <definedName name="TRNR_81c22df0c07346b3984267451fd57389_1826_4" hidden="1">#REF!</definedName>
    <definedName name="TRNR_81cb5ff995644fab95ab437103ad19cc_866_3" hidden="1">#REF!</definedName>
    <definedName name="TRNR_82fae25497434d84b9d95f10f205ffc5_1_2" hidden="1">#REF!</definedName>
    <definedName name="TRNR_83709723f65647c88264e88d0ac5df82_331_1" hidden="1">#REF!</definedName>
    <definedName name="TRNR_8372a73ebfef43b3a3d354e68025a0ee_109_2" hidden="1">#REF!</definedName>
    <definedName name="TRNR_83870769baf14352a316f47bf932a490_132_0" hidden="1">'[13]Price move from peak'!#REF!</definedName>
    <definedName name="TRNR_83bd85d8bee34efa892a3f9afb671245_132_0" hidden="1">'[13]Price move from peak'!#REF!</definedName>
    <definedName name="TRNR_83f4f44c3ee94e90a2fe316f35a55e36_112_4" hidden="1" xml:space="preserve">    '[12]25 energy performance'!$B$7</definedName>
    <definedName name="TRNR_83f550419bd34bbda792ade3235c395e_3_0" hidden="1">#REF!</definedName>
    <definedName name="TRNR_84593304212d422ca403231fc0ccbbf5_42_0" hidden="1">'[13]Price move from peak'!#REF!</definedName>
    <definedName name="TRNR_847d48d4b44140d3ae535d1c052ee42f_98_2" hidden="1">#REF!</definedName>
    <definedName name="TRNR_84ebd70eda6f401fa0b73a09f39770ba_26_1" hidden="1">#REF!</definedName>
    <definedName name="TRNR_867eff8035874e02983f8a7692084c90_52_3" hidden="1">#REF!</definedName>
    <definedName name="TRNR_869560dffbc249bfa575c899df992516_273_3" hidden="1">#REF!</definedName>
    <definedName name="TRNR_86e68248fc4f4d3a9eb8b43f38d698d6_633_1" hidden="1">#REF!</definedName>
    <definedName name="TRNR_871f3a219b264fe09b2811de6177bc25_2_6" hidden="1">#REF!</definedName>
    <definedName name="TRNR_87421f6bc9be4ee4b4838e71c5324b48_437_8" hidden="1">'[24]US Earnings Estimates'!#REF!</definedName>
    <definedName name="TRNR_874cf5f955604ec892fa0ff9a22acaae_26_1" hidden="1">#REF!</definedName>
    <definedName name="TRNR_880c0ca222be4376a5957a8ce3e52e76_184_0" hidden="1">'[13]Price move from peak'!#REF!</definedName>
    <definedName name="TRNR_88f3561ff59e40ebaa7fa157c6f20635_1_1" hidden="1" xml:space="preserve">                                            '[16]2 equity bond scatter'!$Q$5</definedName>
    <definedName name="TRNR_8972bf9f4a1b48989d8ac30ed2666e5d_132_0" hidden="1">'[13]Price move from peak'!#REF!</definedName>
    <definedName name="TRNR_89a12d9e7f48431d927b29fb600cfde5_1_2" hidden="1">#REF!</definedName>
    <definedName name="TRNR_89e7b064ae524ce1976f3e2a2b5c55a6_42_0" hidden="1">'[13]Price move from peak'!#REF!</definedName>
    <definedName name="TRNR_89f6386890b34737a43ddc6f7544d913_1_1" hidden="1" xml:space="preserve">                                                                                        '[16]2 equity bond scatter'!$Q$5</definedName>
    <definedName name="TRNR_8a0302d9ff5d4976a63cb4ab99ef0b4c_179_22" hidden="1">#REF!</definedName>
    <definedName name="TRNR_8b0e7630dfd741ec83ae44af0ce47662_53_3" hidden="1" xml:space="preserve">                                                        '[16]2 equity bond scatter'!$G$7</definedName>
    <definedName name="TRNR_8b66125c386141889b657dc95470e9a2_1826_3" hidden="1" xml:space="preserve">                                                                                                                                                                                                                '[21]P8 Commodity prices'!$S$5</definedName>
    <definedName name="TRNR_8b98b87e135346a6835ce5d53b0476bc_30_4" hidden="1">#REF!</definedName>
    <definedName name="TRNR_8bb751cc7d4840a4aa0afc6a99efcb1d_1700_3" hidden="1" xml:space="preserve">                             '[16]21 yield breakdown'!$J$5</definedName>
    <definedName name="TRNR_8bbdccee077e41239e6685bc47028624_132_2" hidden="1" xml:space="preserve">                                            '[16]23 EM perf'!$C$8</definedName>
    <definedName name="TRNR_8bce15d242114938a408ee2c318f6cce_53_3" hidden="1" xml:space="preserve">                                            '[16]2 equity bond scatter'!$G$7</definedName>
    <definedName name="TRNR_8d3d87a0e84e4f0dac9df4649b0df511_889_1" hidden="1" xml:space="preserve">                                '[22]14 U.S. LFPR'!$B$2</definedName>
    <definedName name="TRNR_8d5d951ca2e841b0a3b3ccd5795acbfd_350_3" hidden="1">#REF!</definedName>
    <definedName name="TRNR_8d99cd2cc5aa48a7a67fc7d1008f76dc_1042_0" hidden="1">'[13]Price move from peak'!#REF!</definedName>
    <definedName name="TRNR_8df96939a5b7420496c72803d593d465_47_1" hidden="1">#REF!</definedName>
    <definedName name="TRNR_8e6c0a60c8fd41be8815e3020e2e1c3d_662_2" hidden="1">#REF!</definedName>
    <definedName name="TRNR_8e780bc1c8004c6482a1696735967d99_1_2" hidden="1">#REF!</definedName>
    <definedName name="TRNR_8ed25378778f43a394b8d40bd4c50d33_1_1" hidden="1">#REF!</definedName>
    <definedName name="TRNR_8f021144510440718e70ddcc63d345ed_24_2" hidden="1">#REF!</definedName>
    <definedName name="TRNR_8f1495bd988440bcb4ddc98912fa93df_0_0" hidden="1">#REF!</definedName>
    <definedName name="TRNR_8f55eaaadc5b49e1b622e4a9942b2aed_7176_2" hidden="1">#REF!</definedName>
    <definedName name="TRNR_901c17219f9449a5864b4155cee13adb_111_1" hidden="1">#REF!</definedName>
    <definedName name="TRNR_9062143fe9bc456e9eef453928cd6c49_354_2" hidden="1">#REF!</definedName>
    <definedName name="TRNR_908eae7da7ac4ad6a230b098a738394a_152_2" hidden="1">#REF!</definedName>
    <definedName name="TRNR_90b9b0e46d5a4aa98190be7dc2330cf6_7756_1" hidden="1" xml:space="preserve">                        '[23]US rate paths'!$N$6</definedName>
    <definedName name="TRNR_911f64ffb1334b33a79f38a21dc84ee0_384_1" hidden="1" xml:space="preserve">                                                                                                                                                                      '[21]P6 Cutting through confusion'!#REF!</definedName>
    <definedName name="TRNR_914eab87e1bb40ae93ff2892ad8bd185_26_1" hidden="1">#REF!</definedName>
    <definedName name="TRNR_91b0350baa8a4b4ea4b12542a9bc9c53_56_2" hidden="1">#REF!</definedName>
    <definedName name="TRNR_91dea32dc9894171a53c1c9155223bfd_7756_1" hidden="1" xml:space="preserve">                        '[23]US rate paths'!$N$6</definedName>
    <definedName name="TRNR_91f82895110b437681d9cf7b0e2acb29_0_0" hidden="1">#REF!</definedName>
    <definedName name="TRNR_92358a36b82f4333a541c8c8d2e7d3c3_119_5" hidden="1" xml:space="preserve">    '[12]25 energy performance'!$B$7</definedName>
    <definedName name="TRNR_9259dba599f14db6a613bb6c44312f19_9767_3" hidden="1">#REF!</definedName>
    <definedName name="TRNR_92a886c5c8eb4e24afbb58b55d00bf8d_1_1" hidden="1" xml:space="preserve">                                                        '[16]2 equity bond scatter'!$Q$5</definedName>
    <definedName name="TRNR_92d0bf58d514493f8febd80d36fd65b1_1397_5" hidden="1">#REF!</definedName>
    <definedName name="TRNR_92d0f90bf4c2464fa262cece5b2b04e0_3_2" hidden="1" xml:space="preserve">                                            '[21]P8 Commodity prices'!$AG$4</definedName>
    <definedName name="TRNR_92d56fd4222145d2a39b06f7d036749e_132_0" hidden="1">'[13]Price move from peak'!#REF!</definedName>
    <definedName name="TRNR_930e915e4a81481ab6f40c3e21b8ca46_1_1" hidden="1" xml:space="preserve">                            '[12]25 energy performance'!#REF!</definedName>
    <definedName name="TRNR_93a00ec23d7944f3aecfa74002e03d50_122_1" hidden="1" xml:space="preserve">                                                                                        '[22]19 earnings'!$A$1</definedName>
    <definedName name="TRNR_93a012bb2c544145af1be3941d0c601a_121_4" hidden="1">#REF!</definedName>
    <definedName name="TRNR_93f54ba0a83741aaa0a4735a79d58ca8_1_1" hidden="1">#REF!</definedName>
    <definedName name="TRNR_942876f7f44a4b26a810b605e0f790ee_1_16" hidden="1">#REF!</definedName>
    <definedName name="TRNR_9453e19841aa49a58996fbc489b2135f_132_0" hidden="1">'[13]Price move from peak'!#REF!</definedName>
    <definedName name="TRNR_948cf9e85c2d42b1b47e8dd6a88d0fab_184_0" hidden="1">'[13]Price move from peak'!#REF!</definedName>
    <definedName name="TRNR_94d057b8c4984a1f9ec8c4c7fb7f3b94_132_0" hidden="1">'[13]Price move from peak'!#REF!</definedName>
    <definedName name="TRNR_94e77f46a7bb4b89b642e916711ee4ee_53_3" hidden="1" xml:space="preserve">                                                                                                                                                                                                            '[16]2 equity bond scatter'!$G$7</definedName>
    <definedName name="TRNR_952743eeaba14837abba390ee55e0b9a_266_3" hidden="1" xml:space="preserve">                                                                                                                '[22]14 US unemployment'!$A$6</definedName>
    <definedName name="TRNR_957c1ade9786427ead82ec696cc7a208_257_4" hidden="1">#REF!</definedName>
    <definedName name="TRNR_95de450b55474aca8821d8bb25a2d6e0_1_1" hidden="1" xml:space="preserve">                        '[16]2 equity bond scatter'!$Q$5</definedName>
    <definedName name="TRNR_960c3a84b00644fc81712ab3fba310b6_1395_4" hidden="1">#REF!</definedName>
    <definedName name="TRNR_963ef55e509340f7ba9e1a22e29974e4_132_0" hidden="1">'[13]Price move from peak'!#REF!</definedName>
    <definedName name="TRNR_96603aeebc154ba992f17a35ca2eec25_1517_1" hidden="1" xml:space="preserve">                        '[27]One-week repo'!$B$4</definedName>
    <definedName name="TRNR_96aef7d4c85e421981e982ff628dfebc_0_0" hidden="1">#REF!</definedName>
    <definedName name="TRNR_973ed184106044f3b33b5a5c49a90771_192_2" hidden="1">#REF!</definedName>
    <definedName name="TRNR_97aa79c81c704834949fbe01ffd529be_3847_2" hidden="1">#REF!</definedName>
    <definedName name="TRNR_97f439cbb6e545b186efa3e18e36274d_119_1" hidden="1" xml:space="preserve">                        '[22]19 earnings'!$A$1</definedName>
    <definedName name="TRNR_9815a5455bb94c6a92bf9c550b9bd443_1_16" hidden="1">#REF!</definedName>
    <definedName name="TRNR_9897a575ddf645909df42da733475534_50_2" hidden="1" xml:space="preserve">                                                                                                                '[22]13 Labor market'!$A$6</definedName>
    <definedName name="TRNR_98b8b0afdc8d445ba7b3114ff8b8ec09_4305_2" hidden="1" xml:space="preserve">                               '[26]P9 euro spreads'!$B$7</definedName>
    <definedName name="TRNR_99df23d33c6d462fb552d59c671746af_6101_1" hidden="1">#REF!</definedName>
    <definedName name="TRNR_99eea1e683e64afb89513f19dcb26c37_3_2" hidden="1">#REF!</definedName>
    <definedName name="TRNR_9a552649262d4addad9e92ed8ce16e4f_1_2" hidden="1">#REF!</definedName>
    <definedName name="TRNR_9a64fa28eb314f399a1d7a6012a9c0b4_133_3" hidden="1" xml:space="preserve">                                        '[22]20 earnings growth'!$R$1</definedName>
    <definedName name="TRNR_9acc09bd196a4b6db1c0b5708416a7af_264_1" hidden="1" xml:space="preserve">                                                                                                                '[22]22 5y5y inflation vs  10y'!$BA$6</definedName>
    <definedName name="TRNR_9b095dc937da44549621f9b4cdbeabee_131_3" hidden="1" xml:space="preserve">                        '[15]Forward Earnings'!$A$1</definedName>
    <definedName name="TRNR_9baf5cf793c540f28c162c5057e30450_357_1" hidden="1" xml:space="preserve">                        '[23]US rate paths'!$AC$5</definedName>
    <definedName name="TRNR_9cee900f1a9b404b9daf75634322262d_524_8" hidden="1">#REF!</definedName>
    <definedName name="TRNR_9d126bba8bba4d4bab129bc01b7d0229_1_3" hidden="1">#REF!</definedName>
    <definedName name="TRNR_9deccb618f7b4cceb41417b6d299efc4_184_0" hidden="1">'[13]Price move from peak'!#REF!</definedName>
    <definedName name="TRNR_9e0414b12252408c9895defe41889734_1_5" hidden="1">#REF!</definedName>
    <definedName name="TRNR_9e5ad2a0c8534f52a269a49714e59635_1_1" hidden="1" xml:space="preserve">                                                                        '[16]2 equity bond scatter'!$N$5</definedName>
    <definedName name="TRNR_9e66771195794192908475da7dd7a26f_131_3" hidden="1" xml:space="preserve">                        '[22]20 earnings growth'!$R$1</definedName>
    <definedName name="TRNR_9e69619636fc497ab9d1e0c72b23330b_3_0" hidden="1">#REF!</definedName>
    <definedName name="TRNR_9e8abee8a4f8499a87680cd8fd0532fb_662_2" hidden="1">#REF!</definedName>
    <definedName name="TRNR_9fae47c0ef8a43a1a952820624731f17_7_2" hidden="1" xml:space="preserve">                                                 '[16]7 Bev curve'!$B$9</definedName>
    <definedName name="TRNR_9fc32161ef5d4d8f9704a5953ed35145_254_1" hidden="1" xml:space="preserve">                              '[21]P9 FF Geopolitics'!$A$8</definedName>
    <definedName name="TRNR_a010063fcb2046ec9d30c224f01ddb06_56_2" hidden="1">#REF!</definedName>
    <definedName name="TRNR_a01d12fdd5d0456f81bbca5d3978c9a2_398_6" hidden="1">#REF!</definedName>
    <definedName name="TRNR_a02203f427294b16a923bac567a327ed_3_2" hidden="1">#REF!</definedName>
    <definedName name="TRNR_a146959415734ea2b6371862b32e535c_161_2" hidden="1">#REF!</definedName>
    <definedName name="TRNR_a14d8b81ef154d17bef14433b8cfb922_112_1" hidden="1">#REF!</definedName>
    <definedName name="TRNR_a14f79d605874895b817632c8e7d44b5_56_2" hidden="1">#REF!</definedName>
    <definedName name="TRNR_a16ed1bd946b4da280329b290834dc65_0_0" hidden="1">#REF!</definedName>
    <definedName name="TRNR_a18e4e542e7043eeb2b9c6dc48d06392_3_2" hidden="1">#REF!</definedName>
    <definedName name="TRNR_a1a583710ca54234ae5d95d46545ae82_32_12" hidden="1">#REF!</definedName>
    <definedName name="TRNR_a1d044aaddd94029b573fe05df362ba5_1540_1" hidden="1" xml:space="preserve">                        '[27]One-week repo'!$B$4</definedName>
    <definedName name="TRNR_a2ffe35580a54ac888f84558fcc67102_179_11" hidden="1">#REF!</definedName>
    <definedName name="TRNR_a300200e967c46f295c0fa01e03dbac2_53_3" hidden="1" xml:space="preserve">                                            '[16]2 equity bond scatter'!$G$7</definedName>
    <definedName name="TRNR_a30523808e4d49bf85213f64afcf7888_1_1" hidden="1" xml:space="preserve">                                                                                            '[21]P3 Equity Bond returns'!$Q$5</definedName>
    <definedName name="TRNR_a31f1e7d25e24ef9b1a1146ef365e081_1_1" hidden="1" xml:space="preserve">                                                                                                                                                                        '[16]2 equity bond scatter'!$N$5</definedName>
    <definedName name="TRNR_a32e3d74649a4118a7684abcca36d831_181_4" hidden="1" xml:space="preserve">                        '[22]19 earnings'!$T$1</definedName>
    <definedName name="TRNR_a41aec9a3b8b42acb5c94bff986f36b4_241_1" hidden="1" xml:space="preserve">                        '[22]19 earnings'!$A$1</definedName>
    <definedName name="TRNR_a41cacee699e4595923b13526f528037_52_2" hidden="1" xml:space="preserve">                                  '[16]2 equity bond scatter'!$B$7</definedName>
    <definedName name="TRNR_a4b5edcfd0c048138fc4a159e58a8349_8634_9" hidden="1">[33]TRI!#REF!</definedName>
    <definedName name="TRNR_a4efbd49cbb7481483e032c4b0de96bf_1_42" hidden="1">#REF!</definedName>
    <definedName name="TRNR_a4fee5959c78455db50fed336360aee9_3_0" hidden="1">#REF!</definedName>
    <definedName name="TRNR_a5757679f5184d5bbc76f2a860fb7217_3_0" hidden="1">#REF!</definedName>
    <definedName name="TRNR_a5e8aed4039b4232b91870904798d43a_3_1" hidden="1" xml:space="preserve">                            '[12]25 energy performance'!#REF!</definedName>
    <definedName name="TRNR_a5f13fc5fb6a4dd383dfdfff0bf62406_329_4" hidden="1">'[24]Regional PE Ratios'!#REF!</definedName>
    <definedName name="TRNR_a62a700732644fc4b40cec42a8d3f46d_1_2" hidden="1">#REF!</definedName>
    <definedName name="TRNR_a6eed90941bb447ba6bba4bf54a97684_1_2" hidden="1">#REF!</definedName>
    <definedName name="TRNR_a6f0bf1d08ad46fa896fcd4af286a754_3_0" hidden="1">#REF!</definedName>
    <definedName name="TRNR_a6fbab14441f4894aef4db9ef2915d90_1_2" hidden="1">#REF!</definedName>
    <definedName name="TRNR_a7c77d0fc9524d088ee7f32f8041b6f2_1_2" hidden="1">#REF!</definedName>
    <definedName name="TRNR_a80236738ef0408fb16994809379ad13_119_5" hidden="1" xml:space="preserve">    '[12]25 energy performance'!$B$7</definedName>
    <definedName name="TRNR_a8678e3210d24756b05f8b306ce7f2d4_383_2" hidden="1" xml:space="preserve">                                      '[21]Good services'!$B$6</definedName>
    <definedName name="TRNR_a8ec5dd952eb497fa4b8512bd9d6264e_3_2" hidden="1">#REF!</definedName>
    <definedName name="TRNR_a92b3e6df4164678a15df23d274f0a60_383_2" hidden="1" xml:space="preserve">                                                                  '[21]Good services'!$B$6</definedName>
    <definedName name="TRNR_a973e7f3b28d41aca53abbcb2127c143_133_1" hidden="1" xml:space="preserve">                        '[14]Core PCE YoY'!$A$1</definedName>
    <definedName name="TRNR_a9f0817e8aed4b4c85ba46e98ad26a7b_1_42" hidden="1">#REF!</definedName>
    <definedName name="TRNR_aa0c3a2eaf3d4b36bba62f4ff9f8c2eb_187_3" hidden="1">#REF!</definedName>
    <definedName name="TRNR_aa536c1bb48d4fd3913da82aeb984eaf_1_42" hidden="1">#REF!</definedName>
    <definedName name="TRNR_aa7bd970762c49c7bed860a57eb2c1f9_3_0" hidden="1">#REF!</definedName>
    <definedName name="TRNR_aa8a5d7d2f9546718eb186399f0b81ea_524_1" hidden="1">[33]REQUEST_TABLE!#REF!</definedName>
    <definedName name="TRNR_aaa29ecd97124a05af3903d451c69de2_131_4" hidden="1" xml:space="preserve">                        '[18]Chart - Trailing Earnings'!$A$1</definedName>
    <definedName name="TRNR_ab3c69cd0c3043d8bf91549befc3e207_97_2" hidden="1">#REF!</definedName>
    <definedName name="TRNR_ab5f0f5622924f629a7e0bc852243ff3_1_0" hidden="1">#REF!</definedName>
    <definedName name="TRNR_ab767e2934554f9f9790b4ed91fa8c26_1_1" hidden="1" xml:space="preserve">                                                                        '[16]2 equity bond scatter'!$N$5</definedName>
    <definedName name="TRNR_ac704251f4a74b6c9d854bf2db9eb461_1337_4" hidden="1">#REF!</definedName>
    <definedName name="TRNR_ac76dd1359544d8ab7850c364c460aa8_635_1" hidden="1">#REF!</definedName>
    <definedName name="TRNR_ac97aeedbdf14bd5900cbe32977392f6_662_2" hidden="1">#REF!</definedName>
    <definedName name="TRNR_acb60cea541648fe89dbc8dc79c3f0aa_262_3" hidden="1">#REF!</definedName>
    <definedName name="TRNR_acdb00b5cec7442696c613d9963bfc20_1_2" hidden="1">#REF!</definedName>
    <definedName name="TRNR_ace94a6870e744759077a47f08072691_52_2" hidden="1" xml:space="preserve">                                                                                        '[16]2 equity bond scatter'!$B$7</definedName>
    <definedName name="TRNR_aceec364dfe34785bde95cb35503ae89_1346_4" hidden="1">#REF!</definedName>
    <definedName name="TRNR_acf4de7fdfd3497cb6a7e1edb08741cf_522_3" hidden="1">#REF!</definedName>
    <definedName name="TRNR_acff5cfba7f240afa8f7b207fc731829_1_42" hidden="1">#REF!</definedName>
    <definedName name="TRNR_ad6f1f8aa1d443c68e736354a0f47237_56_2" hidden="1">#REF!</definedName>
    <definedName name="TRNR_addc0dd04ebf4494b6095b89b9e79b9a_1_32" hidden="1">#REF!</definedName>
    <definedName name="TRNR_adf218c5996c4493a7f1b3273e574c44_24_2" hidden="1">#REF!</definedName>
    <definedName name="TRNR_aef988f4a4694342a6337b87fc19fcc8_3_2" hidden="1">#REF!</definedName>
    <definedName name="TRNR_aef9b9cd2384481b9baadc72d4b4c83b_357_1" hidden="1" xml:space="preserve">                        '[23]US rate paths'!$AC$5</definedName>
    <definedName name="TRNR_aefd192cea084648852abed9b4b95916_30_1" hidden="1">#REF!</definedName>
    <definedName name="TRNR_afa4cc9c66cf4ffb9761e16a1c707992_1136_4" hidden="1">#REF!</definedName>
    <definedName name="TRNR_afb64e2b1ce44c129ba29fd65f5ddd1c_262_2" hidden="1">#REF!</definedName>
    <definedName name="TRNR_afd7ea75e79d41d989e6df6897946085_3_0" hidden="1">#REF!</definedName>
    <definedName name="TRNR_b0c100cb518746a987f1c67fc3f92a4d_0_2" hidden="1">'[13]Price move from peak'!#REF!</definedName>
    <definedName name="TRNR_b0ecd5828cb94868a57e6858f6dc4bad_3_0" hidden="1">#REF!</definedName>
    <definedName name="TRNR_b19e1f68f16e4eaca2a68f56378108ed_52_2" hidden="1" xml:space="preserve">                                            '[16]2 equity bond scatter'!$B$7</definedName>
    <definedName name="TRNR_b1d67db3adff44e89baa3ee57d946745_262_3" hidden="1">#REF!</definedName>
    <definedName name="TRNR_b218a624870d410ea0dbc63b3fccf1b0_99_2" hidden="1">#REF!</definedName>
    <definedName name="TRNR_b24837684aa046bf8d51f33a01387d4b_1145_18" hidden="1">#REF!</definedName>
    <definedName name="TRNR_b28dc9171a0d401690a98d0b238e36db_3_1" hidden="1" xml:space="preserve">                            '[12]25 energy performance'!#REF!</definedName>
    <definedName name="TRNR_b29758fb856047fc9239c798fe288c3c_109_2" hidden="1">#REF!</definedName>
    <definedName name="TRNR_b3226826027943b08030aa5d7bcf79e8_3_2" hidden="1">#REF!</definedName>
    <definedName name="TRNR_b33373e0c4de45c18af4fea434d7b293_1366_5" hidden="1">#REF!</definedName>
    <definedName name="TRNR_b4211b9caef64402992aa1140645b914_6084_1" hidden="1">#REF!</definedName>
    <definedName name="TRNR_b434c66149ed4bf4bdb7925dda51f508_1_3" hidden="1">#REF!</definedName>
    <definedName name="TRNR_b4f4fca1f15a427fbf85dbd3fa9200ec_523_6" hidden="1" xml:space="preserve">                        '[22]20 earnings growth'!$R$1</definedName>
    <definedName name="TRNR_b5703ed016ae434e930e9e67b534c48e_52_3" hidden="1" xml:space="preserve">                                                                                                                                                                                      '[21]P3 Equity Bond returns'!$G$7</definedName>
    <definedName name="TRNR_b585e57675264c3d8b3bc0b64de195ba_3_1" hidden="1" xml:space="preserve">                            '[12]25 energy performance'!#REF!</definedName>
    <definedName name="TRNR_b5d839dc4cdb4e5d8fbcb71011e44425_62_2" hidden="1" xml:space="preserve">                                                                                                                '[22]22 5y5y inflation vs  10y'!$BA$6</definedName>
    <definedName name="TRNR_b61a78043bf04b6aa88442c72985cfb4_192_1" hidden="1" xml:space="preserve">                                                                                                                                                          '[21]P5 Living with inflation'!$S$2</definedName>
    <definedName name="TRNR_b6232f80e484465e8407e3790aae3670_1_1" hidden="1" xml:space="preserve">                                            '[16]2 equity bond scatter'!$N$5</definedName>
    <definedName name="TRNR_b664fe33a47641bc95923e0119a3331f_844_3" hidden="1">#REF!</definedName>
    <definedName name="TRNR_b69317439b4b44779cde7640169ac2d8_1826_1" hidden="1">#REF!</definedName>
    <definedName name="TRNR_b718cefdf30644b3ab5e2e9efb5ad679_593_2" hidden="1">#REF!</definedName>
    <definedName name="TRNR_b726cdf4241a4ba9b5feb92b26d9e930_1_1" hidden="1" xml:space="preserve">                                            '[16]2 equity bond scatter'!$Q$5</definedName>
    <definedName name="TRNR_b754584c2ab6478daf4c414f018c0997_1407_5" hidden="1">#REF!</definedName>
    <definedName name="TRNR_b755c06fd6da450f9f7597d74b5461bf_3_1" hidden="1" xml:space="preserve">                            '[12]25 energy performance'!#REF!</definedName>
    <definedName name="TRNR_b81356baef1f496d867d1b26c3e31847_241_4" hidden="1" xml:space="preserve">                             '[16]20 DM central banks'!$S$10</definedName>
    <definedName name="TRNR_b879c803579e4ce9938b24f7e943aa61_518_5" hidden="1">#REF!</definedName>
    <definedName name="TRNR_b8c0be33c9ac447ab9fd93fd9891a145_613_3" hidden="1">#REF!</definedName>
    <definedName name="TRNR_b8d02caad7c34cb7bd029f1b63096b89_52_3" hidden="1" xml:space="preserve">                                                                                            '[21]P3 Equity Bond returns'!$G$7</definedName>
    <definedName name="TRNR_b8f2331db91d43fcb8ad42a2f41adc1d_146_3" hidden="1" xml:space="preserve">                                                                                                                '[22]10 US PCE'!$A$2</definedName>
    <definedName name="TRNR_b91271468b174bb78d914212ed7284a5_662_2" hidden="1">#REF!</definedName>
    <definedName name="TRNR_b9206dcd6fc140ed88317507724d2a93_1135_4" hidden="1">#REF!</definedName>
    <definedName name="TRNR_b94e1536609942abaa66ca6c0f8e7af5_24_2" hidden="1">#REF!</definedName>
    <definedName name="TRNR_b9bd2af1d9a84df3ba92f4bdbcf069b4_3_1" hidden="1" xml:space="preserve">                                  '[20]P9 Margins'!$I$2</definedName>
    <definedName name="TRNR_ba142b1876d343e2afb26341bde6595d_124_22" hidden="1">#REF!</definedName>
    <definedName name="TRNR_ba26a172220a46d18c6d1c8aa4e4325e_192_2" hidden="1">#REF!</definedName>
    <definedName name="TRNR_ba51fe79f1814bd0b4fe252ecbc9c19e_24_2" hidden="1">#REF!</definedName>
    <definedName name="TRNR_ba57532c57ea4fa49656a63b8f7c31e3_192_2" hidden="1">#REF!</definedName>
    <definedName name="TRNR_ba5eb8ccdfff4bb6ab943f2522cc5d71_3_1" hidden="1" xml:space="preserve">                                      '[20]P9 Margins'!$I$2</definedName>
    <definedName name="TRNR_ba86417c50644c7394e8531d9f10f51f_56_2" hidden="1">#REF!</definedName>
    <definedName name="TRNR_ba9003501b474acab015f0e238f46a54_9767_2" hidden="1">#REF!</definedName>
    <definedName name="TRNR_bbc4b57b521a45bc9b5959d737f59290_42_0" hidden="1">'[13]Price move from peak'!#REF!</definedName>
    <definedName name="TRNR_bc41562503f643cfa80c0613f1ea4d7b_132_0" hidden="1">'[13]Price move from peak'!#REF!</definedName>
    <definedName name="TRNR_bc7b32dfa2c548f381c7cfd971d67b15_52_2" hidden="1" xml:space="preserve">            '[16]2 equity bond scatter'!$B$7</definedName>
    <definedName name="TRNR_bc82e8882bd5433b81a0b56efb204d34_51_2" hidden="1" xml:space="preserve">                                                                                            '[21]P3 Equity Bond returns'!$B$7</definedName>
    <definedName name="TRNR_bcc5acd036bc4b6e98b3c98c5af98ac6_26_2" hidden="1">#REF!</definedName>
    <definedName name="TRNR_bcd1dbba07ee4de7864c2f1a84a1f97e_24_2" hidden="1">#REF!</definedName>
    <definedName name="TRNR_bd32bde8e1544151ab8b7d19fe253402_217_0" hidden="1">#REF!</definedName>
    <definedName name="TRNR_bd691b61860c43efa9274c1d9d965b61_604_3" hidden="1">#REF!</definedName>
    <definedName name="TRNR_bdab8e3d0de34f1b846e3d4b1c565c99_29_1" hidden="1">#REF!</definedName>
    <definedName name="TRNR_be3104bd4f97403cb6bdb1cf4008110e_1_32" hidden="1">#REF!</definedName>
    <definedName name="TRNR_be6bcfe1f5b74c0d82c1776454eeffc8_2_3" hidden="1">#REF!</definedName>
    <definedName name="TRNR_bed0b1a1404541a3b78893a2eded53c1_24_2" hidden="1">#REF!</definedName>
    <definedName name="TRNR_bf26da64eb194dc6893c23baa9f8763c_42_0" hidden="1">'[13]Price move from peak'!#REF!</definedName>
    <definedName name="TRNR_bf433bf304734eff9fb1bc497a3eb5ec_1_2" hidden="1">#REF!</definedName>
    <definedName name="TRNR_bf851eace3944c4f821e3ac4fb16096d_662_2" hidden="1">#REF!</definedName>
    <definedName name="TRNR_bfdfbf0267ae471bb4ef7cd7ceaa60f7_122_1" hidden="1" xml:space="preserve">                                                                    '[22]19 earnings'!$A$1</definedName>
    <definedName name="TRNR_bfe787af60d64584bb0452fb32ba0b6b_3_3" hidden="1" xml:space="preserve">                                              '[20]P9 Margins'!$I$2</definedName>
    <definedName name="TRNR_c001f855e8a44992aa2937fb1b769cfb_42_0" hidden="1">'[13]Price move from peak'!#REF!</definedName>
    <definedName name="TRNR_c02343a4a2264a43abd8ee8a4b8a3d60_50_1" hidden="1" xml:space="preserve">                                                                                                                '[22]13 Labor market'!$A$6</definedName>
    <definedName name="TRNR_c0ce5fd120a1456db4635a657989c92e_132_0" hidden="1">'[13]Price move from peak'!#REF!</definedName>
    <definedName name="TRNR_c10bc4cdc7604b83a05e65295731cc04_24_2" hidden="1">#REF!</definedName>
    <definedName name="TRNR_c139551781a94574bba675bb16839158_742_1" hidden="1">#REF!</definedName>
    <definedName name="TRNR_c18a0d710f5f4f7eaa207556d5d4b66b_305_8" hidden="1">'[24]US Earnings Estimates'!#REF!</definedName>
    <definedName name="TRNR_c1f418351c6742dbae5ecd2a7524f89b_121_1" hidden="1" xml:space="preserve">                        '[14]Core PCE YoY'!$A$1</definedName>
    <definedName name="TRNR_c20ae8fdd0654843920bcc01984bbb73_109_2" hidden="1">#REF!</definedName>
    <definedName name="TRNR_c280f4f376f944e5801108d509345836_192_2" hidden="1">#REF!</definedName>
    <definedName name="TRNR_c2de599b16fd401083320ea5a9b72bd5_634_1" hidden="1">#REF!</definedName>
    <definedName name="TRNR_c3134bcd39e748048c115161d4b05274_22_1" hidden="1">#REF!</definedName>
    <definedName name="TRNR_c350da9ba73e4bbd82bf8d0ac10188a1_583_3" hidden="1">#REF!</definedName>
    <definedName name="TRNR_c3846eeda0c34d96be9700c49e56537c_399_1" hidden="1">#REF!</definedName>
    <definedName name="TRNR_c39f7968c09d42eea8d50a072815217c_1_16" hidden="1">#REF!</definedName>
    <definedName name="TRNR_c54acabd7bd3488398ea534da4ada93b_6061_1" hidden="1">#REF!</definedName>
    <definedName name="TRNR_c5c68ad7015349a589895a0ed60240ac_132_0" hidden="1">'[13]Price move from peak'!#REF!</definedName>
    <definedName name="TRNR_c657754ae88b4f0891e90194a25168c2_317_3" hidden="1">#REF!</definedName>
    <definedName name="TRNR_c66ce9873b2447859eb9ba90f1cd8acf_128_1" hidden="1" xml:space="preserve">                                                                                                                                                                              '[21]P6 Cutting through confusion'!#REF!</definedName>
    <definedName name="TRNR_c6813052ae1d4c7c8055de2d6fdd31d1_0_0" hidden="1">#REF!</definedName>
    <definedName name="TRNR_c6e460727e6143caaf5fb62fae712b8b_662_2" hidden="1">#REF!</definedName>
    <definedName name="TRNR_c738bb5279674f08857c550edeeceec0_3_2" hidden="1">#REF!</definedName>
    <definedName name="TRNR_c7a8d5d51b8f4f8a8b2ec1debd95f551_3_0" hidden="1">#REF!</definedName>
    <definedName name="TRNR_c7af31a3d50f4bf2b5b3d830d8bdb0ce_198_2" hidden="1">#REF!</definedName>
    <definedName name="TRNR_c7d6ed6767ea4c4a9bd222d33f04ad54_1_32" hidden="1">#REF!</definedName>
    <definedName name="TRNR_c832ae173a4646b8aceb97f4bcaca92c_132_2" hidden="1" xml:space="preserve">                                            '[16]18 S&amp;P 2Yr'!$B$10</definedName>
    <definedName name="TRNR_c83ecd96222448fea58422e3ecfb0249_6101_1" hidden="1">#REF!</definedName>
    <definedName name="TRNR_c851e4b98cb9449aab2621310b8fd2e3_1_2" hidden="1">#REF!</definedName>
    <definedName name="TRNR_c85b03b011354ae1ac2fc703ab266abc_192_2" hidden="1">#REF!</definedName>
    <definedName name="TRNR_c86aa0be0aef4ca4a417a3fc92d36e6c_24_1" hidden="1">#REF!</definedName>
    <definedName name="TRNR_c8c258016da149839b8224cbb7d95e65_23_3" hidden="1">#REF!</definedName>
    <definedName name="TRNR_c93b79a6d69943bf829b33f23944b87c_2703_1" hidden="1">'[24]US Earnings Estimates'!#REF!</definedName>
    <definedName name="TRNR_c9ab9da87b664678994f66a86e177527_0_0" hidden="1">#REF!</definedName>
    <definedName name="TRNR_c9c50fca812b48ab99b08ead4dde043a_0_0" hidden="1">#REF!</definedName>
    <definedName name="TRNR_c9cc64de614b43acb3458c0c3b26fedf_132_0" hidden="1">'[13]Price move from peak'!#REF!</definedName>
    <definedName name="TRNR_ca1d21814ad9435e8cea1281bbb6668b_0_0" hidden="1">#REF!</definedName>
    <definedName name="TRNR_ca5b789958b2438f8f2ec0b861001241_123_1" hidden="1" xml:space="preserve">                                                                                        '[22]19 earnings'!$N$1</definedName>
    <definedName name="TRNR_caa725cbb43347e7aac2b4814bfaa681_68_4" hidden="1" xml:space="preserve">                                    '[27]One-week repo'!#REF!</definedName>
    <definedName name="TRNR_cab9a0afa54d465a8c529cb894d16844_192_2" hidden="1">#REF!</definedName>
    <definedName name="TRNR_cae182eab4dd485bb0249f3dffb8c109_112_5" hidden="1" xml:space="preserve">    '[12]25 energy performance'!$B$7</definedName>
    <definedName name="TRNR_cae816e3e3ec4266b16572d8b225e704_146_3" hidden="1" xml:space="preserve">                                                                                                                '[22]10 US PCE'!$A$2</definedName>
    <definedName name="TRNR_cb49d039926b4eb4a9f56b20e2a0303c_1_16" hidden="1">#REF!</definedName>
    <definedName name="TRNR_cb6ea98348354059a06d5329a3169ae3_146_4" hidden="1" xml:space="preserve">                                                                                                                '[22]10 US PCE'!$A$2</definedName>
    <definedName name="TRNR_cb74cf2eadae4825a5a68c802a944943_198_2" hidden="1">#REF!</definedName>
    <definedName name="TRNR_cc09e6d95bac4952bdb08f3eace1f8ad_357_1" hidden="1">#REF!</definedName>
    <definedName name="TRNR_cc6a9cc3b9294e0c9b9f9143dc29b3ff_875_3" hidden="1">#REF!</definedName>
    <definedName name="TRNR_cd445938dcef46c391ceef0f7acf51ad_3_2" hidden="1">#REF!</definedName>
    <definedName name="TRNR_cd5d3b30289640d9ae336a702b586e80_0_0" hidden="1">#REF!</definedName>
    <definedName name="TRNR_cdecece14a944b628639e164b3d65bb4_1_32" hidden="1">#REF!</definedName>
    <definedName name="TRNR_cdfaea07f244439cbb37d78757e5a45a_99_2" hidden="1">#REF!</definedName>
    <definedName name="TRNR_ce1751a401bf4cd791b1cd521d8f938a_305_9" hidden="1">'[24]US Earnings Estimates'!#REF!</definedName>
    <definedName name="TRNR_ce264bf620e9446a9cbb05ccbc0c7761_522_3" hidden="1">#REF!</definedName>
    <definedName name="TRNR_ce316b91de374b44859e46b80ca6bdeb_56_2" hidden="1">#REF!</definedName>
    <definedName name="TRNR_ce62cbf6ab9447be88c8e77c18f8ce15_68_20" hidden="1">#REF!</definedName>
    <definedName name="TRNR_ceb55935abd14ef2886c083c4f841136_2745_2" hidden="1" xml:space="preserve">    '[16]22 Breakevens'!$E$8</definedName>
    <definedName name="TRNR_cebfdd2cee854f2da4178aca5714bb6a_522_3" hidden="1" xml:space="preserve">                                                '[14]UW US Treasuries'!$B$6</definedName>
    <definedName name="TRNR_cec932684a414392b559b33fde647a59_331_3" hidden="1" xml:space="preserve">                             '[16]20 DM central banks'!$S$10</definedName>
    <definedName name="TRNR_cf07bb9f3f3b46c8bc6bf754802970c2_42_1" hidden="1">'[13]Price move from peak'!#REF!</definedName>
    <definedName name="TRNR_cf0fb35821594e0ea76f8369ae81b447_133_1" hidden="1" xml:space="preserve">                        '[14]Core PCE YoY'!$A$1</definedName>
    <definedName name="TRNR_cf163be79a884111b0ca7d025e7f1f60_522_3" hidden="1">#REF!</definedName>
    <definedName name="TRNR_cfe2a29f469b48c8a5c0803dd4d73d25_1_2" hidden="1">#REF!</definedName>
    <definedName name="TRNR_cfee1883ee114b47aa6c2a58ea2e3b2f_192_2" hidden="1">#REF!</definedName>
    <definedName name="TRNR_d04b3437ac8d4260887df0c61d4a70bd_24_2" hidden="1">#REF!</definedName>
    <definedName name="TRNR_d05b569c3577418e875223befe814a0a_662_2" hidden="1">#REF!</definedName>
    <definedName name="TRNR_d05f9f1e0d0747e2bf15b391f97059a9_0_0" hidden="1">#REF!</definedName>
    <definedName name="TRNR_d07d6dcb617d47889f66925ec18c284a_109_2" hidden="1">#REF!</definedName>
    <definedName name="TRNR_d0b7f16eb47845d4b9445f7ffa4ee543_4_1" hidden="1">#REF!</definedName>
    <definedName name="TRNR_d0bddc3a20f542ca9c03865a29686bb8_354_2" hidden="1">#REF!</definedName>
    <definedName name="TRNR_d0ffc7f84edb4de38fb92f8c4f84f293_7756_1" hidden="1" xml:space="preserve">                        '[23]US rate paths'!$N$6</definedName>
    <definedName name="TRNR_d1949741df594801926384f4db66985c_97_2" hidden="1">#REF!</definedName>
    <definedName name="TRNR_d1ba241450a54001b8d136d12edf0c4b_1314_1" hidden="1" xml:space="preserve">                                                                                                                '[22]23 5y5y Inflation'!$A$6</definedName>
    <definedName name="TRNR_d28476d9a87d45b1ac0dd04aeeb5af47_6091_1" hidden="1">#REF!</definedName>
    <definedName name="TRNR_d2caa07d3c53456ab18a9f43370cbce2_79_2" hidden="1">[23]Topdown_data_EM!#REF!</definedName>
    <definedName name="TRNR_d309516156b9482a81032076082f2ec8_42_0" hidden="1">'[13]Price move from peak'!#REF!</definedName>
    <definedName name="TRNR_d3b7fc3d8a3e46dca2b68c6ae7d99742_258_3" hidden="1" xml:space="preserve">                      '[20]P9 Margins'!$B$9</definedName>
    <definedName name="TRNR_d409c9de1bab44b6b3e35650e2688967_1_2" hidden="1">#REF!</definedName>
    <definedName name="TRNR_d414a60a53844f0d9c2502cd06e566aa_132_1" hidden="1">'[13]Price move from peak'!#REF!</definedName>
    <definedName name="TRNR_d421f6fa5c0a4e608123dfb7b554716e_1_32" hidden="1">#REF!</definedName>
    <definedName name="TRNR_d42a5c70fc4b4f05ae0e7eab269a5d67_2_1" hidden="1">#REF!</definedName>
    <definedName name="TRNR_d4396f04a9294ee29163d6680aa87e24_1701_3" hidden="1" xml:space="preserve">                             '[16]21 yield breakdown'!$C$5</definedName>
    <definedName name="TRNR_d4f520b1eecf4237acae0bbca447c32b_72_1" hidden="1">[27]Electricity!#REF!</definedName>
    <definedName name="TRNR_d505b16769434b7baf876e742f7a5de7_109_2" hidden="1">#REF!</definedName>
    <definedName name="TRNR_d5bf27360c114b40bb7381ef67e82820_1329_1" hidden="1" xml:space="preserve">                                                                                                                '[22]23 5y5y Inflation'!$A$6</definedName>
    <definedName name="TRNR_d5de8ded9ca94b20bf4f9649693acf58_97_2" hidden="1">#REF!</definedName>
    <definedName name="TRNR_d66f063e05344d88aec61c719f6d9e44_53_3" hidden="1" xml:space="preserve">                                                                                      '[16]2 equity bond scatter'!$G$7</definedName>
    <definedName name="TRNR_d6a45780c4e046a4af66190c550080cc_99_2" hidden="1">#REF!</definedName>
    <definedName name="TRNR_d6b2597f8fbd4672bfcb4e7c1d1537e8_0_0" hidden="1">#REF!</definedName>
    <definedName name="TRNR_d6e86d311c1c4a4e96dec322dcd3ba54_30_1" hidden="1">#REF!</definedName>
    <definedName name="TRNR_d6f802b5dc83449c8bd8a5d701062841_97_2" hidden="1">#REF!</definedName>
    <definedName name="TRNR_d703df5bb1064756aab4a93bea63b3b9_10_2" hidden="1" xml:space="preserve">                                                 '[16]7 Bev curve'!$B$9</definedName>
    <definedName name="TRNR_d79224cd7a864b109c5518e5f600e21b_1_1" hidden="1">[34]US_Policy_rules!#REF!</definedName>
    <definedName name="TRNR_d7a84821e5cd407984079d413d4a6fcb_3_2" hidden="1">#REF!</definedName>
    <definedName name="TRNR_d7e4b30ba7e749cda15ba071a5d12795_3_0" hidden="1" xml:space="preserve">            '[21]P8 Commodity prices'!$AK$4</definedName>
    <definedName name="TRNR_d8bcb69bd7ac4946891df010499c13f0_2755_2" hidden="1" xml:space="preserve">    '[16]22 Breakevens'!$E$8</definedName>
    <definedName name="TRNR_d97b6e681a70460189d567c31490f421_51_2" hidden="1" xml:space="preserve">                                                                                                            '[16]2 equity bond scatter'!$B$7</definedName>
    <definedName name="TRNR_d9bdcee3790146d8ac84171c078a1890_3_1" hidden="1" xml:space="preserve">                            '[12]25 energy performance'!#REF!</definedName>
    <definedName name="TRNR_d9d88c4ad79f4467b6b9feeee8624d9d_262_3" hidden="1">#REF!</definedName>
    <definedName name="TRNR_d9fe269412e14bd9a42121957db9bb73_1405_4" hidden="1">#REF!</definedName>
    <definedName name="TRNR_da0d1ad11ec64c20b0e3278fcbe55ceb_3_2" hidden="1">#REF!</definedName>
    <definedName name="TRNR_da5d7cadf2c9487e955f2fc6d55f1345_3_2" hidden="1">#REF!</definedName>
    <definedName name="TRNR_dac6195070314904a1a4e88c61a4eabf_131_2" hidden="1" xml:space="preserve">                                            '[16]18 S&amp;P 2Yr'!$B$10</definedName>
    <definedName name="TRNR_dac8d4c405124874a3eb7b09953f4550_1_1" hidden="1" xml:space="preserve">                                                                                                                '[16]2 equity bond scatter'!$N$5</definedName>
    <definedName name="TRNR_db0e5cf9a4e94d79bd674e5b185638b8_416_10" hidden="1">[33]Index_gth!#REF!</definedName>
    <definedName name="TRNR_db9624f9b01048daae4634a638b49c61_1_42" hidden="1">#REF!</definedName>
    <definedName name="TRNR_dc1c5236620e4d6ca2c4bc031854c084_1_16" hidden="1">#REF!</definedName>
    <definedName name="TRNR_dca1a5707c744a58955bc2633d280179_109_2" hidden="1">#REF!</definedName>
    <definedName name="TRNR_dccccfd155a04bb087d06052fa15d63d_418_22" hidden="1">#REF!</definedName>
    <definedName name="TRNR_dd3a9cc1201348f28e31e5c735850450_0_0" hidden="1">#REF!</definedName>
    <definedName name="TRNR_dd58041655064b0cb5ff32092512d3ae_1273_3" hidden="1" xml:space="preserve">            '[21]P8 Commodity prices'!$B$5</definedName>
    <definedName name="TRNR_dd5a522f96924bcd80b705b21f0510de_2_1" hidden="1">#REF!</definedName>
    <definedName name="TRNR_dd9e90c8f1bb406da45b848e85cc06eb_0_0" hidden="1">#REF!</definedName>
    <definedName name="TRNR_ddb87921e4f145a58b20f16f5ce1f2d7_52_2" hidden="1" xml:space="preserve">                                                        '[16]2 equity bond scatter'!$B$7</definedName>
    <definedName name="TRNR_ddd3f59e62114372bd05054d0d3f4ecf_773_3" hidden="1">#REF!</definedName>
    <definedName name="TRNR_de1a31bc9aad4ff7b00850a6435d2ad8_2181_1" hidden="1">'[24]US Earnings Estimates'!#REF!</definedName>
    <definedName name="TRNR_de94c8395399442688588e7ea45fd099_7_3" hidden="1" xml:space="preserve">                                                 '[16]7 Bev curve'!$B$9</definedName>
    <definedName name="TRNR_debc29b2d2164e4bad9818fe9991e03a_184_0" hidden="1">'[13]Price move from peak'!#REF!</definedName>
    <definedName name="TRNR_decacb74fb1f4b93b120d16094a2c87c_1_1" hidden="1" xml:space="preserve">                                                                                                                                                                                              '[21]P3 Equity Bond returns'!$Q$5</definedName>
    <definedName name="TRNR_def57ab1d7af4b678ee167aaf989ae67_1626_3" hidden="1">#REF!</definedName>
    <definedName name="TRNR_def6c933438842a083cc17edd559815d_147_4" hidden="1" xml:space="preserve">                                                                                        '[22]10 US PCE'!$A$2</definedName>
    <definedName name="TRNR_df9500ec7df547b5a8ee7984fc00ec3d_51_2" hidden="1" xml:space="preserve">                                                                                            '[21]P3 Equity Bond returns'!$B$7</definedName>
    <definedName name="TRNR_dfd4978511484cbdbeb25b22e51774fb_1_1" hidden="1">#REF!</definedName>
    <definedName name="TRNR_e0004c4ed33a4d429f806411485829a3_42_0" hidden="1">'[13]Price move from peak'!#REF!</definedName>
    <definedName name="TRNR_e0544496a05244148eab18b428d2bacc_132_0" hidden="1">'[13]Price move from peak'!#REF!</definedName>
    <definedName name="TRNR_e07e6fce3cda48238f2efd03472e4d7b_1_32" hidden="1">#REF!</definedName>
    <definedName name="TRNR_e08f801b05534081997fa988365c2d84_109_2" hidden="1">#REF!</definedName>
    <definedName name="TRNR_e0c1a2ce8c0340c1a5e1312db47a9a63_383_2" hidden="1" xml:space="preserve">                                  '[21]Good services'!$B$6</definedName>
    <definedName name="TRNR_e157d2cbac7d4b0fa42c9a189a9cd076_885_3" hidden="1">#REF!</definedName>
    <definedName name="TRNR_e22bc29a4bec4d17948eba4d17ec6819_1305_1" hidden="1">#REF!</definedName>
    <definedName name="TRNR_e23b5036bba34802aadd7ab64a726e71_112_3" hidden="1" xml:space="preserve">    '[12]25 energy performance'!$B$7</definedName>
    <definedName name="TRNR_e2679933f9f14287928f86eb67c49394_1119_2" hidden="1" xml:space="preserve">          '[20]P7 commodities'!$B$15</definedName>
    <definedName name="TRNR_e332982b69204560b2b2e32aad46cd25_3_2" hidden="1">#REF!</definedName>
    <definedName name="TRNR_e3545836c6aa41b39c18859690573437_524_3" hidden="1">'[35]TAA - UK vs Europe (2)'!#REF!</definedName>
    <definedName name="TRNR_e4f60c1d79f445428b6c493219994b0f_3_0" hidden="1">#REF!</definedName>
    <definedName name="TRNR_e52490b068994416889166d9e3ffd98f_30_8" hidden="1">#REF!</definedName>
    <definedName name="TRNR_e57f65b46b904ff5a5fbf7f6986b0ad9_305_6" hidden="1">'[24]US Earnings Estimates'!#REF!</definedName>
    <definedName name="TRNR_e5e9b81e18ca4c7490676c39ec0313d5_241_3" hidden="1" xml:space="preserve">                             '[16]20 DM central banks'!$S$10</definedName>
    <definedName name="TRNR_e665e44141114fc78c46b811c381b17a_266_3" hidden="1" xml:space="preserve">                                                                                                                '[22]14 US unemployment'!$A$6</definedName>
    <definedName name="TRNR_e688d7172f52455abc112fb1b9175748_137_2" hidden="1" xml:space="preserve">                                                  '[16]3 Timeline'!$D$4</definedName>
    <definedName name="TRNR_e6c0c432cd32405fbfd39915febf1a2b_662_2" hidden="1">#REF!</definedName>
    <definedName name="TRNR_e6f1ffdde9944727b01e19f2e1b47d91_1_16" hidden="1">#REF!</definedName>
    <definedName name="TRNR_e78bbc1b31b4404eb7d82398c6b7e26b_131_3" hidden="1" xml:space="preserve">                        '[15]Forward Earnings'!$A$1</definedName>
    <definedName name="TRNR_e7f793aaa046438385a6a57e9e03c28d_9767_3" hidden="1">#REF!</definedName>
    <definedName name="TRNR_e803fdfac02c4c498106a320add9f07c_56_2" hidden="1">#REF!</definedName>
    <definedName name="TRNR_ea0e4154426a4f0d9f8347ff4b499e93_42_0" hidden="1">'[13]Price move from peak'!#REF!</definedName>
    <definedName name="TRNR_ea8533adbe6f4865b0003390b65d5493_1307_1" hidden="1" xml:space="preserve">                                            '[27]One-week repo'!$B$4</definedName>
    <definedName name="TRNR_eaf3ebc63819496a89869b5a796a0bbc_1_8" hidden="1">#REF!</definedName>
    <definedName name="TRNR_eb0b38646f854ecaad29778ca749733b_2_3" hidden="1">#REF!</definedName>
    <definedName name="TRNR_eb4235bbc4a74a40bd373340956ae103_175_11" hidden="1">#REF!</definedName>
    <definedName name="TRNR_eb4cc02a85e7416f84f5c81978548607_3_2" hidden="1">#REF!</definedName>
    <definedName name="TRNR_eb849a00d7c7427d808356c21ceaa1c8_50_3" hidden="1" xml:space="preserve">                                                                                                                '[22]13 Labor market'!$A$6</definedName>
    <definedName name="TRNR_eb8d90a5bfb14e1a93e12242a4d63007_1386_4" hidden="1">#REF!</definedName>
    <definedName name="TRNR_ec0dbf76ce7d4d9d8c1c465071c9aac5_662_2" hidden="1">#REF!</definedName>
    <definedName name="TRNR_ec1047d1e8af485c97daeb1c2aefd3fe_0_0" hidden="1">#REF!</definedName>
    <definedName name="TRNR_ec7528f53ab0460794da95912bb80705_132_0" hidden="1">'[13]Price move from peak'!#REF!</definedName>
    <definedName name="TRNR_ec787523e19745bdb9a54feaf28e6c2a_3_0" hidden="1">#REF!</definedName>
    <definedName name="TRNR_ec7a1bf9c001404fad97fff582dbfcde_86_2" hidden="1">#REF!</definedName>
    <definedName name="TRNR_ece061799fd14f34b32d0e8d9814736a_132_0" hidden="1">'[13]Price move from peak'!#REF!</definedName>
    <definedName name="TRNR_ed83781708af4c9c8057cf2fc43d752f_3_2" hidden="1">#REF!</definedName>
    <definedName name="TRNR_ed9f04de310f4135949e203d298baa1c_132_3" hidden="1" xml:space="preserve">                                            '[16]23 EM perf'!$C$8</definedName>
    <definedName name="TRNR_edb83e5b3495493aabab5ea15c8a993d_1_1" hidden="1" xml:space="preserve">                                                                                        '[16]2 equity bond scatter'!$N$5</definedName>
    <definedName name="TRNR_edba652e02ac4f51a9074f229e6d0bf6_132_0" hidden="1">'[13]Price move from peak'!#REF!</definedName>
    <definedName name="TRNR_ee324d773f6a4447ae45473ef4089b59_18_1" hidden="1">#REF!</definedName>
    <definedName name="TRNR_ef068e994b194e09aca06a1448be851e_3_2" hidden="1">#REF!</definedName>
    <definedName name="TRNR_ef099f272550475cb53581f2cdcb4484_1_3" hidden="1">'[36]Data 2021'!#REF!</definedName>
    <definedName name="TRNR_ef27a02f9637450fa0de7e4acc275ad7_0_0" hidden="1">#REF!</definedName>
    <definedName name="TRNR_efd4e058f7aa4702a144671fdf44b577_3_2" hidden="1">#REF!</definedName>
    <definedName name="TRNR_eff84103ebff4e9394277fbce8857009_351_3" hidden="1">#REF!</definedName>
    <definedName name="TRNR_f06f2ab89b9141ee870d7fce7c1fe337_132_0" hidden="1">'[13]Price move from peak'!#REF!</definedName>
    <definedName name="TRNR_f0a2c30306334e04aa8f89a819d52cdc_132_1" hidden="1">'[13]Price move from peak'!#REF!</definedName>
    <definedName name="TRNR_f1346338b25c4727a7113c4a8d2657b3_1135_8" hidden="1">#REF!</definedName>
    <definedName name="TRNR_f24b0d8b20b04705a98e2ff71eebcc9f_184_0" hidden="1">'[13]Price move from peak'!#REF!</definedName>
    <definedName name="TRNR_f2bc447173a64bdc89fd84ef36393639_1826_3" hidden="1" xml:space="preserve">                        '[21]P8 Commodity prices'!$S$5</definedName>
    <definedName name="TRNR_f3496d09490c4e6a92d6db96b8552ced_22_3" hidden="1">#REF!</definedName>
    <definedName name="TRNR_f359c39f33c9430cbfc0338fb8a09c7d_146_4" hidden="1" xml:space="preserve">                                                                                                                '[22]10 US PCE'!$A$2</definedName>
    <definedName name="TRNR_f39c2f43c57b4f92a0ff4aef8d25b60e_51_2" hidden="1">#REF!</definedName>
    <definedName name="TRNR_f413bb713ae74c7083c06c00ae6905a8_162_4" hidden="1" xml:space="preserve">        '[17]Equities - earnings'!$A$1</definedName>
    <definedName name="TRNR_f417305864d24029ad44da40b14013f4_1_42" hidden="1">#REF!</definedName>
    <definedName name="TRNR_f4283ca0150b45cfaea7ed02db38ead1_1_1" hidden="1" xml:space="preserve">                                                        '[16]2 equity bond scatter'!$N$5</definedName>
    <definedName name="TRNR_f452af0a64ff45faa812f20afca7effb_24_2" hidden="1">#REF!</definedName>
    <definedName name="TRNR_f46e35c10db84e6692efd2e6297611b7_259_24" hidden="1">#REF!</definedName>
    <definedName name="TRNR_f476fa45a167418d838d002aa98c3afc_339_2" hidden="1">#REF!</definedName>
    <definedName name="TRNR_f4a7e03d425e44f6a0c7278bd33a35de_211_3" hidden="1" xml:space="preserve">                             '[16]20 DM central banks'!$S$10</definedName>
    <definedName name="TRNR_f4f6dd1c56e547738b075b24b596938f_24_2" hidden="1">#REF!</definedName>
    <definedName name="TRNR_f5988d979ea74d19bdf5bea814179d40_569_2" hidden="1">#REF!</definedName>
    <definedName name="TRNR_f5a56c310e6a4effa6d3ce6f73e7be3e_111_2" hidden="1" xml:space="preserve">                                                  '[16]3 Timeline'!$D$4</definedName>
    <definedName name="TRNR_f651e3c969f4440e9295d66aff9f0cd0_1_2" hidden="1">#REF!</definedName>
    <definedName name="TRNR_f6b8cbe86e4a4109ac3db1b80ad31bb7_6082_1" hidden="1">#REF!</definedName>
    <definedName name="TRNR_f6e2db59b6354db9abd8f2bb46953daa_26_1" hidden="1">#REF!</definedName>
    <definedName name="TRNR_f6fbb934ebb1411384f2c4893c64ccdd_25_7" hidden="1">#REF!</definedName>
    <definedName name="TRNR_f73dd51acff44d5bb9049ed0aef7f514_100_3" hidden="1">#REF!</definedName>
    <definedName name="TRNR_f7486f3f92bf4488b037adbb34c78398_173_11" hidden="1">'[29]Assets in review'!#REF!</definedName>
    <definedName name="TRNR_f74b2b6051744456b0d40a077569b2ae_1_42" hidden="1">#REF!</definedName>
    <definedName name="TRNR_f75598ae597f40f7b98ff0c392d0b83a_23_3" hidden="1">#REF!</definedName>
    <definedName name="TRNR_f77dd08b32874db994c849c6a61380c1_331_1" hidden="1">#REF!</definedName>
    <definedName name="TRNR_f7cb0a2749a24edb9a36a316bf0e83e3_1135_4" hidden="1">#REF!</definedName>
    <definedName name="TRNR_f81a635ed2b54f1981429ea5ef702b7f_384_1" hidden="1" xml:space="preserve">                                                                                                                                                                  '[21]P6 Cutting through confusion'!#REF!</definedName>
    <definedName name="TRNR_f886e250427d4b04ac59c8926bce6490_214_1" hidden="1">[27]Electricity!#REF!</definedName>
    <definedName name="TRNR_f89fa4ca363548d19e5cdbc8ab19078e_1_1" hidden="1" xml:space="preserve">                                            '[16]2 equity bond scatter'!$N$5</definedName>
    <definedName name="TRNR_f92d1f38fc304cc9a76bb1eb884aa57f_123_1" hidden="1" xml:space="preserve">                                                                                        '[22]19 earnings'!$A$1</definedName>
    <definedName name="TRNR_f94869adb31a4ecfb7c9f8606b62990f_284_1" hidden="1" xml:space="preserve">                                              '[16]5 reallocation'!$R$3</definedName>
    <definedName name="TRNR_faa9f181c104458c83edadcba7b2d8bb_0_0" hidden="1">#REF!</definedName>
    <definedName name="TRNR_faf9a709f5db4e1db0801eba41415c36_1_1" hidden="1" xml:space="preserve">                                                                                        '[16]2 equity bond scatter'!$N$5</definedName>
    <definedName name="TRNR_fb6244894d54479790fc682066d3bbbf_253_2" hidden="1">#REF!</definedName>
    <definedName name="TRNR_fba0585a26e1451c92f7fea11c8b0184_1_42" hidden="1">#REF!</definedName>
    <definedName name="TRNR_fbc3f67b58974ca6812536467d993235_919_3" hidden="1" xml:space="preserve">                             '[16]21 yield breakdown'!$C$5</definedName>
    <definedName name="TRNR_fc6294eeb39244bcb51f79600a640e05_1282_3" hidden="1" xml:space="preserve">                                                                                                                                '[21]P8 Commodity prices'!$B$5</definedName>
    <definedName name="TRNR_fcaf18d1f5c44cde820c8025d0cf2d53_662_2" hidden="1">#REF!</definedName>
    <definedName name="TRNR_fccf2f19723c40a18cbfb3f6857c726b_1120_2" hidden="1" xml:space="preserve">      '[20]P7 commodities'!$B$15</definedName>
    <definedName name="TRNR_fcf81d0160314be7af2a62712dbe361a_410_6" hidden="1">#REF!</definedName>
    <definedName name="TRNR_fd2922086dd7438d96d6cb014719fc52_1826_4" hidden="1">#REF!</definedName>
    <definedName name="TRNR_fd382789a9734281a8b85df0c8858330_97_2" hidden="1">#REF!</definedName>
    <definedName name="TRNR_fd614152d97b4794b54fd8bcf08f9d87_91_3" hidden="1" xml:space="preserve">                             '[16]20 DM central banks'!$S$10</definedName>
    <definedName name="TRNR_fd74e4372d634d5eb9dbd08d469d4cde_24_2" hidden="1">#REF!</definedName>
    <definedName name="TRNR_fda7c0e0db3b49229f3ad009d0625119_630_2" hidden="1">#REF!</definedName>
    <definedName name="TRNR_fdb2e1d72bdb4c55885441150a1aa2ee_3_2" hidden="1">#REF!</definedName>
    <definedName name="TRNR_fdb8f7a5ec5c4ac1abd9b7743026c411_56_2" hidden="1">#REF!</definedName>
    <definedName name="TRNR_fdeba78b6c1e404ca534fbcf0d88edf2_90_3" hidden="1">#REF!</definedName>
    <definedName name="TRNR_fe29807787664b0c8cc507675b165576_1_32" hidden="1">#REF!</definedName>
    <definedName name="TRNR_fecd03ec130d4dc48850a6ded8a8c8ae_357_1" hidden="1" xml:space="preserve">                        '[23]US rate paths'!$AC$5</definedName>
    <definedName name="TRNR_ff1f5998597c455bbdaa92341ac069d1_147_2" hidden="1" xml:space="preserve">                             '[16]18 S&amp;P 2Yr'!$B$10</definedName>
    <definedName name="TRNR_ff421f4ddf444f38b9e2aab132876c18_3_0" hidden="1" xml:space="preserve">                                                              '[21]P8 Commodity prices'!$AK$4</definedName>
    <definedName name="TRNR_ffa137cec6c448ebb0089d1e91636bf6_53_3" hidden="1" xml:space="preserve">                                                                                        '[16]2 equity bond scatter'!$G$7</definedName>
    <definedName name="TRNR_ffb9aacdbc1549b6a2f8932df2de48d2_361_3" hidden="1">#REF!</definedName>
    <definedName name="TRNR_ffb9b11449204120b286f0a334e11cc9_444_0" hidden="1">#REF!</definedName>
    <definedName name="TRNR_ffd523739aff418e82414191a635cc5f_109_2" hidden="1">#REF!</definedName>
    <definedName name="tw_asia">[4]Weights!$J$13</definedName>
    <definedName name="tw_nie">[4]Weights!$K$13</definedName>
    <definedName name="UK_gwth">#REF!</definedName>
    <definedName name="UK_S">#REF!</definedName>
    <definedName name="US_gwth">#REF!</definedName>
    <definedName name="US_S">#REF!</definedName>
    <definedName name="USD_Nom">#REF!</definedName>
    <definedName name="USD_Tenor">#REF!</definedName>
    <definedName name="USD_yr">#REF!</definedName>
    <definedName name="wrn.Al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Full._.Financials." hidden="1">{#N/A,#N/A,TRUE,"Financials";#N/A,#N/A,TRUE,"Operating Statistics";#N/A,#N/A,TRUE,"Capex &amp; Depreciation";#N/A,#N/A,TRUE,"Debt"}</definedName>
    <definedName name="wrn.full._.financials1." hidden="1">{#N/A,#N/A,TRUE,"Financials";#N/A,#N/A,TRUE,"Operating Statistics";#N/A,#N/A,TRUE,"Capex &amp; Depreciation";#N/A,#N/A,TRUE,"Debt"}</definedName>
    <definedName name="wrn.One._.Pager._.plus._.Technicals." hidden="1">{#N/A,#N/A,FALSE,"One Pager";#N/A,#N/A,FALSE,"Technical"}</definedName>
    <definedName name="wrn1.all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4" l="1" a="1"/>
  <c r="I2" i="14" s="1"/>
  <c r="I3" i="14" a="1"/>
  <c r="I3" i="14" s="1"/>
  <c r="I4" i="14" a="1"/>
  <c r="I4" i="14" s="1"/>
  <c r="I5" i="14" a="1"/>
  <c r="I5" i="14" s="1"/>
  <c r="I6" i="14" a="1"/>
  <c r="I6" i="14" s="1"/>
  <c r="I7" i="14" a="1"/>
  <c r="I7" i="14" s="1"/>
  <c r="I8" i="14" a="1"/>
  <c r="I8" i="14" s="1"/>
  <c r="I9" i="14" a="1"/>
  <c r="I9" i="14" s="1"/>
  <c r="I10" i="14" a="1"/>
  <c r="I10" i="14" s="1"/>
  <c r="I11" i="14" a="1"/>
  <c r="I11" i="14" s="1"/>
  <c r="I12" i="14" a="1"/>
  <c r="I12" i="14" s="1"/>
  <c r="I13" i="14" a="1"/>
  <c r="I13" i="14" s="1"/>
  <c r="I14" i="14" a="1"/>
  <c r="I14" i="14" s="1"/>
  <c r="I15" i="14" a="1"/>
  <c r="I15" i="14" s="1"/>
  <c r="I16" i="14" a="1"/>
  <c r="I16" i="14" s="1"/>
  <c r="I17" i="14" a="1"/>
  <c r="I17" i="14" s="1"/>
  <c r="I18" i="14" a="1"/>
  <c r="I18" i="14" s="1"/>
  <c r="I19" i="14" a="1"/>
  <c r="I19" i="14" s="1"/>
  <c r="I20" i="14" a="1"/>
  <c r="I20" i="14" s="1"/>
  <c r="I21" i="14" a="1"/>
  <c r="I21" i="14" s="1"/>
  <c r="I22" i="14" a="1"/>
  <c r="I22" i="14" s="1"/>
  <c r="I23" i="14" a="1"/>
  <c r="I23" i="14" s="1"/>
  <c r="I24" i="14" a="1"/>
  <c r="I24" i="14" s="1"/>
  <c r="I25" i="14" a="1"/>
  <c r="I25" i="14" s="1"/>
  <c r="I26" i="14" a="1"/>
  <c r="I26" i="14" s="1"/>
  <c r="I27" i="14" a="1"/>
  <c r="I27" i="14" s="1"/>
  <c r="I28" i="14" a="1"/>
  <c r="I28" i="14" s="1"/>
  <c r="I29" i="14" a="1"/>
  <c r="I29" i="14" s="1"/>
  <c r="I30" i="14" a="1"/>
  <c r="I30" i="14" s="1"/>
  <c r="I31" i="14" a="1"/>
  <c r="I31" i="14" s="1"/>
  <c r="I32" i="14" a="1"/>
  <c r="I32" i="14" s="1"/>
  <c r="I33" i="14" a="1"/>
  <c r="I33" i="14" s="1"/>
  <c r="I34" i="14" a="1"/>
  <c r="I34" i="14" s="1"/>
  <c r="I35" i="14" a="1"/>
  <c r="I35" i="14" s="1"/>
  <c r="I36" i="14" a="1"/>
  <c r="I36" i="14" s="1"/>
  <c r="I37" i="14" a="1"/>
  <c r="I37" i="14" s="1"/>
  <c r="I38" i="14" a="1"/>
  <c r="I38" i="14" s="1"/>
  <c r="I39" i="14" a="1"/>
  <c r="I39" i="14" s="1"/>
  <c r="I40" i="14" a="1"/>
  <c r="I40" i="14" s="1"/>
  <c r="I41" i="14" a="1"/>
  <c r="I41" i="14" s="1"/>
  <c r="I42" i="14" a="1"/>
  <c r="I42" i="14" s="1"/>
  <c r="J2" i="14" a="1"/>
  <c r="J2" i="14" s="1"/>
  <c r="J3" i="14" a="1"/>
  <c r="J3" i="14" s="1"/>
  <c r="J4" i="14" a="1"/>
  <c r="J4" i="14" s="1"/>
  <c r="J5" i="14" a="1"/>
  <c r="J5" i="14" s="1"/>
  <c r="J6" i="14" a="1"/>
  <c r="J6" i="14" s="1"/>
  <c r="J7" i="14" a="1"/>
  <c r="J7" i="14" s="1"/>
  <c r="J8" i="14" a="1"/>
  <c r="J8" i="14" s="1"/>
  <c r="J9" i="14" a="1"/>
  <c r="J9" i="14" s="1"/>
  <c r="J10" i="14" a="1"/>
  <c r="J10" i="14" s="1"/>
  <c r="J11" i="14" a="1"/>
  <c r="J11" i="14" s="1"/>
  <c r="J12" i="14" a="1"/>
  <c r="J12" i="14" s="1"/>
  <c r="J13" i="14" a="1"/>
  <c r="J13" i="14" s="1"/>
  <c r="J14" i="14" a="1"/>
  <c r="J14" i="14" s="1"/>
  <c r="J15" i="14" a="1"/>
  <c r="J15" i="14" s="1"/>
  <c r="J16" i="14" a="1"/>
  <c r="J16" i="14" s="1"/>
  <c r="J17" i="14" a="1"/>
  <c r="J17" i="14" s="1"/>
  <c r="J18" i="14" a="1"/>
  <c r="J18" i="14" s="1"/>
  <c r="J19" i="14" a="1"/>
  <c r="J19" i="14" s="1"/>
  <c r="J20" i="14" a="1"/>
  <c r="J20" i="14" s="1"/>
  <c r="J21" i="14" a="1"/>
  <c r="J21" i="14" s="1"/>
  <c r="J22" i="14" a="1"/>
  <c r="J22" i="14" s="1"/>
  <c r="J23" i="14" a="1"/>
  <c r="J23" i="14" s="1"/>
  <c r="J24" i="14" a="1"/>
  <c r="J24" i="14" s="1"/>
  <c r="J25" i="14" a="1"/>
  <c r="J25" i="14" s="1"/>
  <c r="J26" i="14" a="1"/>
  <c r="J26" i="14" s="1"/>
  <c r="J27" i="14" a="1"/>
  <c r="J27" i="14" s="1"/>
  <c r="J28" i="14" a="1"/>
  <c r="J28" i="14" s="1"/>
  <c r="J29" i="14" a="1"/>
  <c r="J29" i="14" s="1"/>
  <c r="J30" i="14" a="1"/>
  <c r="J30" i="14" s="1"/>
  <c r="J31" i="14" a="1"/>
  <c r="J31" i="14" s="1"/>
  <c r="J32" i="14" a="1"/>
  <c r="J32" i="14" s="1"/>
  <c r="J33" i="14" a="1"/>
  <c r="J33" i="14" s="1"/>
  <c r="J34" i="14" a="1"/>
  <c r="J34" i="14" s="1"/>
  <c r="J35" i="14" a="1"/>
  <c r="J35" i="14" s="1"/>
  <c r="J36" i="14" a="1"/>
  <c r="J36" i="14" s="1"/>
  <c r="J37" i="14" a="1"/>
  <c r="J37" i="14" s="1"/>
  <c r="J38" i="14" a="1"/>
  <c r="J38" i="14" s="1"/>
  <c r="J39" i="14" a="1"/>
  <c r="J39" i="14" s="1"/>
  <c r="J40" i="14" a="1"/>
  <c r="J40" i="14" s="1"/>
  <c r="J41" i="14" a="1"/>
  <c r="J41" i="14" s="1"/>
  <c r="J42" i="14" a="1"/>
  <c r="J42" i="14" s="1"/>
  <c r="G2" i="14" a="1"/>
  <c r="G2" i="14" s="1"/>
  <c r="G3" i="14" a="1"/>
  <c r="G3" i="14" s="1"/>
  <c r="G4" i="14" a="1"/>
  <c r="G4" i="14" s="1"/>
  <c r="G5" i="14" a="1"/>
  <c r="G5" i="14" s="1"/>
  <c r="G6" i="14" a="1"/>
  <c r="G6" i="14" s="1"/>
  <c r="G7" i="14" a="1"/>
  <c r="G7" i="14" s="1"/>
  <c r="G8" i="14" a="1"/>
  <c r="G8" i="14" s="1"/>
  <c r="G9" i="14" a="1"/>
  <c r="G9" i="14" s="1"/>
  <c r="G10" i="14" a="1"/>
  <c r="G10" i="14" s="1"/>
  <c r="G11" i="14" a="1"/>
  <c r="G11" i="14" s="1"/>
  <c r="G12" i="14" a="1"/>
  <c r="G12" i="14" s="1"/>
  <c r="G13" i="14" a="1"/>
  <c r="G13" i="14" s="1"/>
  <c r="G14" i="14" a="1"/>
  <c r="G14" i="14" s="1"/>
  <c r="G15" i="14" a="1"/>
  <c r="G15" i="14" s="1"/>
  <c r="G16" i="14" a="1"/>
  <c r="G16" i="14" s="1"/>
  <c r="G17" i="14" a="1"/>
  <c r="G17" i="14" s="1"/>
  <c r="G18" i="14" a="1"/>
  <c r="G18" i="14" s="1"/>
  <c r="G19" i="14" a="1"/>
  <c r="G19" i="14" s="1"/>
  <c r="G20" i="14" a="1"/>
  <c r="G20" i="14" s="1"/>
  <c r="G21" i="14" a="1"/>
  <c r="G21" i="14" s="1"/>
  <c r="G22" i="14" a="1"/>
  <c r="G22" i="14" s="1"/>
  <c r="G23" i="14" a="1"/>
  <c r="G23" i="14" s="1"/>
  <c r="G24" i="14" a="1"/>
  <c r="G24" i="14" s="1"/>
  <c r="G25" i="14" a="1"/>
  <c r="G25" i="14" s="1"/>
  <c r="G26" i="14" a="1"/>
  <c r="G26" i="14" s="1"/>
  <c r="G27" i="14" a="1"/>
  <c r="G27" i="14" s="1"/>
  <c r="G28" i="14" a="1"/>
  <c r="G28" i="14" s="1"/>
  <c r="G29" i="14" a="1"/>
  <c r="G29" i="14" s="1"/>
  <c r="G30" i="14" a="1"/>
  <c r="G30" i="14" s="1"/>
  <c r="G31" i="14" a="1"/>
  <c r="G31" i="14" s="1"/>
  <c r="G32" i="14" a="1"/>
  <c r="G32" i="14" s="1"/>
  <c r="G33" i="14" a="1"/>
  <c r="G33" i="14" s="1"/>
  <c r="G34" i="14" a="1"/>
  <c r="G34" i="14" s="1"/>
  <c r="G35" i="14" a="1"/>
  <c r="G35" i="14" s="1"/>
  <c r="G36" i="14" a="1"/>
  <c r="G36" i="14" s="1"/>
  <c r="G37" i="14" a="1"/>
  <c r="G37" i="14" s="1"/>
  <c r="G38" i="14" a="1"/>
  <c r="G38" i="14" s="1"/>
  <c r="G39" i="14" a="1"/>
  <c r="G39" i="14" s="1"/>
  <c r="G40" i="14" a="1"/>
  <c r="G40" i="14" s="1"/>
  <c r="G41" i="14" a="1"/>
  <c r="G41" i="14" s="1"/>
  <c r="G42" i="14" a="1"/>
  <c r="G42" i="14" s="1"/>
  <c r="F2" i="14" a="1"/>
  <c r="F2" i="14" s="1"/>
  <c r="F3" i="14" a="1"/>
  <c r="F3" i="14" s="1"/>
  <c r="F4" i="14" a="1"/>
  <c r="F4" i="14" s="1"/>
  <c r="F5" i="14" a="1"/>
  <c r="F5" i="14" s="1"/>
  <c r="F6" i="14" a="1"/>
  <c r="F6" i="14" s="1"/>
  <c r="F7" i="14" a="1"/>
  <c r="F7" i="14" s="1"/>
  <c r="F8" i="14" a="1"/>
  <c r="F8" i="14" s="1"/>
  <c r="F9" i="14" a="1"/>
  <c r="F9" i="14" s="1"/>
  <c r="F10" i="14" a="1"/>
  <c r="F10" i="14" s="1"/>
  <c r="F11" i="14" a="1"/>
  <c r="F11" i="14" s="1"/>
  <c r="F12" i="14" a="1"/>
  <c r="F12" i="14" s="1"/>
  <c r="F13" i="14" a="1"/>
  <c r="F13" i="14" s="1"/>
  <c r="F14" i="14" a="1"/>
  <c r="F14" i="14" s="1"/>
  <c r="F15" i="14" a="1"/>
  <c r="F15" i="14" s="1"/>
  <c r="F16" i="14" a="1"/>
  <c r="F16" i="14" s="1"/>
  <c r="F17" i="14" a="1"/>
  <c r="F17" i="14" s="1"/>
  <c r="F18" i="14" a="1"/>
  <c r="F18" i="14" s="1"/>
  <c r="F19" i="14" a="1"/>
  <c r="F19" i="14" s="1"/>
  <c r="F20" i="14" a="1"/>
  <c r="F20" i="14" s="1"/>
  <c r="F21" i="14" a="1"/>
  <c r="F21" i="14" s="1"/>
  <c r="F22" i="14" a="1"/>
  <c r="F22" i="14" s="1"/>
  <c r="F23" i="14" a="1"/>
  <c r="F23" i="14" s="1"/>
  <c r="F24" i="14" a="1"/>
  <c r="F24" i="14" s="1"/>
  <c r="F25" i="14" a="1"/>
  <c r="F25" i="14" s="1"/>
  <c r="F26" i="14" a="1"/>
  <c r="F26" i="14" s="1"/>
  <c r="F27" i="14" a="1"/>
  <c r="F27" i="14" s="1"/>
  <c r="F28" i="14" a="1"/>
  <c r="F28" i="14" s="1"/>
  <c r="F29" i="14" a="1"/>
  <c r="F29" i="14" s="1"/>
  <c r="F30" i="14" a="1"/>
  <c r="F30" i="14" s="1"/>
  <c r="F31" i="14" a="1"/>
  <c r="F31" i="14" s="1"/>
  <c r="F32" i="14" a="1"/>
  <c r="F32" i="14" s="1"/>
  <c r="F33" i="14" a="1"/>
  <c r="F33" i="14" s="1"/>
  <c r="F34" i="14" a="1"/>
  <c r="F34" i="14" s="1"/>
  <c r="F35" i="14" a="1"/>
  <c r="F35" i="14" s="1"/>
  <c r="F36" i="14" a="1"/>
  <c r="F36" i="14" s="1"/>
  <c r="F37" i="14" a="1"/>
  <c r="F37" i="14" s="1"/>
  <c r="F38" i="14" a="1"/>
  <c r="F38" i="14" s="1"/>
  <c r="F39" i="14" a="1"/>
  <c r="F39" i="14" s="1"/>
  <c r="F40" i="14" a="1"/>
  <c r="F40" i="14" s="1"/>
  <c r="F41" i="14" a="1"/>
  <c r="F41" i="14" s="1"/>
  <c r="F42" i="14" a="1"/>
  <c r="F42" i="14" s="1"/>
  <c r="E2" i="14" a="1"/>
  <c r="E2" i="14" s="1"/>
  <c r="E3" i="14" a="1"/>
  <c r="E3" i="14" s="1"/>
  <c r="E4" i="14" a="1"/>
  <c r="E4" i="14" s="1"/>
  <c r="E5" i="14" a="1"/>
  <c r="E5" i="14" s="1"/>
  <c r="E6" i="14" a="1"/>
  <c r="E6" i="14" s="1"/>
  <c r="E7" i="14" a="1"/>
  <c r="E7" i="14" s="1"/>
  <c r="E8" i="14" a="1"/>
  <c r="E8" i="14" s="1"/>
  <c r="E9" i="14" a="1"/>
  <c r="E9" i="14" s="1"/>
  <c r="E10" i="14" a="1"/>
  <c r="E10" i="14" s="1"/>
  <c r="E11" i="14" a="1"/>
  <c r="E11" i="14" s="1"/>
  <c r="E12" i="14" a="1"/>
  <c r="E12" i="14" s="1"/>
  <c r="E13" i="14" a="1"/>
  <c r="E13" i="14" s="1"/>
  <c r="E14" i="14" a="1"/>
  <c r="E14" i="14" s="1"/>
  <c r="E15" i="14" a="1"/>
  <c r="E15" i="14" s="1"/>
  <c r="E16" i="14" a="1"/>
  <c r="E16" i="14" s="1"/>
  <c r="E17" i="14" a="1"/>
  <c r="E17" i="14" s="1"/>
  <c r="E18" i="14" a="1"/>
  <c r="E18" i="14" s="1"/>
  <c r="E19" i="14" a="1"/>
  <c r="E19" i="14" s="1"/>
  <c r="E20" i="14" a="1"/>
  <c r="E20" i="14" s="1"/>
  <c r="E21" i="14" a="1"/>
  <c r="E21" i="14" s="1"/>
  <c r="E22" i="14" a="1"/>
  <c r="E22" i="14" s="1"/>
  <c r="E23" i="14" a="1"/>
  <c r="E23" i="14" s="1"/>
  <c r="E24" i="14" a="1"/>
  <c r="E24" i="14" s="1"/>
  <c r="E25" i="14" a="1"/>
  <c r="E25" i="14" s="1"/>
  <c r="E26" i="14" a="1"/>
  <c r="E26" i="14" s="1"/>
  <c r="E27" i="14" a="1"/>
  <c r="E27" i="14" s="1"/>
  <c r="E28" i="14" a="1"/>
  <c r="E28" i="14" s="1"/>
  <c r="E29" i="14" a="1"/>
  <c r="E29" i="14" s="1"/>
  <c r="E30" i="14" a="1"/>
  <c r="E30" i="14" s="1"/>
  <c r="E31" i="14" a="1"/>
  <c r="E31" i="14" s="1"/>
  <c r="E32" i="14" a="1"/>
  <c r="E32" i="14" s="1"/>
  <c r="E33" i="14" a="1"/>
  <c r="E33" i="14" s="1"/>
  <c r="E34" i="14" a="1"/>
  <c r="E34" i="14" s="1"/>
  <c r="E35" i="14" a="1"/>
  <c r="E35" i="14" s="1"/>
  <c r="E36" i="14" a="1"/>
  <c r="E36" i="14" s="1"/>
  <c r="E37" i="14" a="1"/>
  <c r="E37" i="14" s="1"/>
  <c r="E38" i="14" a="1"/>
  <c r="E38" i="14" s="1"/>
  <c r="E39" i="14" a="1"/>
  <c r="E39" i="14" s="1"/>
  <c r="E40" i="14" a="1"/>
  <c r="E40" i="14" s="1"/>
  <c r="E41" i="14" a="1"/>
  <c r="E41" i="14" s="1"/>
  <c r="E42" i="14" a="1"/>
  <c r="E42" i="14" s="1"/>
  <c r="D2" i="14" a="1"/>
  <c r="D2" i="14" s="1"/>
  <c r="D3" i="14" a="1"/>
  <c r="D3" i="14" s="1"/>
  <c r="D4" i="14" a="1"/>
  <c r="D4" i="14" s="1"/>
  <c r="D5" i="14" a="1"/>
  <c r="D5" i="14" s="1"/>
  <c r="D6" i="14" a="1"/>
  <c r="D6" i="14" s="1"/>
  <c r="D7" i="14" a="1"/>
  <c r="D7" i="14" s="1"/>
  <c r="D8" i="14" a="1"/>
  <c r="D8" i="14" s="1"/>
  <c r="D9" i="14" a="1"/>
  <c r="D9" i="14" s="1"/>
  <c r="D10" i="14" a="1"/>
  <c r="D10" i="14" s="1"/>
  <c r="D11" i="14" a="1"/>
  <c r="D11" i="14" s="1"/>
  <c r="D12" i="14" a="1"/>
  <c r="D12" i="14" s="1"/>
  <c r="D13" i="14" a="1"/>
  <c r="D13" i="14" s="1"/>
  <c r="D14" i="14" a="1"/>
  <c r="D14" i="14" s="1"/>
  <c r="D15" i="14" a="1"/>
  <c r="D15" i="14" s="1"/>
  <c r="D16" i="14" a="1"/>
  <c r="D16" i="14" s="1"/>
  <c r="D17" i="14" a="1"/>
  <c r="D17" i="14" s="1"/>
  <c r="D18" i="14" a="1"/>
  <c r="D18" i="14" s="1"/>
  <c r="D19" i="14" a="1"/>
  <c r="D19" i="14" s="1"/>
  <c r="D20" i="14" a="1"/>
  <c r="D20" i="14" s="1"/>
  <c r="D21" i="14" a="1"/>
  <c r="D21" i="14" s="1"/>
  <c r="D22" i="14" a="1"/>
  <c r="D22" i="14" s="1"/>
  <c r="D23" i="14" a="1"/>
  <c r="D23" i="14" s="1"/>
  <c r="D24" i="14" a="1"/>
  <c r="D24" i="14" s="1"/>
  <c r="D25" i="14" a="1"/>
  <c r="D25" i="14" s="1"/>
  <c r="D26" i="14" a="1"/>
  <c r="D26" i="14" s="1"/>
  <c r="D27" i="14" a="1"/>
  <c r="D27" i="14" s="1"/>
  <c r="D28" i="14" a="1"/>
  <c r="D28" i="14" s="1"/>
  <c r="D29" i="14" a="1"/>
  <c r="D29" i="14" s="1"/>
  <c r="D30" i="14" a="1"/>
  <c r="D30" i="14" s="1"/>
  <c r="D31" i="14" a="1"/>
  <c r="D31" i="14" s="1"/>
  <c r="D32" i="14" a="1"/>
  <c r="D32" i="14" s="1"/>
  <c r="D33" i="14" a="1"/>
  <c r="D33" i="14" s="1"/>
  <c r="D34" i="14" a="1"/>
  <c r="D34" i="14" s="1"/>
  <c r="D35" i="14" a="1"/>
  <c r="D35" i="14" s="1"/>
  <c r="D36" i="14" a="1"/>
  <c r="D36" i="14" s="1"/>
  <c r="D37" i="14" a="1"/>
  <c r="D37" i="14" s="1"/>
  <c r="D38" i="14" a="1"/>
  <c r="D38" i="14" s="1"/>
  <c r="D39" i="14" a="1"/>
  <c r="D39" i="14" s="1"/>
  <c r="D40" i="14" a="1"/>
  <c r="D40" i="14" s="1"/>
  <c r="D41" i="14" a="1"/>
  <c r="D41" i="14" s="1"/>
  <c r="D42" i="14" a="1"/>
  <c r="D42" i="14" s="1"/>
  <c r="B2" i="14" a="1"/>
  <c r="B2" i="14" s="1"/>
  <c r="B3" i="14" a="1"/>
  <c r="B3" i="14" s="1"/>
  <c r="B4" i="14" a="1"/>
  <c r="B4" i="14" s="1"/>
  <c r="B5" i="14" a="1"/>
  <c r="B5" i="14" s="1"/>
  <c r="B6" i="14" a="1"/>
  <c r="B6" i="14" s="1"/>
  <c r="B7" i="14" a="1"/>
  <c r="B7" i="14" s="1"/>
  <c r="B8" i="14" a="1"/>
  <c r="B8" i="14" s="1"/>
  <c r="B9" i="14" a="1"/>
  <c r="B9" i="14" s="1"/>
  <c r="B10" i="14" a="1"/>
  <c r="B10" i="14" s="1"/>
  <c r="B11" i="14" a="1"/>
  <c r="B11" i="14" s="1"/>
  <c r="B12" i="14" a="1"/>
  <c r="B12" i="14" s="1"/>
  <c r="B13" i="14" a="1"/>
  <c r="B13" i="14" s="1"/>
  <c r="B14" i="14" a="1"/>
  <c r="B14" i="14" s="1"/>
  <c r="B15" i="14" a="1"/>
  <c r="B15" i="14" s="1"/>
  <c r="B16" i="14" a="1"/>
  <c r="B16" i="14" s="1"/>
  <c r="B17" i="14" a="1"/>
  <c r="B17" i="14" s="1"/>
  <c r="B18" i="14" a="1"/>
  <c r="B18" i="14" s="1"/>
  <c r="B19" i="14" a="1"/>
  <c r="B19" i="14" s="1"/>
  <c r="B20" i="14" a="1"/>
  <c r="B20" i="14" s="1"/>
  <c r="B21" i="14" a="1"/>
  <c r="B21" i="14" s="1"/>
  <c r="B22" i="14" a="1"/>
  <c r="B22" i="14" s="1"/>
  <c r="B23" i="14" a="1"/>
  <c r="B23" i="14" s="1"/>
  <c r="B24" i="14" a="1"/>
  <c r="B24" i="14" s="1"/>
  <c r="B25" i="14" a="1"/>
  <c r="B25" i="14" s="1"/>
  <c r="B26" i="14" a="1"/>
  <c r="B26" i="14" s="1"/>
  <c r="B27" i="14" a="1"/>
  <c r="B27" i="14" s="1"/>
  <c r="B28" i="14" a="1"/>
  <c r="B28" i="14" s="1"/>
  <c r="B29" i="14" a="1"/>
  <c r="B29" i="14" s="1"/>
  <c r="B30" i="14" a="1"/>
  <c r="B30" i="14" s="1"/>
  <c r="B31" i="14" a="1"/>
  <c r="B31" i="14" s="1"/>
  <c r="B32" i="14" a="1"/>
  <c r="B32" i="14" s="1"/>
  <c r="B33" i="14" a="1"/>
  <c r="B33" i="14" s="1"/>
  <c r="B34" i="14" a="1"/>
  <c r="B34" i="14" s="1"/>
  <c r="B35" i="14" a="1"/>
  <c r="B35" i="14" s="1"/>
  <c r="B36" i="14" a="1"/>
  <c r="B36" i="14" s="1"/>
  <c r="B37" i="14" a="1"/>
  <c r="B37" i="14" s="1"/>
  <c r="B38" i="14" a="1"/>
  <c r="B38" i="14" s="1"/>
  <c r="B39" i="14" a="1"/>
  <c r="B39" i="14" s="1"/>
  <c r="B40" i="14" a="1"/>
  <c r="B40" i="14" s="1"/>
  <c r="B41" i="14" a="1"/>
  <c r="B41" i="14" s="1"/>
  <c r="B42" i="14" a="1"/>
  <c r="B42" i="14" s="1"/>
  <c r="J2" i="15" a="1"/>
  <c r="J2" i="15" s="1"/>
  <c r="J3" i="15" a="1"/>
  <c r="J3" i="15" s="1"/>
  <c r="J4" i="15" a="1"/>
  <c r="J4" i="15" s="1"/>
  <c r="J5" i="15" a="1"/>
  <c r="J5" i="15" s="1"/>
  <c r="J6" i="15" a="1"/>
  <c r="J6" i="15" s="1"/>
  <c r="J7" i="15" a="1"/>
  <c r="J7" i="15" s="1"/>
  <c r="J8" i="15" a="1"/>
  <c r="J8" i="15" s="1"/>
  <c r="J9" i="15" a="1"/>
  <c r="J9" i="15" s="1"/>
  <c r="J10" i="15" a="1"/>
  <c r="J10" i="15" s="1"/>
  <c r="J11" i="15" a="1"/>
  <c r="J11" i="15" s="1"/>
  <c r="J12" i="15" a="1"/>
  <c r="J12" i="15" s="1"/>
  <c r="J13" i="15" a="1"/>
  <c r="J13" i="15" s="1"/>
  <c r="J14" i="15" a="1"/>
  <c r="J14" i="15" s="1"/>
  <c r="J15" i="15" a="1"/>
  <c r="J15" i="15" s="1"/>
  <c r="J16" i="15" a="1"/>
  <c r="J16" i="15" s="1"/>
  <c r="J17" i="15" a="1"/>
  <c r="J17" i="15" s="1"/>
  <c r="J18" i="15" a="1"/>
  <c r="J18" i="15" s="1"/>
  <c r="J19" i="15" a="1"/>
  <c r="J19" i="15" s="1"/>
  <c r="J20" i="15" a="1"/>
  <c r="J20" i="15" s="1"/>
  <c r="J21" i="15" a="1"/>
  <c r="J21" i="15" s="1"/>
  <c r="J22" i="15" a="1"/>
  <c r="J22" i="15" s="1"/>
  <c r="J23" i="15" a="1"/>
  <c r="J23" i="15" s="1"/>
  <c r="J24" i="15" a="1"/>
  <c r="J24" i="15" s="1"/>
  <c r="J25" i="15" a="1"/>
  <c r="J25" i="15" s="1"/>
  <c r="J26" i="15" a="1"/>
  <c r="J26" i="15" s="1"/>
  <c r="J27" i="15" a="1"/>
  <c r="J27" i="15" s="1"/>
  <c r="J28" i="15" a="1"/>
  <c r="J28" i="15" s="1"/>
  <c r="J29" i="15" a="1"/>
  <c r="J29" i="15" s="1"/>
  <c r="J30" i="15" a="1"/>
  <c r="J30" i="15" s="1"/>
  <c r="J31" i="15" a="1"/>
  <c r="J31" i="15" s="1"/>
  <c r="J32" i="15" a="1"/>
  <c r="J32" i="15" s="1"/>
  <c r="J33" i="15" a="1"/>
  <c r="J33" i="15" s="1"/>
  <c r="J34" i="15" a="1"/>
  <c r="J34" i="15" s="1"/>
  <c r="J35" i="15" a="1"/>
  <c r="J35" i="15" s="1"/>
  <c r="J36" i="15" a="1"/>
  <c r="J36" i="15" s="1"/>
  <c r="J37" i="15" a="1"/>
  <c r="J37" i="15" s="1"/>
  <c r="J38" i="15" a="1"/>
  <c r="J38" i="15" s="1"/>
  <c r="J39" i="15" a="1"/>
  <c r="J39" i="15" s="1"/>
  <c r="J40" i="15" a="1"/>
  <c r="J40" i="15" s="1"/>
  <c r="J41" i="15" a="1"/>
  <c r="J41" i="15" s="1"/>
  <c r="J42" i="15" a="1"/>
  <c r="J42" i="15" s="1"/>
  <c r="I2" i="15" a="1"/>
  <c r="I2" i="15" s="1"/>
  <c r="I3" i="15" a="1"/>
  <c r="I3" i="15" s="1"/>
  <c r="I4" i="15" a="1"/>
  <c r="I4" i="15" s="1"/>
  <c r="I5" i="15" a="1"/>
  <c r="I5" i="15" s="1"/>
  <c r="I6" i="15" a="1"/>
  <c r="I6" i="15" s="1"/>
  <c r="I7" i="15" a="1"/>
  <c r="I7" i="15" s="1"/>
  <c r="I8" i="15" a="1"/>
  <c r="I8" i="15" s="1"/>
  <c r="I9" i="15" a="1"/>
  <c r="I9" i="15" s="1"/>
  <c r="I10" i="15" a="1"/>
  <c r="I10" i="15" s="1"/>
  <c r="I11" i="15" a="1"/>
  <c r="I11" i="15" s="1"/>
  <c r="I12" i="15" a="1"/>
  <c r="I12" i="15" s="1"/>
  <c r="I13" i="15" a="1"/>
  <c r="I13" i="15" s="1"/>
  <c r="I14" i="15" a="1"/>
  <c r="I14" i="15" s="1"/>
  <c r="I15" i="15" a="1"/>
  <c r="I15" i="15" s="1"/>
  <c r="I16" i="15" a="1"/>
  <c r="I16" i="15" s="1"/>
  <c r="I17" i="15" a="1"/>
  <c r="I17" i="15" s="1"/>
  <c r="I18" i="15" a="1"/>
  <c r="I18" i="15" s="1"/>
  <c r="I19" i="15" a="1"/>
  <c r="I19" i="15" s="1"/>
  <c r="I20" i="15" a="1"/>
  <c r="I20" i="15" s="1"/>
  <c r="I21" i="15" a="1"/>
  <c r="I21" i="15" s="1"/>
  <c r="I22" i="15" a="1"/>
  <c r="I22" i="15" s="1"/>
  <c r="I23" i="15" a="1"/>
  <c r="I23" i="15" s="1"/>
  <c r="I24" i="15" a="1"/>
  <c r="I24" i="15" s="1"/>
  <c r="I25" i="15" a="1"/>
  <c r="I25" i="15" s="1"/>
  <c r="I26" i="15" a="1"/>
  <c r="I26" i="15" s="1"/>
  <c r="I27" i="15" a="1"/>
  <c r="I27" i="15" s="1"/>
  <c r="I28" i="15" a="1"/>
  <c r="I28" i="15" s="1"/>
  <c r="I29" i="15" a="1"/>
  <c r="I29" i="15" s="1"/>
  <c r="I30" i="15" a="1"/>
  <c r="I30" i="15" s="1"/>
  <c r="I31" i="15" a="1"/>
  <c r="I31" i="15" s="1"/>
  <c r="I32" i="15" a="1"/>
  <c r="I32" i="15" s="1"/>
  <c r="I33" i="15" a="1"/>
  <c r="I33" i="15" s="1"/>
  <c r="I34" i="15" a="1"/>
  <c r="I34" i="15" s="1"/>
  <c r="I35" i="15" a="1"/>
  <c r="I35" i="15" s="1"/>
  <c r="I36" i="15" a="1"/>
  <c r="I36" i="15" s="1"/>
  <c r="I37" i="15" a="1"/>
  <c r="I37" i="15" s="1"/>
  <c r="I38" i="15" a="1"/>
  <c r="I38" i="15" s="1"/>
  <c r="I39" i="15" a="1"/>
  <c r="I39" i="15" s="1"/>
  <c r="I40" i="15" a="1"/>
  <c r="I40" i="15" s="1"/>
  <c r="I41" i="15" a="1"/>
  <c r="I41" i="15" s="1"/>
  <c r="I42" i="15" a="1"/>
  <c r="I42" i="15" s="1"/>
  <c r="G2" i="15" a="1"/>
  <c r="G2" i="15" s="1"/>
  <c r="G3" i="15" a="1"/>
  <c r="G3" i="15" s="1"/>
  <c r="G4" i="15" a="1"/>
  <c r="G4" i="15" s="1"/>
  <c r="G5" i="15" a="1"/>
  <c r="G5" i="15" s="1"/>
  <c r="G6" i="15" a="1"/>
  <c r="G6" i="15" s="1"/>
  <c r="G7" i="15" a="1"/>
  <c r="G7" i="15" s="1"/>
  <c r="G8" i="15" a="1"/>
  <c r="G8" i="15" s="1"/>
  <c r="G9" i="15" a="1"/>
  <c r="G9" i="15" s="1"/>
  <c r="G10" i="15" a="1"/>
  <c r="G10" i="15" s="1"/>
  <c r="G11" i="15" a="1"/>
  <c r="G11" i="15" s="1"/>
  <c r="G12" i="15" a="1"/>
  <c r="G12" i="15" s="1"/>
  <c r="G13" i="15" a="1"/>
  <c r="G13" i="15" s="1"/>
  <c r="G14" i="15" a="1"/>
  <c r="G14" i="15" s="1"/>
  <c r="G15" i="15" a="1"/>
  <c r="G15" i="15" s="1"/>
  <c r="G16" i="15" a="1"/>
  <c r="G16" i="15" s="1"/>
  <c r="G17" i="15" a="1"/>
  <c r="G17" i="15" s="1"/>
  <c r="G18" i="15" a="1"/>
  <c r="G18" i="15" s="1"/>
  <c r="G19" i="15" a="1"/>
  <c r="G19" i="15" s="1"/>
  <c r="G20" i="15" a="1"/>
  <c r="G20" i="15" s="1"/>
  <c r="G21" i="15" a="1"/>
  <c r="G21" i="15" s="1"/>
  <c r="G22" i="15" a="1"/>
  <c r="G22" i="15" s="1"/>
  <c r="G23" i="15" a="1"/>
  <c r="G23" i="15" s="1"/>
  <c r="G24" i="15" a="1"/>
  <c r="G24" i="15" s="1"/>
  <c r="G25" i="15" a="1"/>
  <c r="G25" i="15" s="1"/>
  <c r="G26" i="15" a="1"/>
  <c r="G26" i="15" s="1"/>
  <c r="G27" i="15" a="1"/>
  <c r="G27" i="15" s="1"/>
  <c r="G28" i="15" a="1"/>
  <c r="G28" i="15" s="1"/>
  <c r="G29" i="15" a="1"/>
  <c r="G29" i="15" s="1"/>
  <c r="G30" i="15" a="1"/>
  <c r="G30" i="15" s="1"/>
  <c r="G31" i="15" a="1"/>
  <c r="G31" i="15" s="1"/>
  <c r="G32" i="15" a="1"/>
  <c r="G32" i="15" s="1"/>
  <c r="G33" i="15" a="1"/>
  <c r="G33" i="15" s="1"/>
  <c r="G34" i="15" a="1"/>
  <c r="G34" i="15" s="1"/>
  <c r="G35" i="15" a="1"/>
  <c r="G35" i="15" s="1"/>
  <c r="G36" i="15" a="1"/>
  <c r="G36" i="15" s="1"/>
  <c r="G37" i="15" a="1"/>
  <c r="G37" i="15" s="1"/>
  <c r="G38" i="15" a="1"/>
  <c r="G38" i="15" s="1"/>
  <c r="G39" i="15" a="1"/>
  <c r="G39" i="15" s="1"/>
  <c r="G40" i="15" a="1"/>
  <c r="G40" i="15" s="1"/>
  <c r="G41" i="15" a="1"/>
  <c r="G41" i="15" s="1"/>
  <c r="G42" i="15" a="1"/>
  <c r="G42" i="15" s="1"/>
  <c r="F2" i="15" a="1"/>
  <c r="F2" i="15" s="1"/>
  <c r="F3" i="15" a="1"/>
  <c r="F3" i="15" s="1"/>
  <c r="F4" i="15" a="1"/>
  <c r="F4" i="15" s="1"/>
  <c r="F5" i="15" a="1"/>
  <c r="F5" i="15" s="1"/>
  <c r="F6" i="15" a="1"/>
  <c r="F6" i="15" s="1"/>
  <c r="F7" i="15" a="1"/>
  <c r="F7" i="15" s="1"/>
  <c r="F8" i="15" a="1"/>
  <c r="F8" i="15" s="1"/>
  <c r="F9" i="15" a="1"/>
  <c r="F9" i="15" s="1"/>
  <c r="F10" i="15" a="1"/>
  <c r="F10" i="15" s="1"/>
  <c r="F11" i="15" a="1"/>
  <c r="F11" i="15" s="1"/>
  <c r="F12" i="15" a="1"/>
  <c r="F12" i="15" s="1"/>
  <c r="F13" i="15" a="1"/>
  <c r="F13" i="15" s="1"/>
  <c r="F14" i="15" a="1"/>
  <c r="F14" i="15" s="1"/>
  <c r="F15" i="15" a="1"/>
  <c r="F15" i="15" s="1"/>
  <c r="F16" i="15" a="1"/>
  <c r="F16" i="15" s="1"/>
  <c r="F17" i="15" a="1"/>
  <c r="F17" i="15" s="1"/>
  <c r="F18" i="15" a="1"/>
  <c r="F18" i="15" s="1"/>
  <c r="F19" i="15" a="1"/>
  <c r="F19" i="15" s="1"/>
  <c r="F20" i="15" a="1"/>
  <c r="F20" i="15" s="1"/>
  <c r="F21" i="15" a="1"/>
  <c r="F21" i="15" s="1"/>
  <c r="F22" i="15" a="1"/>
  <c r="F22" i="15" s="1"/>
  <c r="F23" i="15" a="1"/>
  <c r="F23" i="15" s="1"/>
  <c r="F24" i="15" a="1"/>
  <c r="F24" i="15" s="1"/>
  <c r="F25" i="15" a="1"/>
  <c r="F25" i="15" s="1"/>
  <c r="F26" i="15" a="1"/>
  <c r="F26" i="15" s="1"/>
  <c r="F27" i="15" a="1"/>
  <c r="F27" i="15" s="1"/>
  <c r="F28" i="15" a="1"/>
  <c r="F28" i="15" s="1"/>
  <c r="F29" i="15" a="1"/>
  <c r="F29" i="15" s="1"/>
  <c r="F30" i="15" a="1"/>
  <c r="F30" i="15" s="1"/>
  <c r="F31" i="15" a="1"/>
  <c r="F31" i="15" s="1"/>
  <c r="F32" i="15" a="1"/>
  <c r="F32" i="15" s="1"/>
  <c r="F33" i="15" a="1"/>
  <c r="F33" i="15" s="1"/>
  <c r="F34" i="15" a="1"/>
  <c r="F34" i="15" s="1"/>
  <c r="F35" i="15" a="1"/>
  <c r="F35" i="15" s="1"/>
  <c r="F36" i="15" a="1"/>
  <c r="F36" i="15" s="1"/>
  <c r="F37" i="15" a="1"/>
  <c r="F37" i="15" s="1"/>
  <c r="F38" i="15" a="1"/>
  <c r="F38" i="15" s="1"/>
  <c r="F39" i="15" a="1"/>
  <c r="F39" i="15" s="1"/>
  <c r="F40" i="15" a="1"/>
  <c r="F40" i="15" s="1"/>
  <c r="F41" i="15" a="1"/>
  <c r="F41" i="15" s="1"/>
  <c r="F42" i="15" a="1"/>
  <c r="F42" i="15" s="1"/>
  <c r="E2" i="15" a="1"/>
  <c r="E2" i="15" s="1"/>
  <c r="E3" i="15" a="1"/>
  <c r="E3" i="15" s="1"/>
  <c r="E4" i="15" a="1"/>
  <c r="E4" i="15" s="1"/>
  <c r="E5" i="15" a="1"/>
  <c r="E5" i="15" s="1"/>
  <c r="E6" i="15" a="1"/>
  <c r="E6" i="15" s="1"/>
  <c r="E7" i="15" a="1"/>
  <c r="E7" i="15" s="1"/>
  <c r="E8" i="15" a="1"/>
  <c r="E8" i="15" s="1"/>
  <c r="E9" i="15" a="1"/>
  <c r="E9" i="15" s="1"/>
  <c r="E10" i="15" a="1"/>
  <c r="E10" i="15" s="1"/>
  <c r="E11" i="15" a="1"/>
  <c r="E11" i="15" s="1"/>
  <c r="E12" i="15" a="1"/>
  <c r="E12" i="15" s="1"/>
  <c r="E13" i="15" a="1"/>
  <c r="E13" i="15" s="1"/>
  <c r="E14" i="15" a="1"/>
  <c r="E14" i="15" s="1"/>
  <c r="E15" i="15" a="1"/>
  <c r="E15" i="15" s="1"/>
  <c r="E16" i="15" a="1"/>
  <c r="E16" i="15" s="1"/>
  <c r="E17" i="15" a="1"/>
  <c r="E17" i="15" s="1"/>
  <c r="E18" i="15" a="1"/>
  <c r="E18" i="15" s="1"/>
  <c r="E19" i="15" a="1"/>
  <c r="E19" i="15" s="1"/>
  <c r="E20" i="15" a="1"/>
  <c r="E20" i="15" s="1"/>
  <c r="E21" i="15" a="1"/>
  <c r="E21" i="15" s="1"/>
  <c r="E22" i="15" a="1"/>
  <c r="E22" i="15" s="1"/>
  <c r="E23" i="15" a="1"/>
  <c r="E23" i="15" s="1"/>
  <c r="E24" i="15" a="1"/>
  <c r="E24" i="15" s="1"/>
  <c r="E25" i="15" a="1"/>
  <c r="E25" i="15" s="1"/>
  <c r="E26" i="15" a="1"/>
  <c r="E26" i="15" s="1"/>
  <c r="E27" i="15" a="1"/>
  <c r="E27" i="15" s="1"/>
  <c r="E28" i="15" a="1"/>
  <c r="E28" i="15" s="1"/>
  <c r="E29" i="15" a="1"/>
  <c r="E29" i="15" s="1"/>
  <c r="E30" i="15" a="1"/>
  <c r="E30" i="15" s="1"/>
  <c r="E31" i="15" a="1"/>
  <c r="E31" i="15" s="1"/>
  <c r="E32" i="15" a="1"/>
  <c r="E32" i="15" s="1"/>
  <c r="E33" i="15" a="1"/>
  <c r="E33" i="15" s="1"/>
  <c r="E34" i="15" a="1"/>
  <c r="E34" i="15" s="1"/>
  <c r="E35" i="15" a="1"/>
  <c r="E35" i="15" s="1"/>
  <c r="E36" i="15" a="1"/>
  <c r="E36" i="15" s="1"/>
  <c r="E37" i="15" a="1"/>
  <c r="E37" i="15" s="1"/>
  <c r="E38" i="15" a="1"/>
  <c r="E38" i="15" s="1"/>
  <c r="E39" i="15" a="1"/>
  <c r="E39" i="15" s="1"/>
  <c r="E40" i="15" a="1"/>
  <c r="E40" i="15" s="1"/>
  <c r="E41" i="15" a="1"/>
  <c r="E41" i="15" s="1"/>
  <c r="E42" i="15" a="1"/>
  <c r="E42" i="15" s="1"/>
  <c r="D2" i="15" a="1"/>
  <c r="D2" i="15" s="1"/>
  <c r="D3" i="15" a="1"/>
  <c r="D3" i="15" s="1"/>
  <c r="D4" i="15" a="1"/>
  <c r="D4" i="15" s="1"/>
  <c r="D5" i="15" a="1"/>
  <c r="D5" i="15" s="1"/>
  <c r="D6" i="15" a="1"/>
  <c r="D6" i="15" s="1"/>
  <c r="D7" i="15" a="1"/>
  <c r="D7" i="15" s="1"/>
  <c r="D8" i="15" a="1"/>
  <c r="D8" i="15" s="1"/>
  <c r="D9" i="15" a="1"/>
  <c r="D9" i="15" s="1"/>
  <c r="D10" i="15" a="1"/>
  <c r="D10" i="15" s="1"/>
  <c r="D11" i="15" a="1"/>
  <c r="D11" i="15" s="1"/>
  <c r="D12" i="15" a="1"/>
  <c r="D12" i="15" s="1"/>
  <c r="D13" i="15" a="1"/>
  <c r="D13" i="15" s="1"/>
  <c r="D14" i="15" a="1"/>
  <c r="D14" i="15" s="1"/>
  <c r="D15" i="15" a="1"/>
  <c r="D15" i="15" s="1"/>
  <c r="D16" i="15" a="1"/>
  <c r="D16" i="15" s="1"/>
  <c r="D17" i="15" a="1"/>
  <c r="D17" i="15" s="1"/>
  <c r="D18" i="15" a="1"/>
  <c r="D18" i="15" s="1"/>
  <c r="D19" i="15" a="1"/>
  <c r="D19" i="15" s="1"/>
  <c r="D20" i="15" a="1"/>
  <c r="D20" i="15" s="1"/>
  <c r="D21" i="15" a="1"/>
  <c r="D21" i="15" s="1"/>
  <c r="D22" i="15" a="1"/>
  <c r="D22" i="15" s="1"/>
  <c r="D23" i="15" a="1"/>
  <c r="D23" i="15" s="1"/>
  <c r="D24" i="15" a="1"/>
  <c r="D24" i="15" s="1"/>
  <c r="D25" i="15" a="1"/>
  <c r="D25" i="15" s="1"/>
  <c r="D26" i="15" a="1"/>
  <c r="D26" i="15" s="1"/>
  <c r="D27" i="15" a="1"/>
  <c r="D27" i="15" s="1"/>
  <c r="D28" i="15" a="1"/>
  <c r="D28" i="15" s="1"/>
  <c r="D29" i="15" a="1"/>
  <c r="D29" i="15" s="1"/>
  <c r="D30" i="15" a="1"/>
  <c r="D30" i="15" s="1"/>
  <c r="D31" i="15" a="1"/>
  <c r="D31" i="15" s="1"/>
  <c r="D32" i="15" a="1"/>
  <c r="D32" i="15" s="1"/>
  <c r="D33" i="15" a="1"/>
  <c r="D33" i="15" s="1"/>
  <c r="D34" i="15" a="1"/>
  <c r="D34" i="15" s="1"/>
  <c r="D35" i="15" a="1"/>
  <c r="D35" i="15" s="1"/>
  <c r="D36" i="15" a="1"/>
  <c r="D36" i="15" s="1"/>
  <c r="D37" i="15" a="1"/>
  <c r="D37" i="15" s="1"/>
  <c r="D38" i="15" a="1"/>
  <c r="D38" i="15" s="1"/>
  <c r="D39" i="15" a="1"/>
  <c r="D39" i="15" s="1"/>
  <c r="D40" i="15" a="1"/>
  <c r="D40" i="15" s="1"/>
  <c r="D41" i="15" a="1"/>
  <c r="D41" i="15" s="1"/>
  <c r="D42" i="15" a="1"/>
  <c r="D42" i="15" s="1"/>
  <c r="B2" i="15" a="1"/>
  <c r="B2" i="15" s="1"/>
  <c r="B3" i="15" a="1"/>
  <c r="B3" i="15" s="1"/>
  <c r="B4" i="15" a="1"/>
  <c r="B4" i="15" s="1"/>
  <c r="B5" i="15" a="1"/>
  <c r="B5" i="15" s="1"/>
  <c r="B6" i="15" a="1"/>
  <c r="B6" i="15" s="1"/>
  <c r="B7" i="15" a="1"/>
  <c r="B7" i="15" s="1"/>
  <c r="B8" i="15" a="1"/>
  <c r="B8" i="15" s="1"/>
  <c r="B9" i="15" a="1"/>
  <c r="B9" i="15" s="1"/>
  <c r="B10" i="15" a="1"/>
  <c r="B10" i="15" s="1"/>
  <c r="B11" i="15" a="1"/>
  <c r="B11" i="15" s="1"/>
  <c r="B12" i="15" a="1"/>
  <c r="B12" i="15" s="1"/>
  <c r="B13" i="15" a="1"/>
  <c r="B13" i="15" s="1"/>
  <c r="B14" i="15" a="1"/>
  <c r="B14" i="15" s="1"/>
  <c r="B15" i="15" a="1"/>
  <c r="B15" i="15" s="1"/>
  <c r="B16" i="15" a="1"/>
  <c r="B16" i="15" s="1"/>
  <c r="B17" i="15" a="1"/>
  <c r="B17" i="15" s="1"/>
  <c r="B18" i="15" a="1"/>
  <c r="B18" i="15" s="1"/>
  <c r="B19" i="15" a="1"/>
  <c r="B19" i="15" s="1"/>
  <c r="B20" i="15" a="1"/>
  <c r="B20" i="15" s="1"/>
  <c r="B21" i="15" a="1"/>
  <c r="B21" i="15" s="1"/>
  <c r="B22" i="15" a="1"/>
  <c r="B22" i="15" s="1"/>
  <c r="B23" i="15" a="1"/>
  <c r="B23" i="15" s="1"/>
  <c r="B24" i="15" a="1"/>
  <c r="B24" i="15" s="1"/>
  <c r="B25" i="15" a="1"/>
  <c r="B25" i="15" s="1"/>
  <c r="B26" i="15" a="1"/>
  <c r="B26" i="15" s="1"/>
  <c r="B27" i="15" a="1"/>
  <c r="B27" i="15" s="1"/>
  <c r="B28" i="15" a="1"/>
  <c r="B28" i="15" s="1"/>
  <c r="B29" i="15" a="1"/>
  <c r="B29" i="15" s="1"/>
  <c r="B30" i="15" a="1"/>
  <c r="B30" i="15" s="1"/>
  <c r="B31" i="15" a="1"/>
  <c r="B31" i="15" s="1"/>
  <c r="B32" i="15" a="1"/>
  <c r="B32" i="15" s="1"/>
  <c r="B33" i="15" a="1"/>
  <c r="B33" i="15" s="1"/>
  <c r="B34" i="15" a="1"/>
  <c r="B34" i="15" s="1"/>
  <c r="B35" i="15" a="1"/>
  <c r="B35" i="15" s="1"/>
  <c r="B36" i="15" a="1"/>
  <c r="B36" i="15" s="1"/>
  <c r="B37" i="15" a="1"/>
  <c r="B37" i="15" s="1"/>
  <c r="B38" i="15" a="1"/>
  <c r="B38" i="15" s="1"/>
  <c r="B39" i="15" a="1"/>
  <c r="B39" i="15" s="1"/>
  <c r="B40" i="15" a="1"/>
  <c r="B40" i="15" s="1"/>
  <c r="B41" i="15" a="1"/>
  <c r="B41" i="15" s="1"/>
  <c r="B42" i="15" a="1"/>
  <c r="B42" i="15" s="1"/>
  <c r="J2" i="16" a="1"/>
  <c r="J2" i="16" s="1"/>
  <c r="J3" i="16" a="1"/>
  <c r="J3" i="16" s="1"/>
  <c r="J4" i="16" a="1"/>
  <c r="J4" i="16" s="1"/>
  <c r="J5" i="16" a="1"/>
  <c r="J5" i="16" s="1"/>
  <c r="J6" i="16" a="1"/>
  <c r="J6" i="16" s="1"/>
  <c r="J7" i="16" a="1"/>
  <c r="J7" i="16" s="1"/>
  <c r="J8" i="16" a="1"/>
  <c r="J8" i="16" s="1"/>
  <c r="J9" i="16" a="1"/>
  <c r="J9" i="16" s="1"/>
  <c r="J10" i="16" a="1"/>
  <c r="J10" i="16" s="1"/>
  <c r="J11" i="16" a="1"/>
  <c r="J11" i="16" s="1"/>
  <c r="J12" i="16" a="1"/>
  <c r="J12" i="16" s="1"/>
  <c r="J13" i="16" a="1"/>
  <c r="J13" i="16" s="1"/>
  <c r="J14" i="16" a="1"/>
  <c r="J14" i="16" s="1"/>
  <c r="J15" i="16" a="1"/>
  <c r="J15" i="16" s="1"/>
  <c r="J16" i="16" a="1"/>
  <c r="J16" i="16" s="1"/>
  <c r="J17" i="16" a="1"/>
  <c r="J17" i="16" s="1"/>
  <c r="J18" i="16" a="1"/>
  <c r="J18" i="16" s="1"/>
  <c r="J19" i="16" a="1"/>
  <c r="J19" i="16" s="1"/>
  <c r="J20" i="16" a="1"/>
  <c r="J20" i="16" s="1"/>
  <c r="J21" i="16" a="1"/>
  <c r="J21" i="16" s="1"/>
  <c r="J22" i="16" a="1"/>
  <c r="J22" i="16" s="1"/>
  <c r="J23" i="16" a="1"/>
  <c r="J23" i="16" s="1"/>
  <c r="J24" i="16" a="1"/>
  <c r="J24" i="16" s="1"/>
  <c r="J25" i="16" a="1"/>
  <c r="J25" i="16" s="1"/>
  <c r="J26" i="16" a="1"/>
  <c r="J26" i="16" s="1"/>
  <c r="J27" i="16" a="1"/>
  <c r="J27" i="16" s="1"/>
  <c r="J28" i="16" a="1"/>
  <c r="J28" i="16" s="1"/>
  <c r="J29" i="16" a="1"/>
  <c r="J29" i="16" s="1"/>
  <c r="J30" i="16" a="1"/>
  <c r="J30" i="16" s="1"/>
  <c r="J31" i="16" a="1"/>
  <c r="J31" i="16" s="1"/>
  <c r="J32" i="16" a="1"/>
  <c r="J32" i="16" s="1"/>
  <c r="J33" i="16" a="1"/>
  <c r="J33" i="16" s="1"/>
  <c r="J34" i="16" a="1"/>
  <c r="J34" i="16" s="1"/>
  <c r="J35" i="16" a="1"/>
  <c r="J35" i="16" s="1"/>
  <c r="J36" i="16" a="1"/>
  <c r="J36" i="16" s="1"/>
  <c r="J37" i="16" a="1"/>
  <c r="J37" i="16" s="1"/>
  <c r="J38" i="16" a="1"/>
  <c r="J38" i="16" s="1"/>
  <c r="J39" i="16" a="1"/>
  <c r="J39" i="16" s="1"/>
  <c r="J40" i="16" a="1"/>
  <c r="J40" i="16" s="1"/>
  <c r="J41" i="16" a="1"/>
  <c r="J41" i="16" s="1"/>
  <c r="J42" i="16" a="1"/>
  <c r="J42" i="16" s="1"/>
  <c r="I2" i="16" a="1"/>
  <c r="I2" i="16" s="1"/>
  <c r="I3" i="16" a="1"/>
  <c r="I3" i="16" s="1"/>
  <c r="I4" i="16" a="1"/>
  <c r="I4" i="16" s="1"/>
  <c r="I5" i="16" a="1"/>
  <c r="I5" i="16" s="1"/>
  <c r="I6" i="16" a="1"/>
  <c r="I6" i="16" s="1"/>
  <c r="I7" i="16" a="1"/>
  <c r="I7" i="16" s="1"/>
  <c r="I8" i="16" a="1"/>
  <c r="I8" i="16" s="1"/>
  <c r="I9" i="16" a="1"/>
  <c r="I9" i="16" s="1"/>
  <c r="I10" i="16" a="1"/>
  <c r="I10" i="16" s="1"/>
  <c r="I11" i="16" a="1"/>
  <c r="I11" i="16" s="1"/>
  <c r="I12" i="16" a="1"/>
  <c r="I12" i="16" s="1"/>
  <c r="I13" i="16" a="1"/>
  <c r="I13" i="16" s="1"/>
  <c r="I14" i="16" a="1"/>
  <c r="I14" i="16" s="1"/>
  <c r="I15" i="16" a="1"/>
  <c r="I15" i="16" s="1"/>
  <c r="I16" i="16" a="1"/>
  <c r="I16" i="16" s="1"/>
  <c r="I17" i="16" a="1"/>
  <c r="I17" i="16" s="1"/>
  <c r="I18" i="16" a="1"/>
  <c r="I18" i="16" s="1"/>
  <c r="I19" i="16" a="1"/>
  <c r="I19" i="16" s="1"/>
  <c r="I20" i="16" a="1"/>
  <c r="I20" i="16" s="1"/>
  <c r="I21" i="16" a="1"/>
  <c r="I21" i="16" s="1"/>
  <c r="I22" i="16" a="1"/>
  <c r="I22" i="16" s="1"/>
  <c r="I23" i="16" a="1"/>
  <c r="I23" i="16" s="1"/>
  <c r="I24" i="16" a="1"/>
  <c r="I24" i="16" s="1"/>
  <c r="I25" i="16" a="1"/>
  <c r="I25" i="16" s="1"/>
  <c r="I26" i="16" a="1"/>
  <c r="I26" i="16" s="1"/>
  <c r="I27" i="16" a="1"/>
  <c r="I27" i="16" s="1"/>
  <c r="I28" i="16" a="1"/>
  <c r="I28" i="16" s="1"/>
  <c r="I29" i="16" a="1"/>
  <c r="I29" i="16" s="1"/>
  <c r="I30" i="16" a="1"/>
  <c r="I30" i="16" s="1"/>
  <c r="I31" i="16" a="1"/>
  <c r="I31" i="16" s="1"/>
  <c r="I32" i="16" a="1"/>
  <c r="I32" i="16" s="1"/>
  <c r="I33" i="16" a="1"/>
  <c r="I33" i="16" s="1"/>
  <c r="I34" i="16" a="1"/>
  <c r="I34" i="16" s="1"/>
  <c r="I35" i="16" a="1"/>
  <c r="I35" i="16" s="1"/>
  <c r="I36" i="16" a="1"/>
  <c r="I36" i="16" s="1"/>
  <c r="I37" i="16" a="1"/>
  <c r="I37" i="16" s="1"/>
  <c r="I38" i="16" a="1"/>
  <c r="I38" i="16" s="1"/>
  <c r="I39" i="16" a="1"/>
  <c r="I39" i="16" s="1"/>
  <c r="I40" i="16" a="1"/>
  <c r="I40" i="16" s="1"/>
  <c r="I41" i="16" a="1"/>
  <c r="I41" i="16" s="1"/>
  <c r="I42" i="16" a="1"/>
  <c r="I42" i="16" s="1"/>
  <c r="G2" i="16" a="1"/>
  <c r="G2" i="16" s="1"/>
  <c r="G3" i="16" a="1"/>
  <c r="G3" i="16" s="1"/>
  <c r="G4" i="16" a="1"/>
  <c r="G4" i="16" s="1"/>
  <c r="G5" i="16" a="1"/>
  <c r="G5" i="16" s="1"/>
  <c r="G6" i="16" a="1"/>
  <c r="G6" i="16" s="1"/>
  <c r="G7" i="16" a="1"/>
  <c r="G7" i="16" s="1"/>
  <c r="G8" i="16" a="1"/>
  <c r="G8" i="16" s="1"/>
  <c r="G9" i="16" a="1"/>
  <c r="G9" i="16" s="1"/>
  <c r="G10" i="16" a="1"/>
  <c r="G10" i="16" s="1"/>
  <c r="G11" i="16" a="1"/>
  <c r="G11" i="16" s="1"/>
  <c r="G12" i="16" a="1"/>
  <c r="G12" i="16" s="1"/>
  <c r="G13" i="16" a="1"/>
  <c r="G13" i="16" s="1"/>
  <c r="G14" i="16" a="1"/>
  <c r="G14" i="16" s="1"/>
  <c r="G15" i="16" a="1"/>
  <c r="G15" i="16" s="1"/>
  <c r="G16" i="16" a="1"/>
  <c r="G16" i="16" s="1"/>
  <c r="G17" i="16" a="1"/>
  <c r="G17" i="16" s="1"/>
  <c r="G18" i="16" a="1"/>
  <c r="G18" i="16" s="1"/>
  <c r="G19" i="16" a="1"/>
  <c r="G19" i="16" s="1"/>
  <c r="G20" i="16" a="1"/>
  <c r="G20" i="16" s="1"/>
  <c r="G21" i="16" a="1"/>
  <c r="G21" i="16" s="1"/>
  <c r="G22" i="16" a="1"/>
  <c r="G22" i="16" s="1"/>
  <c r="G23" i="16" a="1"/>
  <c r="G23" i="16" s="1"/>
  <c r="G24" i="16" a="1"/>
  <c r="G24" i="16" s="1"/>
  <c r="G25" i="16" a="1"/>
  <c r="G25" i="16" s="1"/>
  <c r="G26" i="16" a="1"/>
  <c r="G26" i="16" s="1"/>
  <c r="G27" i="16" a="1"/>
  <c r="G27" i="16" s="1"/>
  <c r="G28" i="16" a="1"/>
  <c r="G28" i="16" s="1"/>
  <c r="G29" i="16" a="1"/>
  <c r="G29" i="16" s="1"/>
  <c r="G30" i="16" a="1"/>
  <c r="G30" i="16" s="1"/>
  <c r="G31" i="16" a="1"/>
  <c r="G31" i="16" s="1"/>
  <c r="G32" i="16" a="1"/>
  <c r="G32" i="16" s="1"/>
  <c r="G33" i="16" a="1"/>
  <c r="G33" i="16" s="1"/>
  <c r="G34" i="16" a="1"/>
  <c r="G34" i="16" s="1"/>
  <c r="G35" i="16" a="1"/>
  <c r="G35" i="16" s="1"/>
  <c r="G36" i="16" a="1"/>
  <c r="G36" i="16" s="1"/>
  <c r="G37" i="16" a="1"/>
  <c r="G37" i="16" s="1"/>
  <c r="G38" i="16" a="1"/>
  <c r="G38" i="16" s="1"/>
  <c r="G39" i="16" a="1"/>
  <c r="G39" i="16" s="1"/>
  <c r="G40" i="16" a="1"/>
  <c r="G40" i="16" s="1"/>
  <c r="G41" i="16" a="1"/>
  <c r="G41" i="16" s="1"/>
  <c r="G42" i="16" a="1"/>
  <c r="G42" i="16" s="1"/>
  <c r="F2" i="16" a="1"/>
  <c r="F2" i="16" s="1"/>
  <c r="F3" i="16" a="1"/>
  <c r="F3" i="16" s="1"/>
  <c r="F4" i="16" a="1"/>
  <c r="F4" i="16" s="1"/>
  <c r="F5" i="16" a="1"/>
  <c r="F5" i="16" s="1"/>
  <c r="F6" i="16" a="1"/>
  <c r="F6" i="16" s="1"/>
  <c r="F7" i="16" a="1"/>
  <c r="F7" i="16" s="1"/>
  <c r="F8" i="16" a="1"/>
  <c r="F8" i="16" s="1"/>
  <c r="F9" i="16" a="1"/>
  <c r="F9" i="16" s="1"/>
  <c r="F10" i="16" a="1"/>
  <c r="F10" i="16" s="1"/>
  <c r="F11" i="16" a="1"/>
  <c r="F11" i="16" s="1"/>
  <c r="F12" i="16" a="1"/>
  <c r="F12" i="16" s="1"/>
  <c r="F13" i="16" a="1"/>
  <c r="F13" i="16" s="1"/>
  <c r="F14" i="16" a="1"/>
  <c r="F14" i="16" s="1"/>
  <c r="F15" i="16" a="1"/>
  <c r="F15" i="16" s="1"/>
  <c r="F16" i="16" a="1"/>
  <c r="F16" i="16" s="1"/>
  <c r="F17" i="16" a="1"/>
  <c r="F17" i="16" s="1"/>
  <c r="F18" i="16" a="1"/>
  <c r="F18" i="16" s="1"/>
  <c r="F19" i="16" a="1"/>
  <c r="F19" i="16" s="1"/>
  <c r="F20" i="16" a="1"/>
  <c r="F20" i="16" s="1"/>
  <c r="F21" i="16" a="1"/>
  <c r="F21" i="16" s="1"/>
  <c r="F22" i="16" a="1"/>
  <c r="F22" i="16" s="1"/>
  <c r="F23" i="16" a="1"/>
  <c r="F23" i="16" s="1"/>
  <c r="F24" i="16" a="1"/>
  <c r="F24" i="16" s="1"/>
  <c r="F25" i="16" a="1"/>
  <c r="F25" i="16" s="1"/>
  <c r="F26" i="16" a="1"/>
  <c r="F26" i="16" s="1"/>
  <c r="F27" i="16" a="1"/>
  <c r="F27" i="16" s="1"/>
  <c r="F28" i="16" a="1"/>
  <c r="F28" i="16" s="1"/>
  <c r="F29" i="16" a="1"/>
  <c r="F29" i="16" s="1"/>
  <c r="F30" i="16" a="1"/>
  <c r="F30" i="16" s="1"/>
  <c r="F31" i="16" a="1"/>
  <c r="F31" i="16" s="1"/>
  <c r="F32" i="16" a="1"/>
  <c r="F32" i="16" s="1"/>
  <c r="F33" i="16" a="1"/>
  <c r="F33" i="16" s="1"/>
  <c r="F34" i="16" a="1"/>
  <c r="F34" i="16" s="1"/>
  <c r="F35" i="16" a="1"/>
  <c r="F35" i="16" s="1"/>
  <c r="F36" i="16" a="1"/>
  <c r="F36" i="16" s="1"/>
  <c r="F37" i="16" a="1"/>
  <c r="F37" i="16" s="1"/>
  <c r="F38" i="16" a="1"/>
  <c r="F38" i="16" s="1"/>
  <c r="F39" i="16" a="1"/>
  <c r="F39" i="16" s="1"/>
  <c r="F40" i="16" a="1"/>
  <c r="F40" i="16" s="1"/>
  <c r="F41" i="16" a="1"/>
  <c r="F41" i="16" s="1"/>
  <c r="F42" i="16" a="1"/>
  <c r="F42" i="16" s="1"/>
  <c r="E2" i="16" a="1"/>
  <c r="E2" i="16" s="1"/>
  <c r="E3" i="16" a="1"/>
  <c r="E3" i="16" s="1"/>
  <c r="E4" i="16" a="1"/>
  <c r="E4" i="16" s="1"/>
  <c r="E5" i="16" a="1"/>
  <c r="E5" i="16" s="1"/>
  <c r="E6" i="16" a="1"/>
  <c r="E6" i="16" s="1"/>
  <c r="E7" i="16" a="1"/>
  <c r="E7" i="16" s="1"/>
  <c r="E8" i="16" a="1"/>
  <c r="E8" i="16" s="1"/>
  <c r="E9" i="16" a="1"/>
  <c r="E9" i="16" s="1"/>
  <c r="E10" i="16" a="1"/>
  <c r="E10" i="16" s="1"/>
  <c r="E11" i="16" a="1"/>
  <c r="E11" i="16" s="1"/>
  <c r="E12" i="16" a="1"/>
  <c r="E12" i="16" s="1"/>
  <c r="E13" i="16" a="1"/>
  <c r="E13" i="16" s="1"/>
  <c r="E14" i="16" a="1"/>
  <c r="E14" i="16" s="1"/>
  <c r="E15" i="16" a="1"/>
  <c r="E15" i="16" s="1"/>
  <c r="E16" i="16" a="1"/>
  <c r="E16" i="16" s="1"/>
  <c r="E17" i="16" a="1"/>
  <c r="E17" i="16" s="1"/>
  <c r="E18" i="16" a="1"/>
  <c r="E18" i="16" s="1"/>
  <c r="E19" i="16" a="1"/>
  <c r="E19" i="16" s="1"/>
  <c r="E20" i="16" a="1"/>
  <c r="E20" i="16" s="1"/>
  <c r="E21" i="16" a="1"/>
  <c r="E21" i="16" s="1"/>
  <c r="E22" i="16" a="1"/>
  <c r="E22" i="16" s="1"/>
  <c r="E23" i="16" a="1"/>
  <c r="E23" i="16" s="1"/>
  <c r="E24" i="16" a="1"/>
  <c r="E24" i="16" s="1"/>
  <c r="E25" i="16" a="1"/>
  <c r="E25" i="16" s="1"/>
  <c r="E26" i="16" a="1"/>
  <c r="E26" i="16" s="1"/>
  <c r="E27" i="16" a="1"/>
  <c r="E27" i="16" s="1"/>
  <c r="E28" i="16" a="1"/>
  <c r="E28" i="16" s="1"/>
  <c r="E29" i="16" a="1"/>
  <c r="E29" i="16" s="1"/>
  <c r="E30" i="16" a="1"/>
  <c r="E30" i="16" s="1"/>
  <c r="E31" i="16" a="1"/>
  <c r="E31" i="16" s="1"/>
  <c r="E32" i="16" a="1"/>
  <c r="E32" i="16" s="1"/>
  <c r="E33" i="16" a="1"/>
  <c r="E33" i="16" s="1"/>
  <c r="E34" i="16" a="1"/>
  <c r="E34" i="16" s="1"/>
  <c r="E35" i="16" a="1"/>
  <c r="E35" i="16" s="1"/>
  <c r="E36" i="16" a="1"/>
  <c r="E36" i="16" s="1"/>
  <c r="E37" i="16" a="1"/>
  <c r="E37" i="16" s="1"/>
  <c r="E38" i="16" a="1"/>
  <c r="E38" i="16" s="1"/>
  <c r="E39" i="16" a="1"/>
  <c r="E39" i="16" s="1"/>
  <c r="E40" i="16" a="1"/>
  <c r="E40" i="16" s="1"/>
  <c r="E41" i="16" a="1"/>
  <c r="E41" i="16" s="1"/>
  <c r="E42" i="16" a="1"/>
  <c r="E42" i="16" s="1"/>
  <c r="D2" i="16" a="1"/>
  <c r="D2" i="16" s="1"/>
  <c r="D3" i="16" a="1"/>
  <c r="D3" i="16" s="1"/>
  <c r="D4" i="16" a="1"/>
  <c r="D4" i="16" s="1"/>
  <c r="D5" i="16" a="1"/>
  <c r="D5" i="16" s="1"/>
  <c r="D6" i="16" a="1"/>
  <c r="D6" i="16" s="1"/>
  <c r="D7" i="16" a="1"/>
  <c r="D7" i="16" s="1"/>
  <c r="D8" i="16" a="1"/>
  <c r="D8" i="16" s="1"/>
  <c r="D9" i="16" a="1"/>
  <c r="D9" i="16" s="1"/>
  <c r="D10" i="16" a="1"/>
  <c r="D10" i="16" s="1"/>
  <c r="D11" i="16" a="1"/>
  <c r="D11" i="16" s="1"/>
  <c r="D12" i="16" a="1"/>
  <c r="D12" i="16" s="1"/>
  <c r="D13" i="16" a="1"/>
  <c r="D13" i="16" s="1"/>
  <c r="D14" i="16" a="1"/>
  <c r="D14" i="16" s="1"/>
  <c r="D15" i="16" a="1"/>
  <c r="D15" i="16" s="1"/>
  <c r="D16" i="16" a="1"/>
  <c r="D16" i="16" s="1"/>
  <c r="D17" i="16" a="1"/>
  <c r="D17" i="16" s="1"/>
  <c r="D18" i="16" a="1"/>
  <c r="D18" i="16" s="1"/>
  <c r="D19" i="16" a="1"/>
  <c r="D19" i="16" s="1"/>
  <c r="D20" i="16" a="1"/>
  <c r="D20" i="16" s="1"/>
  <c r="D21" i="16" a="1"/>
  <c r="D21" i="16" s="1"/>
  <c r="D22" i="16" a="1"/>
  <c r="D22" i="16" s="1"/>
  <c r="D23" i="16" a="1"/>
  <c r="D23" i="16" s="1"/>
  <c r="D24" i="16" a="1"/>
  <c r="D24" i="16" s="1"/>
  <c r="D25" i="16" a="1"/>
  <c r="D25" i="16" s="1"/>
  <c r="D26" i="16" a="1"/>
  <c r="D26" i="16" s="1"/>
  <c r="D27" i="16" a="1"/>
  <c r="D27" i="16" s="1"/>
  <c r="D28" i="16" a="1"/>
  <c r="D28" i="16" s="1"/>
  <c r="D29" i="16" a="1"/>
  <c r="D29" i="16" s="1"/>
  <c r="D30" i="16" a="1"/>
  <c r="D30" i="16" s="1"/>
  <c r="D31" i="16" a="1"/>
  <c r="D31" i="16" s="1"/>
  <c r="D32" i="16" a="1"/>
  <c r="D32" i="16" s="1"/>
  <c r="D33" i="16" a="1"/>
  <c r="D33" i="16" s="1"/>
  <c r="D34" i="16" a="1"/>
  <c r="D34" i="16" s="1"/>
  <c r="D35" i="16" a="1"/>
  <c r="D35" i="16" s="1"/>
  <c r="D36" i="16" a="1"/>
  <c r="D36" i="16" s="1"/>
  <c r="D37" i="16" a="1"/>
  <c r="D37" i="16" s="1"/>
  <c r="D38" i="16" a="1"/>
  <c r="D38" i="16" s="1"/>
  <c r="D39" i="16" a="1"/>
  <c r="D39" i="16" s="1"/>
  <c r="D40" i="16" a="1"/>
  <c r="D40" i="16" s="1"/>
  <c r="D41" i="16" a="1"/>
  <c r="D41" i="16" s="1"/>
  <c r="D42" i="16" a="1"/>
  <c r="D42" i="16" s="1"/>
  <c r="B2" i="16" a="1"/>
  <c r="B2" i="16" s="1"/>
  <c r="B3" i="16" a="1"/>
  <c r="B3" i="16" s="1"/>
  <c r="B4" i="16" a="1"/>
  <c r="B4" i="16" s="1"/>
  <c r="B5" i="16" a="1"/>
  <c r="B5" i="16" s="1"/>
  <c r="B6" i="16" a="1"/>
  <c r="B6" i="16" s="1"/>
  <c r="B7" i="16" a="1"/>
  <c r="B7" i="16" s="1"/>
  <c r="B8" i="16" a="1"/>
  <c r="B8" i="16" s="1"/>
  <c r="B9" i="16" a="1"/>
  <c r="B9" i="16" s="1"/>
  <c r="B10" i="16" a="1"/>
  <c r="B10" i="16" s="1"/>
  <c r="B11" i="16" a="1"/>
  <c r="B11" i="16" s="1"/>
  <c r="B12" i="16" a="1"/>
  <c r="B12" i="16" s="1"/>
  <c r="B13" i="16" a="1"/>
  <c r="B13" i="16" s="1"/>
  <c r="B14" i="16" a="1"/>
  <c r="B14" i="16" s="1"/>
  <c r="B15" i="16" a="1"/>
  <c r="B15" i="16" s="1"/>
  <c r="B16" i="16" a="1"/>
  <c r="B16" i="16" s="1"/>
  <c r="B17" i="16" a="1"/>
  <c r="B17" i="16" s="1"/>
  <c r="B18" i="16" a="1"/>
  <c r="B18" i="16" s="1"/>
  <c r="B19" i="16" a="1"/>
  <c r="B19" i="16" s="1"/>
  <c r="B20" i="16" a="1"/>
  <c r="B20" i="16" s="1"/>
  <c r="B21" i="16" a="1"/>
  <c r="B21" i="16" s="1"/>
  <c r="B22" i="16" a="1"/>
  <c r="B22" i="16" s="1"/>
  <c r="B23" i="16" a="1"/>
  <c r="B23" i="16" s="1"/>
  <c r="B24" i="16" a="1"/>
  <c r="B24" i="16" s="1"/>
  <c r="B25" i="16" a="1"/>
  <c r="B25" i="16" s="1"/>
  <c r="B26" i="16" a="1"/>
  <c r="B26" i="16" s="1"/>
  <c r="B27" i="16" a="1"/>
  <c r="B27" i="16" s="1"/>
  <c r="B28" i="16" a="1"/>
  <c r="B28" i="16" s="1"/>
  <c r="B29" i="16" a="1"/>
  <c r="B29" i="16" s="1"/>
  <c r="B30" i="16" a="1"/>
  <c r="B30" i="16" s="1"/>
  <c r="B31" i="16" a="1"/>
  <c r="B31" i="16" s="1"/>
  <c r="B32" i="16" a="1"/>
  <c r="B32" i="16" s="1"/>
  <c r="B33" i="16" a="1"/>
  <c r="B33" i="16" s="1"/>
  <c r="B34" i="16" a="1"/>
  <c r="B34" i="16" s="1"/>
  <c r="B35" i="16" a="1"/>
  <c r="B35" i="16" s="1"/>
  <c r="B36" i="16" a="1"/>
  <c r="B36" i="16" s="1"/>
  <c r="B37" i="16" a="1"/>
  <c r="B37" i="16" s="1"/>
  <c r="B38" i="16" a="1"/>
  <c r="B38" i="16" s="1"/>
  <c r="B39" i="16" a="1"/>
  <c r="B39" i="16" s="1"/>
  <c r="B40" i="16" a="1"/>
  <c r="B40" i="16" s="1"/>
  <c r="B41" i="16" a="1"/>
  <c r="B41" i="16" s="1"/>
  <c r="B42" i="16" a="1"/>
  <c r="B42" i="16" s="1"/>
  <c r="C2" i="2"/>
  <c r="B2" i="2"/>
  <c r="D2" i="8"/>
  <c r="F3" i="2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M2" i="2" s="1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B68" i="8"/>
  <c r="B69" i="8"/>
  <c r="B70" i="8"/>
  <c r="B71" i="8"/>
  <c r="B72" i="8"/>
  <c r="B73" i="8"/>
  <c r="B74" i="8"/>
  <c r="B75" i="8"/>
  <c r="B76" i="8"/>
  <c r="B77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48" i="8"/>
  <c r="B49" i="8"/>
  <c r="B50" i="8"/>
  <c r="B51" i="8"/>
  <c r="B52" i="8"/>
  <c r="B53" i="8"/>
  <c r="L2" i="2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142" i="6"/>
  <c r="D8" i="6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159" i="5"/>
  <c r="B43" i="8"/>
  <c r="B44" i="8"/>
  <c r="B45" i="8"/>
  <c r="B46" i="8"/>
  <c r="B47" i="8"/>
  <c r="B36" i="8"/>
  <c r="B37" i="8"/>
  <c r="B38" i="8"/>
  <c r="B39" i="8"/>
  <c r="B40" i="8"/>
  <c r="B41" i="8"/>
  <c r="B42" i="8"/>
  <c r="B30" i="8"/>
  <c r="B31" i="8"/>
  <c r="B32" i="8"/>
  <c r="B33" i="8"/>
  <c r="B34" i="8"/>
  <c r="B35" i="8"/>
  <c r="B19" i="8"/>
  <c r="B20" i="8"/>
  <c r="B21" i="8"/>
  <c r="B22" i="8"/>
  <c r="B23" i="8"/>
  <c r="B24" i="8"/>
  <c r="B25" i="8"/>
  <c r="B26" i="8"/>
  <c r="B27" i="8"/>
  <c r="B28" i="8"/>
  <c r="B29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4" i="8"/>
  <c r="B3" i="8"/>
  <c r="B2" i="8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O100" i="8" l="1"/>
  <c r="P100" i="8" s="1"/>
  <c r="O82" i="8"/>
  <c r="O22" i="8"/>
  <c r="N100" i="8"/>
  <c r="N95" i="8"/>
  <c r="N10" i="8"/>
  <c r="N64" i="8"/>
  <c r="O16" i="8"/>
  <c r="O40" i="8"/>
  <c r="O5" i="8"/>
  <c r="O11" i="8"/>
  <c r="O17" i="8"/>
  <c r="O23" i="8"/>
  <c r="O29" i="8"/>
  <c r="O35" i="8"/>
  <c r="O41" i="8"/>
  <c r="O47" i="8"/>
  <c r="O53" i="8"/>
  <c r="O59" i="8"/>
  <c r="O65" i="8"/>
  <c r="O71" i="8"/>
  <c r="O77" i="8"/>
  <c r="O83" i="8"/>
  <c r="O89" i="8"/>
  <c r="O95" i="8"/>
  <c r="P95" i="8" s="1"/>
  <c r="N40" i="8"/>
  <c r="P40" i="8" s="1"/>
  <c r="N82" i="8"/>
  <c r="N6" i="8"/>
  <c r="N12" i="8"/>
  <c r="N18" i="8"/>
  <c r="N24" i="8"/>
  <c r="N30" i="8"/>
  <c r="N36" i="8"/>
  <c r="N42" i="8"/>
  <c r="N48" i="8"/>
  <c r="N54" i="8"/>
  <c r="N60" i="8"/>
  <c r="P60" i="8" s="1"/>
  <c r="N66" i="8"/>
  <c r="P66" i="8" s="1"/>
  <c r="N72" i="8"/>
  <c r="N78" i="8"/>
  <c r="N84" i="8"/>
  <c r="N90" i="8"/>
  <c r="N96" i="8"/>
  <c r="M23" i="2"/>
  <c r="M47" i="2"/>
  <c r="N22" i="8"/>
  <c r="N58" i="8"/>
  <c r="O24" i="8"/>
  <c r="O54" i="8"/>
  <c r="P54" i="8" s="1"/>
  <c r="O96" i="8"/>
  <c r="P96" i="8" s="1"/>
  <c r="N28" i="8"/>
  <c r="N88" i="8"/>
  <c r="O6" i="8"/>
  <c r="O12" i="8"/>
  <c r="O30" i="8"/>
  <c r="O42" i="8"/>
  <c r="O66" i="8"/>
  <c r="O78" i="8"/>
  <c r="O84" i="8"/>
  <c r="N7" i="8"/>
  <c r="N13" i="8"/>
  <c r="N19" i="8"/>
  <c r="N25" i="8"/>
  <c r="N31" i="8"/>
  <c r="N37" i="8"/>
  <c r="N43" i="8"/>
  <c r="N49" i="8"/>
  <c r="N55" i="8"/>
  <c r="N61" i="8"/>
  <c r="N67" i="8"/>
  <c r="N73" i="8"/>
  <c r="N79" i="8"/>
  <c r="N85" i="8"/>
  <c r="N91" i="8"/>
  <c r="N97" i="8"/>
  <c r="N34" i="8"/>
  <c r="N94" i="8"/>
  <c r="O18" i="8"/>
  <c r="O36" i="8"/>
  <c r="O48" i="8"/>
  <c r="O60" i="8"/>
  <c r="O72" i="8"/>
  <c r="O90" i="8"/>
  <c r="P90" i="8" s="1"/>
  <c r="O7" i="8"/>
  <c r="O13" i="8"/>
  <c r="O19" i="8"/>
  <c r="P19" i="8" s="1"/>
  <c r="O25" i="8"/>
  <c r="O31" i="8"/>
  <c r="O37" i="8"/>
  <c r="P37" i="8" s="1"/>
  <c r="O43" i="8"/>
  <c r="O49" i="8"/>
  <c r="O55" i="8"/>
  <c r="P55" i="8" s="1"/>
  <c r="O61" i="8"/>
  <c r="O67" i="8"/>
  <c r="O73" i="8"/>
  <c r="P73" i="8" s="1"/>
  <c r="O79" i="8"/>
  <c r="O85" i="8"/>
  <c r="O91" i="8"/>
  <c r="P91" i="8" s="1"/>
  <c r="O97" i="8"/>
  <c r="N2" i="8"/>
  <c r="N8" i="8"/>
  <c r="N14" i="8"/>
  <c r="N20" i="8"/>
  <c r="N26" i="8"/>
  <c r="N32" i="8"/>
  <c r="N38" i="8"/>
  <c r="N44" i="8"/>
  <c r="P44" i="8" s="1"/>
  <c r="N50" i="8"/>
  <c r="N56" i="8"/>
  <c r="N62" i="8"/>
  <c r="P62" i="8" s="1"/>
  <c r="N68" i="8"/>
  <c r="N74" i="8"/>
  <c r="N80" i="8"/>
  <c r="N86" i="8"/>
  <c r="N92" i="8"/>
  <c r="N98" i="8"/>
  <c r="P98" i="8" s="1"/>
  <c r="M15" i="2"/>
  <c r="M39" i="2"/>
  <c r="K39" i="2"/>
  <c r="C39" i="2" s="1"/>
  <c r="O2" i="8"/>
  <c r="O8" i="8"/>
  <c r="O20" i="8"/>
  <c r="P20" i="8" s="1"/>
  <c r="O26" i="8"/>
  <c r="O32" i="8"/>
  <c r="O38" i="8"/>
  <c r="O44" i="8"/>
  <c r="O50" i="8"/>
  <c r="O56" i="8"/>
  <c r="O62" i="8"/>
  <c r="O68" i="8"/>
  <c r="O74" i="8"/>
  <c r="O80" i="8"/>
  <c r="O86" i="8"/>
  <c r="P86" i="8" s="1"/>
  <c r="O92" i="8"/>
  <c r="P92" i="8" s="1"/>
  <c r="O98" i="8"/>
  <c r="O14" i="8"/>
  <c r="N3" i="8"/>
  <c r="N9" i="8"/>
  <c r="N15" i="8"/>
  <c r="N21" i="8"/>
  <c r="N27" i="8"/>
  <c r="N33" i="8"/>
  <c r="N39" i="8"/>
  <c r="N45" i="8"/>
  <c r="N51" i="8"/>
  <c r="P51" i="8" s="1"/>
  <c r="N57" i="8"/>
  <c r="P57" i="8" s="1"/>
  <c r="N63" i="8"/>
  <c r="N69" i="8"/>
  <c r="N75" i="8"/>
  <c r="N81" i="8"/>
  <c r="N87" i="8"/>
  <c r="N93" i="8"/>
  <c r="N99" i="8"/>
  <c r="N4" i="8"/>
  <c r="O3" i="8"/>
  <c r="O9" i="8"/>
  <c r="P9" i="8" s="1"/>
  <c r="O15" i="8"/>
  <c r="P15" i="8" s="1"/>
  <c r="O21" i="8"/>
  <c r="P21" i="8" s="1"/>
  <c r="O27" i="8"/>
  <c r="O33" i="8"/>
  <c r="O39" i="8"/>
  <c r="O45" i="8"/>
  <c r="O51" i="8"/>
  <c r="O57" i="8"/>
  <c r="O63" i="8"/>
  <c r="O69" i="8"/>
  <c r="P69" i="8" s="1"/>
  <c r="O75" i="8"/>
  <c r="O81" i="8"/>
  <c r="P81" i="8" s="1"/>
  <c r="O87" i="8"/>
  <c r="P87" i="8" s="1"/>
  <c r="O93" i="8"/>
  <c r="O99" i="8"/>
  <c r="N52" i="8"/>
  <c r="N76" i="8"/>
  <c r="P76" i="8" s="1"/>
  <c r="M7" i="2"/>
  <c r="M31" i="2"/>
  <c r="N16" i="8"/>
  <c r="N70" i="8"/>
  <c r="O10" i="8"/>
  <c r="P10" i="8" s="1"/>
  <c r="O28" i="8"/>
  <c r="P28" i="8" s="1"/>
  <c r="O46" i="8"/>
  <c r="P46" i="8" s="1"/>
  <c r="O58" i="8"/>
  <c r="P58" i="8" s="1"/>
  <c r="O70" i="8"/>
  <c r="P70" i="8" s="1"/>
  <c r="O76" i="8"/>
  <c r="O88" i="8"/>
  <c r="O94" i="8"/>
  <c r="P94" i="8" s="1"/>
  <c r="N46" i="8"/>
  <c r="O4" i="8"/>
  <c r="O34" i="8"/>
  <c r="O52" i="8"/>
  <c r="O64" i="8"/>
  <c r="P64" i="8" s="1"/>
  <c r="N5" i="8"/>
  <c r="P5" i="8" s="1"/>
  <c r="N11" i="8"/>
  <c r="P11" i="8" s="1"/>
  <c r="N17" i="8"/>
  <c r="P17" i="8" s="1"/>
  <c r="N23" i="8"/>
  <c r="P23" i="8" s="1"/>
  <c r="N29" i="8"/>
  <c r="N35" i="8"/>
  <c r="P35" i="8" s="1"/>
  <c r="N41" i="8"/>
  <c r="P41" i="8" s="1"/>
  <c r="N47" i="8"/>
  <c r="N53" i="8"/>
  <c r="P53" i="8" s="1"/>
  <c r="N59" i="8"/>
  <c r="P59" i="8" s="1"/>
  <c r="N65" i="8"/>
  <c r="N71" i="8"/>
  <c r="P71" i="8" s="1"/>
  <c r="N77" i="8"/>
  <c r="P77" i="8" s="1"/>
  <c r="N83" i="8"/>
  <c r="P83" i="8" s="1"/>
  <c r="N89" i="8"/>
  <c r="P89" i="8" s="1"/>
  <c r="K47" i="2"/>
  <c r="C47" i="2" s="1"/>
  <c r="L18" i="2"/>
  <c r="K40" i="2"/>
  <c r="C40" i="2" s="1"/>
  <c r="L10" i="2"/>
  <c r="L3" i="2"/>
  <c r="L19" i="2"/>
  <c r="L27" i="2"/>
  <c r="M24" i="2"/>
  <c r="L11" i="2"/>
  <c r="L26" i="2"/>
  <c r="L46" i="2"/>
  <c r="L38" i="2"/>
  <c r="L30" i="2"/>
  <c r="L22" i="2"/>
  <c r="L14" i="2"/>
  <c r="L6" i="2"/>
  <c r="M35" i="2"/>
  <c r="M6" i="2"/>
  <c r="M12" i="2"/>
  <c r="M20" i="2"/>
  <c r="M28" i="2"/>
  <c r="M36" i="2"/>
  <c r="M44" i="2"/>
  <c r="K36" i="2"/>
  <c r="C36" i="2" s="1"/>
  <c r="K44" i="2"/>
  <c r="C44" i="2" s="1"/>
  <c r="L45" i="2"/>
  <c r="L37" i="2"/>
  <c r="L29" i="2"/>
  <c r="L21" i="2"/>
  <c r="L13" i="2"/>
  <c r="L5" i="2"/>
  <c r="M32" i="2"/>
  <c r="M4" i="2"/>
  <c r="M5" i="2"/>
  <c r="M13" i="2"/>
  <c r="M21" i="2"/>
  <c r="M29" i="2"/>
  <c r="M37" i="2"/>
  <c r="M45" i="2"/>
  <c r="K37" i="2"/>
  <c r="C37" i="2" s="1"/>
  <c r="K45" i="2"/>
  <c r="C45" i="2" s="1"/>
  <c r="L44" i="2"/>
  <c r="L36" i="2"/>
  <c r="L28" i="2"/>
  <c r="L20" i="2"/>
  <c r="L12" i="2"/>
  <c r="L4" i="2"/>
  <c r="M30" i="2"/>
  <c r="K38" i="2"/>
  <c r="C38" i="2" s="1"/>
  <c r="K46" i="2"/>
  <c r="C46" i="2" s="1"/>
  <c r="L35" i="2"/>
  <c r="M22" i="2"/>
  <c r="K32" i="2"/>
  <c r="C32" i="2" s="1"/>
  <c r="L41" i="2"/>
  <c r="L33" i="2"/>
  <c r="L25" i="2"/>
  <c r="L17" i="2"/>
  <c r="L9" i="2"/>
  <c r="M46" i="2"/>
  <c r="M16" i="2"/>
  <c r="M9" i="2"/>
  <c r="M17" i="2"/>
  <c r="M25" i="2"/>
  <c r="M33" i="2"/>
  <c r="M41" i="2"/>
  <c r="K33" i="2"/>
  <c r="C33" i="2" s="1"/>
  <c r="K41" i="2"/>
  <c r="C41" i="2" s="1"/>
  <c r="J3" i="2"/>
  <c r="B3" i="2" s="1"/>
  <c r="L43" i="2"/>
  <c r="J47" i="2"/>
  <c r="L34" i="2"/>
  <c r="L40" i="2"/>
  <c r="L32" i="2"/>
  <c r="L24" i="2"/>
  <c r="L16" i="2"/>
  <c r="L8" i="2"/>
  <c r="M40" i="2"/>
  <c r="M14" i="2"/>
  <c r="M10" i="2"/>
  <c r="M18" i="2"/>
  <c r="M26" i="2"/>
  <c r="M34" i="2"/>
  <c r="M42" i="2"/>
  <c r="K34" i="2"/>
  <c r="C34" i="2" s="1"/>
  <c r="K42" i="2"/>
  <c r="C42" i="2" s="1"/>
  <c r="L42" i="2"/>
  <c r="L47" i="2"/>
  <c r="L39" i="2"/>
  <c r="L31" i="2"/>
  <c r="L23" i="2"/>
  <c r="L15" i="2"/>
  <c r="L7" i="2"/>
  <c r="M38" i="2"/>
  <c r="M8" i="2"/>
  <c r="M3" i="2"/>
  <c r="K3" i="2" s="1"/>
  <c r="C3" i="2" s="1"/>
  <c r="M11" i="2"/>
  <c r="M19" i="2"/>
  <c r="M27" i="2"/>
  <c r="M43" i="2"/>
  <c r="K35" i="2"/>
  <c r="C35" i="2" s="1"/>
  <c r="K43" i="2"/>
  <c r="C43" i="2" s="1"/>
  <c r="P14" i="8"/>
  <c r="P18" i="8"/>
  <c r="P22" i="8"/>
  <c r="P43" i="8"/>
  <c r="P67" i="8"/>
  <c r="P4" i="8"/>
  <c r="P36" i="8"/>
  <c r="P49" i="8"/>
  <c r="P97" i="8"/>
  <c r="P63" i="8" l="1"/>
  <c r="P45" i="8"/>
  <c r="P50" i="8"/>
  <c r="P65" i="8"/>
  <c r="P7" i="8"/>
  <c r="P42" i="8"/>
  <c r="P79" i="8"/>
  <c r="P33" i="8"/>
  <c r="P38" i="8"/>
  <c r="P32" i="8"/>
  <c r="P61" i="8"/>
  <c r="P30" i="8"/>
  <c r="P80" i="8"/>
  <c r="P85" i="8"/>
  <c r="S4" i="8" s="1"/>
  <c r="P13" i="8"/>
  <c r="P2" i="8"/>
  <c r="P48" i="8"/>
  <c r="P56" i="8"/>
  <c r="P84" i="8"/>
  <c r="P12" i="8"/>
  <c r="P47" i="8"/>
  <c r="P52" i="8"/>
  <c r="P31" i="8"/>
  <c r="P88" i="8"/>
  <c r="P78" i="8"/>
  <c r="P6" i="8"/>
  <c r="P75" i="8"/>
  <c r="P29" i="8"/>
  <c r="P99" i="8"/>
  <c r="S9" i="8" s="1"/>
  <c r="P27" i="8"/>
  <c r="P68" i="8"/>
  <c r="P25" i="8"/>
  <c r="P72" i="8"/>
  <c r="P82" i="8"/>
  <c r="P39" i="8"/>
  <c r="P34" i="8"/>
  <c r="S7" i="8" s="1"/>
  <c r="P3" i="8"/>
  <c r="P74" i="8"/>
  <c r="P93" i="8"/>
  <c r="P26" i="8"/>
  <c r="P8" i="8"/>
  <c r="S8" i="8" s="1"/>
  <c r="C36" i="8" s="1"/>
  <c r="P24" i="8"/>
  <c r="P16" i="8"/>
  <c r="J4" i="2"/>
  <c r="J5" i="2" s="1"/>
  <c r="J6" i="2" s="1"/>
  <c r="J7" i="2" s="1"/>
  <c r="K4" i="2"/>
  <c r="S10" i="8"/>
  <c r="S5" i="8"/>
  <c r="S6" i="8" l="1"/>
  <c r="S2" i="8"/>
  <c r="C2" i="8" s="1"/>
  <c r="S3" i="8"/>
  <c r="B5" i="2"/>
  <c r="B4" i="2"/>
  <c r="K5" i="2"/>
  <c r="C4" i="2"/>
  <c r="J8" i="2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B6" i="2"/>
  <c r="C69" i="8"/>
  <c r="C70" i="8"/>
  <c r="C74" i="8"/>
  <c r="C73" i="8"/>
  <c r="C77" i="8"/>
  <c r="C75" i="8"/>
  <c r="C71" i="8"/>
  <c r="C76" i="8"/>
  <c r="C72" i="8"/>
  <c r="C68" i="8"/>
  <c r="C56" i="8"/>
  <c r="C60" i="8"/>
  <c r="C67" i="8"/>
  <c r="C59" i="8"/>
  <c r="C65" i="8"/>
  <c r="C63" i="8"/>
  <c r="C61" i="8"/>
  <c r="C55" i="8"/>
  <c r="C57" i="8"/>
  <c r="C66" i="8"/>
  <c r="C62" i="8"/>
  <c r="C64" i="8"/>
  <c r="C58" i="8"/>
  <c r="C54" i="8"/>
  <c r="C50" i="8"/>
  <c r="C53" i="8"/>
  <c r="C48" i="8"/>
  <c r="C49" i="8"/>
  <c r="C51" i="8"/>
  <c r="C52" i="8"/>
  <c r="C32" i="8"/>
  <c r="C33" i="8"/>
  <c r="C34" i="8"/>
  <c r="C35" i="8"/>
  <c r="C47" i="8"/>
  <c r="C46" i="8"/>
  <c r="C45" i="8"/>
  <c r="C44" i="8"/>
  <c r="C43" i="8"/>
  <c r="C42" i="8"/>
  <c r="C7" i="8"/>
  <c r="C11" i="8"/>
  <c r="C10" i="8"/>
  <c r="C9" i="8"/>
  <c r="C8" i="8"/>
  <c r="C31" i="8"/>
  <c r="C30" i="8"/>
  <c r="C29" i="8"/>
  <c r="C28" i="8"/>
  <c r="C27" i="8"/>
  <c r="C39" i="8"/>
  <c r="C38" i="8"/>
  <c r="C37" i="8"/>
  <c r="C41" i="8"/>
  <c r="C40" i="8"/>
  <c r="C6" i="8"/>
  <c r="C5" i="8"/>
  <c r="C4" i="8"/>
  <c r="C3" i="8"/>
  <c r="D3" i="8" s="1"/>
  <c r="C21" i="8"/>
  <c r="C20" i="8"/>
  <c r="C19" i="8"/>
  <c r="C18" i="8"/>
  <c r="C17" i="8"/>
  <c r="C15" i="8"/>
  <c r="C14" i="8"/>
  <c r="C13" i="8"/>
  <c r="C12" i="8"/>
  <c r="C16" i="8"/>
  <c r="C23" i="8"/>
  <c r="C22" i="8"/>
  <c r="C26" i="8"/>
  <c r="C25" i="8"/>
  <c r="C24" i="8"/>
  <c r="K6" i="2" l="1"/>
  <c r="C5" i="2"/>
  <c r="B7" i="2"/>
  <c r="D4" i="8"/>
  <c r="K7" i="2" l="1"/>
  <c r="C6" i="2"/>
  <c r="B8" i="2"/>
  <c r="D5" i="8"/>
  <c r="D6" i="8" s="1"/>
  <c r="K8" i="2" l="1"/>
  <c r="C7" i="2"/>
  <c r="B9" i="2"/>
  <c r="D7" i="8"/>
  <c r="D8" i="8" s="1"/>
  <c r="K9" i="2" l="1"/>
  <c r="C8" i="2"/>
  <c r="B10" i="2"/>
  <c r="D9" i="8"/>
  <c r="D10" i="8" s="1"/>
  <c r="K10" i="2" l="1"/>
  <c r="C9" i="2"/>
  <c r="B11" i="2"/>
  <c r="D11" i="8"/>
  <c r="K11" i="2" l="1"/>
  <c r="C10" i="2"/>
  <c r="B12" i="2"/>
  <c r="D12" i="8"/>
  <c r="K12" i="2" l="1"/>
  <c r="C11" i="2"/>
  <c r="B13" i="2"/>
  <c r="D13" i="8"/>
  <c r="K13" i="2" l="1"/>
  <c r="C12" i="2"/>
  <c r="B14" i="2"/>
  <c r="D14" i="8"/>
  <c r="D15" i="8" s="1"/>
  <c r="K14" i="2" l="1"/>
  <c r="C13" i="2"/>
  <c r="B15" i="2"/>
  <c r="D16" i="8"/>
  <c r="D17" i="8" s="1"/>
  <c r="K15" i="2" l="1"/>
  <c r="C14" i="2"/>
  <c r="B16" i="2"/>
  <c r="D18" i="8"/>
  <c r="K16" i="2" l="1"/>
  <c r="C15" i="2"/>
  <c r="B17" i="2"/>
  <c r="D19" i="8"/>
  <c r="K17" i="2" l="1"/>
  <c r="C16" i="2"/>
  <c r="B18" i="2"/>
  <c r="D20" i="8"/>
  <c r="K18" i="2" l="1"/>
  <c r="C17" i="2"/>
  <c r="B19" i="2"/>
  <c r="D21" i="8"/>
  <c r="D22" i="8" s="1"/>
  <c r="K19" i="2" l="1"/>
  <c r="C18" i="2"/>
  <c r="B20" i="2"/>
  <c r="D23" i="8"/>
  <c r="D24" i="8" s="1"/>
  <c r="K20" i="2" l="1"/>
  <c r="C19" i="2"/>
  <c r="B21" i="2"/>
  <c r="D25" i="8"/>
  <c r="K21" i="2" l="1"/>
  <c r="C20" i="2"/>
  <c r="B22" i="2"/>
  <c r="D26" i="8"/>
  <c r="D27" i="8" s="1"/>
  <c r="K22" i="2" l="1"/>
  <c r="C21" i="2"/>
  <c r="B23" i="2"/>
  <c r="D28" i="8"/>
  <c r="D29" i="8" s="1"/>
  <c r="K23" i="2" l="1"/>
  <c r="C22" i="2"/>
  <c r="B24" i="2"/>
  <c r="D30" i="8"/>
  <c r="D31" i="8" s="1"/>
  <c r="D32" i="8" s="1"/>
  <c r="K24" i="2" l="1"/>
  <c r="C23" i="2"/>
  <c r="B25" i="2"/>
  <c r="D33" i="8"/>
  <c r="D34" i="8" s="1"/>
  <c r="K25" i="2" l="1"/>
  <c r="C24" i="2"/>
  <c r="B26" i="2"/>
  <c r="D35" i="8"/>
  <c r="K26" i="2" l="1"/>
  <c r="C25" i="2"/>
  <c r="B27" i="2"/>
  <c r="D36" i="8"/>
  <c r="K27" i="2" l="1"/>
  <c r="C26" i="2"/>
  <c r="B28" i="2"/>
  <c r="D37" i="8"/>
  <c r="K28" i="2" l="1"/>
  <c r="C27" i="2"/>
  <c r="B29" i="2"/>
  <c r="D38" i="8"/>
  <c r="K29" i="2" l="1"/>
  <c r="C28" i="2"/>
  <c r="B30" i="2"/>
  <c r="D39" i="8"/>
  <c r="K30" i="2" l="1"/>
  <c r="C29" i="2"/>
  <c r="B31" i="2"/>
  <c r="D40" i="8"/>
  <c r="K31" i="2" l="1"/>
  <c r="C31" i="2" s="1"/>
  <c r="C30" i="2"/>
  <c r="B32" i="2"/>
  <c r="D41" i="8"/>
  <c r="B33" i="2" l="1"/>
  <c r="D42" i="8"/>
  <c r="B34" i="2" l="1"/>
  <c r="D43" i="8"/>
  <c r="B35" i="2" l="1"/>
  <c r="D44" i="8"/>
  <c r="B36" i="2" l="1"/>
  <c r="D45" i="8"/>
  <c r="D46" i="8" s="1"/>
  <c r="B37" i="2" l="1"/>
  <c r="B38" i="2" l="1"/>
  <c r="B39" i="2" l="1"/>
  <c r="B40" i="2" l="1"/>
  <c r="B41" i="2" l="1"/>
  <c r="B42" i="2" l="1"/>
  <c r="B43" i="2" l="1"/>
  <c r="B44" i="2" l="1"/>
  <c r="B45" i="2" l="1"/>
  <c r="B46" i="2" l="1"/>
  <c r="B4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<sst xmlns="http://schemas.openxmlformats.org/spreadsheetml/2006/main" count="1149" uniqueCount="118">
  <si>
    <t>N</t>
  </si>
  <si>
    <t>Year</t>
  </si>
  <si>
    <t>AgeP1</t>
  </si>
  <si>
    <t>AgeP2</t>
  </si>
  <si>
    <t>LoopStatus</t>
  </si>
  <si>
    <t>SalaryP1</t>
  </si>
  <si>
    <t>SalaryP2</t>
  </si>
  <si>
    <t>GrossMonthlySalaryP1</t>
  </si>
  <si>
    <t>GrossMonthlySalaryP2</t>
  </si>
  <si>
    <t>Status på arbejdsmarkedet/ Beskæftigelse og jobskifte/ Antal lønmodtagere efter bopæl</t>
  </si>
  <si>
    <t>Hele landet</t>
  </si>
  <si>
    <t>Herkomst i alt</t>
  </si>
  <si>
    <t>Køn i alt</t>
  </si>
  <si>
    <t>Finansiering og forsikring</t>
  </si>
  <si>
    <t>Antal fuldtidsbeskæftigede lønmodtagere efter bopæl</t>
  </si>
  <si>
    <t>2008</t>
  </si>
  <si>
    <t>25-29 år</t>
  </si>
  <si>
    <t>30-34 år</t>
  </si>
  <si>
    <t>35-39 år</t>
  </si>
  <si>
    <t>40-44 år</t>
  </si>
  <si>
    <t>45-49 år</t>
  </si>
  <si>
    <t>50-54 år</t>
  </si>
  <si>
    <t>55-59 år</t>
  </si>
  <si>
    <t>60-64 år</t>
  </si>
  <si>
    <t>65+ år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</si>
  <si>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</si>
  <si>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</si>
  <si>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</si>
  <si>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</si>
  <si>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</si>
  <si>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</si>
  <si>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</si>
  <si>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</si>
  <si>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</si>
  <si>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</si>
  <si>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</si>
  <si>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</si>
  <si>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</si>
  <si>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</si>
  <si>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</si>
  <si>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</si>
  <si>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Kilde: CPR-registeret, CVR-registeret og DetailCOR</t>
  </si>
  <si>
    <t>Anm.: Pga. efterregistreringer kan tallene for især den seneste periode stige ved næste opdatering.</t>
  </si>
  <si>
    <t>Status på arbejdsmarkedet/ Beskæftigelse og jobskifte/ Antal personer der har skiftet eller startet i nyt job (jobomsætning)</t>
  </si>
  <si>
    <t>Privat sektor</t>
  </si>
  <si>
    <t>Jobomsætning</t>
  </si>
  <si>
    <t>65-69 år</t>
  </si>
  <si>
    <t>Sheet Colors</t>
  </si>
  <si>
    <t>&lt;-- If we download a report from a source, ex: Djøf, we will store it here and will not directly edit it</t>
  </si>
  <si>
    <t>Table Colors</t>
  </si>
  <si>
    <t>Uploaded to Python</t>
  </si>
  <si>
    <t>Raw Report</t>
  </si>
  <si>
    <t>Calculation</t>
  </si>
  <si>
    <t>Not Uploaded to Python</t>
  </si>
  <si>
    <t>Age</t>
  </si>
  <si>
    <t>Age Group</t>
  </si>
  <si>
    <t>Finance Workers</t>
  </si>
  <si>
    <t>Finance Hoppers</t>
  </si>
  <si>
    <t>FH/FW</t>
  </si>
  <si>
    <t>FH/FV</t>
  </si>
  <si>
    <t>Raw Report with Key</t>
  </si>
  <si>
    <t>&lt;-- Raw Report but a column has been added for lookups</t>
  </si>
  <si>
    <t>SwitchP1</t>
  </si>
  <si>
    <t>SwitchP2</t>
  </si>
  <si>
    <t>Y</t>
  </si>
  <si>
    <t>SwitchP1Static</t>
  </si>
  <si>
    <t>SwitchP2Static</t>
  </si>
  <si>
    <t>Switch</t>
  </si>
  <si>
    <t>Inflation</t>
  </si>
  <si>
    <t>Salary Raise</t>
  </si>
  <si>
    <t>Job Hopping "Bonus"</t>
  </si>
  <si>
    <t>Real Salary Raise</t>
  </si>
  <si>
    <t>Value Ratio</t>
  </si>
  <si>
    <t>Funding Requirement</t>
  </si>
  <si>
    <t>Time Horizon</t>
  </si>
  <si>
    <t>GOAL A</t>
  </si>
  <si>
    <t>GOAL B</t>
  </si>
  <si>
    <t>GOAL C</t>
  </si>
  <si>
    <t>GOAL D</t>
  </si>
  <si>
    <t>Goal Info</t>
  </si>
  <si>
    <t>EUNK</t>
  </si>
  <si>
    <t>SXR8</t>
  </si>
  <si>
    <t>IUSN</t>
  </si>
  <si>
    <t>JGHY</t>
  </si>
  <si>
    <t>LYXF</t>
  </si>
  <si>
    <t>SXR4</t>
  </si>
  <si>
    <t>SYBA</t>
  </si>
  <si>
    <t>SYBB</t>
  </si>
  <si>
    <t>SYBC</t>
  </si>
  <si>
    <t>Expected returns</t>
  </si>
  <si>
    <t>Index</t>
  </si>
  <si>
    <t>Ticker</t>
  </si>
  <si>
    <t>5 year</t>
  </si>
  <si>
    <t>7 year</t>
  </si>
  <si>
    <t>10 year</t>
  </si>
  <si>
    <t>15 year</t>
  </si>
  <si>
    <t>20 year</t>
  </si>
  <si>
    <t>25 year</t>
  </si>
  <si>
    <t>30 year</t>
  </si>
  <si>
    <t>MSCI Europe index</t>
  </si>
  <si>
    <t>MSCI USA Index</t>
  </si>
  <si>
    <t>MSCI World Small Cap Index</t>
  </si>
  <si>
    <t>Bloomberg Barclays Euro Aggregate Corporate Index</t>
  </si>
  <si>
    <t>Bloomberg Barclays Euro Aggregate Treasury Index</t>
  </si>
  <si>
    <t>Bloomberg Barclays Euro Aggregate Treasury 15+ Index</t>
  </si>
  <si>
    <t>BofA Merrill Lynch Global High Yield Index - hedged</t>
  </si>
  <si>
    <t>Lower interquartile range (25th percentile)</t>
  </si>
  <si>
    <t>Upper interquartile range (25th percentile)</t>
  </si>
  <si>
    <t>Lower mean uncertainty</t>
  </si>
  <si>
    <t>Upper mean uncertainty</t>
  </si>
  <si>
    <t>Volatility</t>
  </si>
  <si>
    <t>Correlation</t>
  </si>
  <si>
    <t>Government bonds</t>
  </si>
  <si>
    <t>Equities</t>
  </si>
  <si>
    <t>Category</t>
  </si>
  <si>
    <t>Helper Table - Year Allocation</t>
  </si>
  <si>
    <t>Type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</si>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</sst>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u/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5"/>
        <bgColor theme="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theme="5"/>
      </left>
      <right/>
      <top style="thin">
        <color theme="5"/>
      </top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0" fillId="2" borderId="0" xfId="0" applyFill="1"/>
    <xf numFmtId="0" fontId="0" fillId="5" borderId="0" xfId="0" applyFill="1"/>
    <xf numFmtId="0" fontId="0" fillId="6" borderId="0" xfId="0" applyFill="1"/>
    <xf numFmtId="0" fontId="2" fillId="2" borderId="0" xfId="0" applyFont="1" applyFill="1"/>
    <xf numFmtId="0" fontId="1" fillId="3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0" fillId="7" borderId="0" xfId="0" applyFill="1"/>
    <xf numFmtId="4" fontId="0" fillId="0" borderId="0" xfId="0" applyNumberFormat="1"/>
    <xf numFmtId="164" fontId="0" fillId="0" borderId="0" xfId="0" applyNumberFormat="1"/>
  </cellXfs>
  <cellStyles count="2">
    <cellStyle name="Normal" xfId="0" builtinId="0"/>
    <cellStyle name="Normal 2" xfId="1" xr:uid="{41E29A97-4811-40B2-832B-A941F46C3049}"/>
  </cellStyles>
  <dxfs count="9">
    <dxf>
      <numFmt numFmtId="164" formatCode="#,##0.00000000"/>
    </dxf>
    <dxf>
      <numFmt numFmtId="164" formatCode="#,##0.00000000"/>
    </dxf>
    <dxf>
      <numFmt numFmtId="164" formatCode="#,##0.00000000"/>
    </dxf>
    <dxf>
      <numFmt numFmtId="164" formatCode="#,##0.00000000"/>
    </dxf>
    <dxf>
      <numFmt numFmtId="164" formatCode="#,##0.00000000"/>
    </dxf>
    <dxf>
      <numFmt numFmtId="164" formatCode="#,##0.00000000"/>
    </dxf>
    <dxf>
      <numFmt numFmtId="164" formatCode="#,##0.000000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externalLink" Target="externalLinks/externalLink10.xml"/><Relationship Id="rId39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5.xml"/><Relationship Id="rId34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26.xml"/><Relationship Id="rId47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34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3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8.xml"/><Relationship Id="rId32" Type="http://schemas.openxmlformats.org/officeDocument/2006/relationships/externalLink" Target="externalLinks/externalLink16.xml"/><Relationship Id="rId37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24.xml"/><Relationship Id="rId45" Type="http://schemas.openxmlformats.org/officeDocument/2006/relationships/externalLink" Target="externalLinks/externalLink29.xml"/><Relationship Id="rId53" Type="http://schemas.openxmlformats.org/officeDocument/2006/relationships/theme" Target="theme/theme1.xml"/><Relationship Id="rId58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4.xml"/><Relationship Id="rId19" Type="http://schemas.openxmlformats.org/officeDocument/2006/relationships/externalLink" Target="externalLinks/externalLink3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externalLink" Target="externalLinks/externalLink11.xml"/><Relationship Id="rId30" Type="http://schemas.openxmlformats.org/officeDocument/2006/relationships/externalLink" Target="externalLinks/externalLink14.xml"/><Relationship Id="rId35" Type="http://schemas.openxmlformats.org/officeDocument/2006/relationships/externalLink" Target="externalLinks/externalLink19.xml"/><Relationship Id="rId43" Type="http://schemas.openxmlformats.org/officeDocument/2006/relationships/externalLink" Target="externalLinks/externalLink27.xml"/><Relationship Id="rId48" Type="http://schemas.openxmlformats.org/officeDocument/2006/relationships/externalLink" Target="externalLinks/externalLink32.xml"/><Relationship Id="rId56" Type="http://schemas.openxmlformats.org/officeDocument/2006/relationships/sheetMetadata" Target="metadata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externalLink" Target="externalLinks/externalLink9.xml"/><Relationship Id="rId33" Type="http://schemas.openxmlformats.org/officeDocument/2006/relationships/externalLink" Target="externalLinks/externalLink17.xml"/><Relationship Id="rId38" Type="http://schemas.openxmlformats.org/officeDocument/2006/relationships/externalLink" Target="externalLinks/externalLink22.xml"/><Relationship Id="rId46" Type="http://schemas.openxmlformats.org/officeDocument/2006/relationships/externalLink" Target="externalLinks/externalLink30.xml"/><Relationship Id="rId59" Type="http://schemas.openxmlformats.org/officeDocument/2006/relationships/customXml" Target="../customXml/item2.xml"/><Relationship Id="rId20" Type="http://schemas.openxmlformats.org/officeDocument/2006/relationships/externalLink" Target="externalLinks/externalLink4.xml"/><Relationship Id="rId41" Type="http://schemas.openxmlformats.org/officeDocument/2006/relationships/externalLink" Target="externalLinks/externalLink25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externalLink" Target="externalLinks/externalLink12.xml"/><Relationship Id="rId36" Type="http://schemas.openxmlformats.org/officeDocument/2006/relationships/externalLink" Target="externalLinks/externalLink20.xml"/><Relationship Id="rId49" Type="http://schemas.openxmlformats.org/officeDocument/2006/relationships/externalLink" Target="externalLinks/externalLink33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5.xml"/><Relationship Id="rId44" Type="http://schemas.openxmlformats.org/officeDocument/2006/relationships/externalLink" Target="externalLinks/externalLink28.xml"/><Relationship Id="rId52" Type="http://schemas.openxmlformats.org/officeDocument/2006/relationships/externalLink" Target="externalLinks/externalLink36.xml"/><Relationship Id="rId6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478108</xdr:colOff>
      <xdr:row>8</xdr:row>
      <xdr:rowOff>23890</xdr:rowOff>
    </xdr:from>
    <xdr:to>
      <xdr:col>8</xdr:col>
      <xdr:colOff>234394</xdr:colOff>
      <xdr:row>25</xdr:row>
      <xdr:rowOff>4840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DC845ED-9F3F-F3F5-C69E-2F8DD9A75F57}"/>
            </a:ext>
          </a:extLst>
        </xdr:cNvPr>
        <xdr:cNvSpPr txBox="1"/>
      </xdr:nvSpPr>
      <xdr:spPr>
        <a:xfrm>
          <a:off x="3769376" y="1714242"/>
          <a:ext cx="3852483" cy="31738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Starting salary is from</a:t>
          </a:r>
          <a:r>
            <a:rPr lang="en-US" sz="1100" baseline="0"/>
            <a:t> Djøf.</a:t>
          </a:r>
        </a:p>
        <a:p>
          <a:endParaRPr lang="en-US" sz="1100" baseline="0"/>
        </a:p>
        <a:p>
          <a:r>
            <a:rPr lang="en-US" sz="1100" baseline="0"/>
            <a:t>Salary is affected by </a:t>
          </a:r>
          <a:r>
            <a:rPr lang="en-US" sz="1100" b="1" baseline="0"/>
            <a:t>Inflation</a:t>
          </a:r>
          <a:r>
            <a:rPr lang="en-US" sz="1100" b="0" baseline="0"/>
            <a:t> and </a:t>
          </a:r>
          <a:r>
            <a:rPr lang="en-US" sz="1100" b="1" baseline="0"/>
            <a:t>Career Progression</a:t>
          </a:r>
        </a:p>
        <a:p>
          <a:endParaRPr lang="en-US" sz="1100" b="1" baseline="0"/>
        </a:p>
        <a:p>
          <a:r>
            <a:rPr lang="en-US" sz="1100" b="1" baseline="0"/>
            <a:t>Inflation:</a:t>
          </a:r>
        </a:p>
        <a:p>
          <a:r>
            <a:rPr lang="en-US" sz="1100" b="0" i="0"/>
            <a:t>Insert</a:t>
          </a:r>
          <a:r>
            <a:rPr lang="en-US" sz="1100" b="0" i="0" baseline="0"/>
            <a:t> explanation for how we use inflation, </a:t>
          </a:r>
          <a:r>
            <a:rPr lang="en-US" sz="1100" b="1" i="0" baseline="0"/>
            <a:t>for now just using a dummy 3%</a:t>
          </a:r>
        </a:p>
        <a:p>
          <a:endParaRPr lang="en-US" sz="1100" b="1" i="0" baseline="0"/>
        </a:p>
        <a:p>
          <a:r>
            <a:rPr lang="en-US" sz="1100" b="1" i="0" baseline="0"/>
            <a:t>Career Progression:</a:t>
          </a:r>
        </a:p>
        <a:p>
          <a:r>
            <a:rPr lang="en-US" sz="1100" b="0" i="0" baseline="0"/>
            <a:t>Career Progression refers to switching jobs every couple years, which we assume will yield a higher raise compared to staying in the same company. We have created a worksheet called "Job Hopping", which simulates the ages at which both profiles will job hop.</a:t>
          </a:r>
        </a:p>
        <a:p>
          <a:endParaRPr lang="en-US" sz="1100" b="0" i="0" baseline="0"/>
        </a:p>
        <a:p>
          <a:r>
            <a:rPr lang="en-US" sz="1100" b="0" i="0" baseline="0"/>
            <a:t>Note that both profile share the </a:t>
          </a:r>
          <a:r>
            <a:rPr lang="en-US" sz="1100" b="1" i="0" baseline="0"/>
            <a:t>age</a:t>
          </a:r>
          <a:r>
            <a:rPr lang="en-US" sz="1100" b="0" i="0" baseline="0"/>
            <a:t> in which they job hop, but not necessarily the year.</a:t>
          </a:r>
          <a:endParaRPr lang="en-UM" sz="1100" b="0" i="0"/>
        </a:p>
      </xdr:txBody>
    </xdr:sp>
    <xdr:clientData/>
  </xdr:twoCellAnchor>
  <xdr:twoCellAnchor>
    <xdr:from>
      <xdr:col>13</xdr:col>
      <xdr:colOff>263818</xdr:colOff>
      <xdr:row>2</xdr:row>
      <xdr:rowOff>185233</xdr:rowOff>
    </xdr:from>
    <xdr:to>
      <xdr:col>18</xdr:col>
      <xdr:colOff>583554</xdr:colOff>
      <xdr:row>19</xdr:row>
      <xdr:rowOff>166183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172C51-5511-4734-80A4-7930D9CDE8A2}"/>
            </a:ext>
          </a:extLst>
        </xdr:cNvPr>
        <xdr:cNvSpPr txBox="1"/>
      </xdr:nvSpPr>
      <xdr:spPr>
        <a:xfrm>
          <a:off x="12337762" y="748684"/>
          <a:ext cx="3360581" cy="31738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Median Senior</a:t>
          </a:r>
          <a:r>
            <a:rPr lang="en-US" sz="1100" baseline="0"/>
            <a:t> Consultant salary, Djf Privats lnstatistik 2024 - Tendenspapir, Table 1</a:t>
          </a:r>
        </a:p>
        <a:p>
          <a:endParaRPr lang="en-US" sz="1100" b="0" i="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Median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Graduate salary, Djf Privats lnstatistik 2024 - Tendenspapir, Table 1</a:t>
          </a:r>
          <a:endParaRPr lang="en-UM">
            <a:effectLst/>
          </a:endParaRPr>
        </a:p>
        <a:p>
          <a:endParaRPr lang="en-UM" sz="1100" b="0" i="0"/>
        </a:p>
      </xdr:txBody>
    </xdr:sp>
    <xdr:clientData/>
  </xdr:twoCellAnchor>
  <xdr:twoCellAnchor>
    <xdr:from>
      <xdr:col>9</xdr:col>
      <xdr:colOff>1341549</xdr:colOff>
      <xdr:row>0</xdr:row>
      <xdr:rowOff>143098</xdr:rowOff>
    </xdr:from>
    <xdr:to>
      <xdr:col>13</xdr:col>
      <xdr:colOff>304084</xdr:colOff>
      <xdr:row>6</xdr:row>
      <xdr:rowOff>17887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F0F1574-FB35-545B-0984-B31589A6D8FA}"/>
            </a:ext>
          </a:extLst>
        </xdr:cNvPr>
        <xdr:cNvCxnSpPr/>
      </xdr:nvCxnSpPr>
      <xdr:spPr>
        <a:xfrm flipH="1" flipV="1">
          <a:off x="8442817" y="330915"/>
          <a:ext cx="3935211" cy="100169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1439931</xdr:colOff>
      <xdr:row>0</xdr:row>
      <xdr:rowOff>116267</xdr:rowOff>
    </xdr:from>
    <xdr:to>
      <xdr:col>13</xdr:col>
      <xdr:colOff>268310</xdr:colOff>
      <xdr:row>3</xdr:row>
      <xdr:rowOff>169929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AF50D647-44A3-4B08-BEAE-31FE3E1A340A}"/>
            </a:ext>
          </a:extLst>
        </xdr:cNvPr>
        <xdr:cNvCxnSpPr/>
      </xdr:nvCxnSpPr>
      <xdr:spPr>
        <a:xfrm flipH="1" flipV="1">
          <a:off x="10043734" y="304084"/>
          <a:ext cx="2298520" cy="61711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personal/filip_nikolic_blackrock_com/Documents/ECB%20MP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GO%20Decks/February%202021%20Update/BII%20GO%20deck%20March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udentcbs.sharepoint.com/ECON/Regional/Monetary/Credit/Regional%20Domestic%20Credit%20to%20Private%20Sector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udentcbs.sharepoint.com/IRESHK01D/projects/ECON/Database/REER/TradeW%20Ree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BC%20R2K\Disk%201\WPP2000_Excel_Files\DB02_Stock_Indicators\WPP2000_DB2_F1_TOTAL_POPULATION_BOTH_SEXES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N:\data\BII\Portfolio%20Research\1)%20Portfolio%20construction%20research\Model%20portfolios\20240930%20Model%20Portfolios\ISAA_Inputs_2024Q3.xlsx" TargetMode="External"/><Relationship Id="rId1" Type="http://schemas.openxmlformats.org/officeDocument/2006/relationships/externalLinkPath" Target="file:///N:\data\BII\Portfolio%20Research\1)%20Portfolio%20construction%20research\Model%20portfolios\20240930%20Model%20Portfolios\ISAA_Inputs_2024Q3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udentcbs.sharepoint.com/Users/catyler/AppData/Local/Microsoft/Windows/INetCache/Content.Outlook/15K1W2KR/CapexIntensity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data/BII/Portfolio%20Research/3)%20Models%20and%20Tools/MT%20CMA%20Models/20210331%20forecasts/Equities/Solver/Final/Q121-Equity%20solver-1y-regions-checked0206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udentcbs.sharepoint.com/blackrock/dfs/506.HK/Documents%20and%20Settings/Administrator/&#26700;&#38754;/Yifan%20Deng/600519&#36149;&#24030;&#33541;&#2148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data/BII/Portfolio%20Research/3)%20Models%20and%20Tools/MT%20CMA%20Models/20210331%20forecasts/Equities/Solver/Final/Q121-Equity%20solver-1y-workhorse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udentcbs.sharepoint.com/ECON/FORECAST/INDONESI/gdp_cpi_for%20data%20commen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Global%20insights%20publications/Net%20Zero%20shorty%20-%20May%202022/Charts_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personal/michel_dilmanian_blackrock_com/Documents/Microsoft%20Teams%20Chat%20Files/bear_market_investing_MD_2022.05.3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Portfolio%20Research/CMA%20-%20Q3%202021%20update/CMA%20Q3%202021%20deck%20-%20datasheet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personal/tara_sharma_blackrock_com/Documents/Microsoft%20Teams%20Chat%20Files/Chart%20GO_Compilation_HardCop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GO%20Decks/July%202022/bii-global-outlook-in-charts-july-2022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Publications/BII%20Global%20Outlook%20-%20Q4%202021%20update/bii-global-outlook-in-charts-datasheet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udentcbs.sharepoint.com/Users/vsubheda/Downloads/Additional%20Charts%20-%20Japan%20&amp;%20Earnings%20for%20Risk%20Taking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udentcbs.sharepoint.com/na.blkint.com/dfs/data/BII/Individual%20Folders/Virginia/20211122%205y5y%20inflation%20vs%2010y%20yield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My%20Documents/margins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Investment%20Outlooks/2022%20outlook/2022_Outlook_Charts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GO%20Decks/2022%20Outlook%20deck/bii-2022-global-outlook-in-charts-feb22-update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personal/vikram_subhedar_blackrock_com/Documents/Microsoft%20Teams%20Chat%20Files/bii-go-sept2021-datasheet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udentcbs.sharepoint.com/Users/nagill/Downloads/Equities%20(1)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udentcbs.sharepoint.com/Users/nfawcett/Downloads/China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Investment%20Outlooks/2022%20midyear%20outlook/BII-2022-midyear-outlook-charts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My%20Documents/Temp_GPS/2021.10.25%20GPS%20In%20Focus%20-%20China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200chartpack.blackrock.com/ChartPack200DataFiles/Bonds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Weekly%20Commentary/0314%20Weekly/weekly%20commentary%20data%20files_20220314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personal/scott_barber_blackrock_com/Documents/Microsoft%20Teams%20Chat%20Files/jb-forum-charts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data/BII/Investment%20Strategy/Tracking%20TAA%20views/TAA%20P&amp;L/P&amp;L%20Report/2021/20210628_BII%20TAA%20Performance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udentcbs.sharepoint.com/na.blkint.com/dfs/data/BII/Investment%20Strategy/Tracking%20TAA%20views/20200810_Tracking%20TAA%20P&amp;L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data/BII/Portfolio%20Research/3)%20Models%20and%20Tools/MT%20CMA%20Models/20210930%20forecasts/Equities/Generating%20input%20files/Topdowndata_input.xlsm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data/BII/Portfolio%20Research/3)%20Models%20and%20Tools/MT%20CMA%20Models/20210331%20forecasts/ASR/Alternative_US_ASR_Curve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personal/vikram_subhedar_blackrock_com/Documents/Microsoft%20Teams%20Chat%20Files/BII%20-%20GO%20July%202021%20-%20charts%20datasheet%20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Financing%20EM%20green%20transition/Mismatched%20resour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rchases flow (2)"/>
      <sheetName val="Rates"/>
      <sheetName val="Purchases stock"/>
      <sheetName val="Purchases flow"/>
    </sheetNames>
    <sheetDataSet>
      <sheetData sheetId="0">
        <row r="9">
          <cell r="G9" t="str">
            <v>CBPP</v>
          </cell>
        </row>
      </sheetData>
      <sheetData sheetId="1" refreshError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ccine"/>
      <sheetName val="Activity impact"/>
      <sheetName val="Pent up demand"/>
      <sheetName val="Shock vs response"/>
      <sheetName val="US debt"/>
      <sheetName val="New nominal"/>
      <sheetName val="ERP (March 2021 update)"/>
      <sheetName val="HY and credit"/>
      <sheetName val="Treasuries"/>
      <sheetName val="Breakeven"/>
      <sheetName val="Peripheral"/>
      <sheetName val="Trade"/>
      <sheetName val="Supply chain"/>
      <sheetName val="China"/>
      <sheetName val="UK"/>
      <sheetName val="Business formations"/>
      <sheetName val="Car Air"/>
      <sheetName val="ROE"/>
      <sheetName val="ERP plot"/>
    </sheetNames>
    <sheetDataSet>
      <sheetData sheetId="0"/>
      <sheetData sheetId="1">
        <row r="8">
          <cell r="C8" t="str">
            <v>Global financial crisis</v>
          </cell>
        </row>
      </sheetData>
      <sheetData sheetId="2"/>
      <sheetData sheetId="3">
        <row r="6">
          <cell r="C6">
            <v>3.5930000000000004E-2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5 (8)"/>
      <sheetName val="Chart5 (7)"/>
      <sheetName val="Bank Loans Data"/>
      <sheetName val="Sheet1"/>
      <sheetName val="Chart5 (6)"/>
      <sheetName val="Chart1"/>
      <sheetName val="Chart5 (2)"/>
      <sheetName val="CNKR"/>
      <sheetName val="Exh Cumulative change_CN UK US"/>
      <sheetName val="Exh Cumulative change_US&amp;EU (2)"/>
      <sheetName val="Exh Cumulative change_US&amp;EU"/>
      <sheetName val="Exh Cumulative change"/>
      <sheetName val="Exh Cumulative change_US&amp;EU (3)"/>
      <sheetName val="CrossCountry_Accumulative"/>
      <sheetName val="Credit GDP stock"/>
      <sheetName val="Excess Credit Growth Bonds"/>
      <sheetName val="Exh Cumulative change_Bonds"/>
      <sheetName val="Exh Cumulative change_Bonds His"/>
      <sheetName val="Excess_history_MY_Bonds"/>
      <sheetName val="Exh Cumulative change_Bonds_MY"/>
      <sheetName val="Exh Cumulative change_CN08"/>
      <sheetName val="Exh_Cumulative excess"/>
      <sheetName val="Exh Cumulative change_CN"/>
      <sheetName val="Chart5"/>
      <sheetName val="Chart5 total credit"/>
      <sheetName val="Chart5 (3)"/>
      <sheetName val="Chart5 (5)"/>
      <sheetName val="Chart5 (4)"/>
      <sheetName val="Chart7"/>
      <sheetName val="Chart2"/>
      <sheetName val="Chart3"/>
      <sheetName val="Bank Loans&amp;Corp Bonds_Original"/>
      <sheetName val="Bank Loans&amp;Corp Bonds_IN_Change"/>
      <sheetName val="Bank Loans&amp;Bonds Data"/>
      <sheetName val="US&amp;Europe"/>
      <sheetName val="Bonds Data B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 to Forecast"/>
      <sheetName val="NEER ANALYSIS"/>
      <sheetName val="ERWINLink"/>
      <sheetName val="REER ANALYSIS"/>
      <sheetName val="Exh_12mFctBil"/>
      <sheetName val="II_Exh2_NEER"/>
      <sheetName val="Exh_NJATWI"/>
      <sheetName val="Exh_NEERchange"/>
      <sheetName val="NEER Summary"/>
      <sheetName val="REER Summary"/>
      <sheetName val="Xrate"/>
      <sheetName val="CPI"/>
      <sheetName val="Weights"/>
      <sheetName val="TradeW"/>
      <sheetName val="Compute"/>
      <sheetName val="Module1"/>
      <sheetName val="Sheet2"/>
      <sheetName val="Sheet1"/>
      <sheetName val="KRW"/>
      <sheetName val="RMB"/>
      <sheetName val="HKD"/>
      <sheetName val="IDR"/>
      <sheetName val="KRW2"/>
      <sheetName val="MYR"/>
      <sheetName val="PHP"/>
      <sheetName val="SGD"/>
      <sheetName val="TWD"/>
      <sheetName val="THB"/>
      <sheetName val="ASIA"/>
      <sheetName val="Modified Goal Seek"/>
      <sheetName val="Goal Seek Module"/>
      <sheetName val="All _eer Summary Update"/>
      <sheetName val="All _eer Update"/>
      <sheetName val="Module2"/>
      <sheetName val="NEER Summary (2)"/>
      <sheetName val="Scenario"/>
      <sheetName val="Exh_12mFct"/>
      <sheetName val="Chart1"/>
      <sheetName val="DDETABLE"/>
      <sheetName val="Market Shares"/>
      <sheetName val="PA vs CL"/>
      <sheetName val="Data_CPI"/>
      <sheetName val="F-DCF"/>
      <sheetName val="Profile"/>
      <sheetName val="JSW Financials"/>
      <sheetName val="TradeW Reer"/>
      <sheetName val="CATTLE"/>
      <sheetName val="FormerEB monthly prod"/>
      <sheetName val="Capex"/>
      <sheetName val="NPV Summary"/>
      <sheetName val="Operating Segments"/>
      <sheetName val="Monthly bulker supply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/>
      <sheetData sheetId="12" refreshError="1">
        <row r="5">
          <cell r="J5">
            <v>0.17560387366627594</v>
          </cell>
        </row>
        <row r="6">
          <cell r="J6">
            <v>6.8242266652505518E-2</v>
          </cell>
          <cell r="K6">
            <v>0.13674861185796486</v>
          </cell>
        </row>
        <row r="7">
          <cell r="J7">
            <v>5.2245866762161725E-2</v>
          </cell>
        </row>
        <row r="8">
          <cell r="J8">
            <v>5.9987925955747541E-2</v>
          </cell>
          <cell r="L8">
            <v>0.21964280790904137</v>
          </cell>
          <cell r="M8">
            <v>0.16393461566217618</v>
          </cell>
        </row>
        <row r="9">
          <cell r="J9">
            <v>0.18367957240015098</v>
          </cell>
          <cell r="K9">
            <v>0.36806993355433915</v>
          </cell>
        </row>
        <row r="10">
          <cell r="J10">
            <v>8.76950679178891E-2</v>
          </cell>
          <cell r="L10">
            <v>0.32109113042961884</v>
          </cell>
          <cell r="M10">
            <v>0.23965251382741251</v>
          </cell>
        </row>
        <row r="11">
          <cell r="J11">
            <v>3.3864992574666679E-2</v>
          </cell>
          <cell r="L11">
            <v>0.12399498633117785</v>
          </cell>
          <cell r="M11">
            <v>9.2546032450360458E-2</v>
          </cell>
        </row>
        <row r="12">
          <cell r="J12">
            <v>9.281010381935717E-2</v>
          </cell>
          <cell r="K12">
            <v>0.18597935687449385</v>
          </cell>
          <cell r="M12">
            <v>0.25363085082182668</v>
          </cell>
        </row>
        <row r="13">
          <cell r="J13">
            <v>0.1543024950306244</v>
          </cell>
          <cell r="K13">
            <v>0.30920209771320217</v>
          </cell>
        </row>
        <row r="14">
          <cell r="J14">
            <v>9.1567835220621008E-2</v>
          </cell>
          <cell r="L14">
            <v>0.33527107533016198</v>
          </cell>
          <cell r="M14">
            <v>0.25023598723822427</v>
          </cell>
        </row>
      </sheetData>
      <sheetData sheetId="13"/>
      <sheetData sheetId="14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S"/>
      <sheetName val="LOW"/>
      <sheetName val="MEDIUM"/>
      <sheetName val="HIGH"/>
      <sheetName val="CONSTANT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Family_Office_Input"/>
      <sheetName val="US_PP_Input"/>
      <sheetName val="Reserve_Manager_Input"/>
      <sheetName val="UK_Multi_Asset_Input"/>
      <sheetName val="UK_Charity_Input"/>
      <sheetName val="EUR_Wealth_Input"/>
      <sheetName val="US_CP_Input"/>
      <sheetName val="Unconstrained_Input"/>
      <sheetName val="Unconstrained_PerfTracking"/>
      <sheetName val="BPAS_portfolios_Input"/>
      <sheetName val="UK_DB_Inp"/>
      <sheetName val="USWA_Inp"/>
      <sheetName val="Currency bucketing mapping"/>
      <sheetName val="Active risk calculation"/>
      <sheetName val="mkt cap python"/>
      <sheetName val="Fees and Alpha"/>
      <sheetName val="Mapping"/>
      <sheetName val="Old_Cusi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5">
          <cell r="B35" t="str">
            <v>Cus</v>
          </cell>
          <cell r="C35" t="str">
            <v>Sec</v>
          </cell>
          <cell r="D35" t="str">
            <v>Sec</v>
          </cell>
          <cell r="E35" t="str">
            <v>Pct</v>
          </cell>
          <cell r="F35" t="str">
            <v>Unn</v>
          </cell>
          <cell r="G35" t="str">
            <v>Unn</v>
          </cell>
          <cell r="H35" t="str">
            <v>Unn</v>
          </cell>
          <cell r="I35" t="str">
            <v>Unn</v>
          </cell>
          <cell r="J35" t="str">
            <v>Unn</v>
          </cell>
          <cell r="K35" t="str">
            <v>Unn</v>
          </cell>
          <cell r="L35" t="str">
            <v>AED</v>
          </cell>
          <cell r="M35" t="str">
            <v>AUD</v>
          </cell>
          <cell r="N35" t="str">
            <v>BRL</v>
          </cell>
          <cell r="O35" t="str">
            <v>CAD</v>
          </cell>
          <cell r="P35" t="str">
            <v>CHF</v>
          </cell>
          <cell r="Q35" t="str">
            <v>CLP</v>
          </cell>
          <cell r="R35" t="str">
            <v>CNY</v>
          </cell>
          <cell r="S35" t="str">
            <v>COP</v>
          </cell>
          <cell r="T35" t="str">
            <v>CZK</v>
          </cell>
          <cell r="U35" t="str">
            <v>DEM</v>
          </cell>
          <cell r="V35" t="str">
            <v>DKK</v>
          </cell>
          <cell r="W35" t="str">
            <v>DOP</v>
          </cell>
          <cell r="X35" t="str">
            <v>EGP</v>
          </cell>
          <cell r="Y35" t="str">
            <v>EUR</v>
          </cell>
          <cell r="Z35" t="str">
            <v>GBP</v>
          </cell>
          <cell r="AA35" t="str">
            <v>HKD</v>
          </cell>
          <cell r="AB35" t="str">
            <v>HUF</v>
          </cell>
          <cell r="AC35" t="str">
            <v>IDR</v>
          </cell>
          <cell r="AD35" t="str">
            <v>ILS</v>
          </cell>
          <cell r="AE35" t="str">
            <v>INR</v>
          </cell>
          <cell r="AF35" t="str">
            <v>ITL</v>
          </cell>
          <cell r="AG35" t="str">
            <v>JPY</v>
          </cell>
          <cell r="AH35" t="str">
            <v>KRW</v>
          </cell>
          <cell r="AI35" t="str">
            <v>KWD</v>
          </cell>
          <cell r="AJ35" t="str">
            <v>MXN</v>
          </cell>
          <cell r="AK35" t="str">
            <v>MYR</v>
          </cell>
          <cell r="AL35" t="str">
            <v>NOK</v>
          </cell>
          <cell r="AM35" t="str">
            <v>NZD</v>
          </cell>
          <cell r="AN35" t="str">
            <v>PEN</v>
          </cell>
          <cell r="AO35" t="str">
            <v>PHP</v>
          </cell>
          <cell r="AP35" t="str">
            <v>PLN</v>
          </cell>
          <cell r="AQ35" t="str">
            <v>QAR</v>
          </cell>
          <cell r="AR35" t="str">
            <v>RON</v>
          </cell>
          <cell r="AS35" t="str">
            <v>RSD</v>
          </cell>
          <cell r="AT35" t="str">
            <v>RUB</v>
          </cell>
          <cell r="AU35" t="str">
            <v>SAR</v>
          </cell>
          <cell r="AV35" t="str">
            <v>SEK</v>
          </cell>
          <cell r="AW35" t="str">
            <v>SGD</v>
          </cell>
          <cell r="AX35" t="str">
            <v>THB</v>
          </cell>
          <cell r="AY35" t="str">
            <v>TRY</v>
          </cell>
          <cell r="AZ35" t="str">
            <v>TWD</v>
          </cell>
          <cell r="BA35" t="str">
            <v>UYU</v>
          </cell>
          <cell r="BB35" t="str">
            <v>ZAR</v>
          </cell>
          <cell r="BC35" t="str">
            <v>USD</v>
          </cell>
          <cell r="BD35" t="str">
            <v>Unn</v>
          </cell>
          <cell r="BE35" t="str">
            <v>Unn</v>
          </cell>
          <cell r="BF35" t="str">
            <v>Unn</v>
          </cell>
        </row>
        <row r="36">
          <cell r="B36" t="str">
            <v>Cusip</v>
          </cell>
          <cell r="C36" t="str">
            <v>Security Name</v>
          </cell>
          <cell r="D36" t="str">
            <v>Security Ticker</v>
          </cell>
          <cell r="E36" t="str">
            <v>Pct Weight</v>
          </cell>
          <cell r="F36" t="str">
            <v>Unnamed Column</v>
          </cell>
          <cell r="G36" t="str">
            <v>Unnamed Column 2</v>
          </cell>
          <cell r="H36" t="str">
            <v>Unnamed Column 3</v>
          </cell>
          <cell r="I36" t="str">
            <v>Unnamed Column 4</v>
          </cell>
          <cell r="J36" t="str">
            <v>Unnamed Column 5</v>
          </cell>
          <cell r="K36" t="str">
            <v>Unnamed Column 6</v>
          </cell>
          <cell r="L36" t="str">
            <v>AED/PLN Exposure</v>
          </cell>
          <cell r="M36" t="str">
            <v>AUD/PLN Exposure</v>
          </cell>
          <cell r="N36" t="str">
            <v>BRL/PLN Exposure</v>
          </cell>
          <cell r="O36" t="str">
            <v>CAD/PLN Exposure</v>
          </cell>
          <cell r="P36" t="str">
            <v>CHF/PLN Exposure</v>
          </cell>
          <cell r="Q36" t="str">
            <v>CLP/PLN Exposure</v>
          </cell>
          <cell r="R36" t="str">
            <v>CNY/PLN Exposure</v>
          </cell>
          <cell r="S36" t="str">
            <v>COP/PLN Exposure</v>
          </cell>
          <cell r="T36" t="str">
            <v>CZK/PLN Exposure</v>
          </cell>
          <cell r="U36" t="str">
            <v>DEM/PLN Exposure</v>
          </cell>
          <cell r="V36" t="str">
            <v>DKK/PLN Exposure</v>
          </cell>
          <cell r="W36" t="str">
            <v>DOP/PLN Exposure</v>
          </cell>
          <cell r="X36" t="str">
            <v>EGP/PLN Exposure</v>
          </cell>
          <cell r="Y36" t="str">
            <v>EUR/PLN Exposure</v>
          </cell>
          <cell r="Z36" t="str">
            <v>GBP/PLN Exposure</v>
          </cell>
          <cell r="AA36" t="str">
            <v>HKD/PLN Exposure</v>
          </cell>
          <cell r="AB36" t="str">
            <v>HUF/PLN Exposure</v>
          </cell>
          <cell r="AC36" t="str">
            <v>IDR/PLN Exposure</v>
          </cell>
          <cell r="AD36" t="str">
            <v>ILS/PLN Exposure</v>
          </cell>
          <cell r="AE36" t="str">
            <v>INR/PLN Exposure</v>
          </cell>
          <cell r="AF36" t="str">
            <v>ITL/PLN Exposure</v>
          </cell>
          <cell r="AG36" t="str">
            <v>JPY/PLN Exposure</v>
          </cell>
          <cell r="AH36" t="str">
            <v>KRW/PLN Exposure</v>
          </cell>
          <cell r="AI36" t="str">
            <v>KWD/PLN Exposure</v>
          </cell>
          <cell r="AJ36" t="str">
            <v>MXN/PLN Exposure</v>
          </cell>
          <cell r="AK36" t="str">
            <v>MYR/PLN Exposure</v>
          </cell>
          <cell r="AL36" t="str">
            <v>NOK/PLN Exposure</v>
          </cell>
          <cell r="AM36" t="str">
            <v>NZD/PLN Exposure</v>
          </cell>
          <cell r="AN36" t="str">
            <v>PEN/PLN Exposure</v>
          </cell>
          <cell r="AO36" t="str">
            <v>PHP/PLN Exposure</v>
          </cell>
          <cell r="AP36" t="str">
            <v>PLN/PLN Exposure</v>
          </cell>
          <cell r="AQ36" t="str">
            <v>QAR/PLN Exposure</v>
          </cell>
          <cell r="AR36" t="str">
            <v>RON/PLN Exposure</v>
          </cell>
          <cell r="AS36" t="str">
            <v>RSD/PLN Exposure</v>
          </cell>
          <cell r="AT36" t="str">
            <v>RUB/PLN Exposure</v>
          </cell>
          <cell r="AU36" t="str">
            <v>SAR/PLN Exposure</v>
          </cell>
          <cell r="AV36" t="str">
            <v>SEK/PLN Exposure</v>
          </cell>
          <cell r="AW36" t="str">
            <v>SGD/PLN Exposure</v>
          </cell>
          <cell r="AX36" t="str">
            <v>THB/PLN Exposure</v>
          </cell>
          <cell r="AY36" t="str">
            <v>TRY/PLN Exposure</v>
          </cell>
          <cell r="AZ36" t="str">
            <v>TWD/PLN Exposure</v>
          </cell>
          <cell r="BA36" t="str">
            <v>UYU/PLN Exposure</v>
          </cell>
          <cell r="BB36" t="str">
            <v>ZAR/PLN Exposure</v>
          </cell>
          <cell r="BC36" t="str">
            <v>USD/PLN Exposure</v>
          </cell>
          <cell r="BD36" t="str">
            <v>Unnamed Column 7</v>
          </cell>
          <cell r="BE36" t="str">
            <v>Unnamed Column 8</v>
          </cell>
          <cell r="BF36" t="str">
            <v>Unnamed Column 9</v>
          </cell>
        </row>
        <row r="37">
          <cell r="B37" t="str">
            <v>TOTAL</v>
          </cell>
          <cell r="E37">
            <v>105.00000000000004</v>
          </cell>
          <cell r="L37">
            <v>4.6398388039028453E-2</v>
          </cell>
          <cell r="M37">
            <v>1.7939653535259705</v>
          </cell>
          <cell r="N37">
            <v>0.29900714062552364</v>
          </cell>
          <cell r="O37">
            <v>2.1686753785802368</v>
          </cell>
          <cell r="P37">
            <v>1.3404615418728523</v>
          </cell>
          <cell r="Q37">
            <v>3.8342040844500012E-2</v>
          </cell>
          <cell r="R37">
            <v>3.1255298869057491</v>
          </cell>
          <cell r="S37">
            <v>4.4285535611645423E-2</v>
          </cell>
          <cell r="T37">
            <v>5.9042173181467712E-2</v>
          </cell>
          <cell r="U37">
            <v>-1.7296074113373476E-4</v>
          </cell>
          <cell r="V37">
            <v>0.13225713422224841</v>
          </cell>
          <cell r="W37">
            <v>2.3860346633626322E-3</v>
          </cell>
          <cell r="X37">
            <v>3.1431635700494859E-3</v>
          </cell>
          <cell r="Y37">
            <v>28.104006669174403</v>
          </cell>
          <cell r="Z37">
            <v>13.9289290629661</v>
          </cell>
          <cell r="AA37">
            <v>1.1933478154798198</v>
          </cell>
          <cell r="AB37">
            <v>3.7361975756028017E-2</v>
          </cell>
          <cell r="AC37">
            <v>0.16320375669267118</v>
          </cell>
          <cell r="AD37">
            <v>1.236952276884732E-2</v>
          </cell>
          <cell r="AE37">
            <v>1.4391113488195619</v>
          </cell>
          <cell r="AF37">
            <v>-3.1132166817913589E-3</v>
          </cell>
          <cell r="AG37">
            <v>4.1145424728849536</v>
          </cell>
          <cell r="AH37">
            <v>0.44967534495446815</v>
          </cell>
          <cell r="AI37">
            <v>2.86132057624758E-2</v>
          </cell>
          <cell r="AJ37">
            <v>0.17878933526931376</v>
          </cell>
          <cell r="AK37">
            <v>0.15696237033145291</v>
          </cell>
          <cell r="AL37">
            <v>4.141019561658045E-2</v>
          </cell>
          <cell r="AM37">
            <v>3.0629648736613852E-2</v>
          </cell>
          <cell r="AN37">
            <v>3.0988150308036099E-2</v>
          </cell>
          <cell r="AO37">
            <v>2.2834463136629238E-2</v>
          </cell>
          <cell r="AP37">
            <v>-98.912041692481722</v>
          </cell>
          <cell r="AQ37">
            <v>3.1024126701633681E-2</v>
          </cell>
          <cell r="AR37">
            <v>3.9748682614886455E-2</v>
          </cell>
          <cell r="AS37">
            <v>3.4080715512909373E-3</v>
          </cell>
          <cell r="AT37">
            <v>1.2045904761904756E-2</v>
          </cell>
          <cell r="AU37">
            <v>0.15965280771461066</v>
          </cell>
          <cell r="AV37">
            <v>0.20940594793865475</v>
          </cell>
          <cell r="AW37">
            <v>0.18298427260585456</v>
          </cell>
          <cell r="AX37">
            <v>0.14748181302003158</v>
          </cell>
          <cell r="AY37">
            <v>6.2215717836401133E-2</v>
          </cell>
          <cell r="AZ37">
            <v>0.71425497114479508</v>
          </cell>
          <cell r="BA37">
            <v>1.7943095520610104E-3</v>
          </cell>
          <cell r="BB37">
            <v>0.20464069383815453</v>
          </cell>
          <cell r="BC37">
            <v>38.160401440323746</v>
          </cell>
        </row>
        <row r="38">
          <cell r="B38" t="str">
            <v>BRS26QQW4</v>
          </cell>
          <cell r="C38" t="str">
            <v>FTSE Actuaries UK Index-Linked Gilts ove</v>
          </cell>
          <cell r="D38" t="str">
            <v>FTILGLT5P</v>
          </cell>
          <cell r="E38">
            <v>2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99.999999999999972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-99.999999999999972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</row>
        <row r="39">
          <cell r="B39" t="str">
            <v>BRT9TAL37</v>
          </cell>
          <cell r="C39" t="str">
            <v>CMA - Core Real Estate UK hedged</v>
          </cell>
          <cell r="D39" t="str">
            <v>CMA_UKREHD</v>
          </cell>
          <cell r="E39">
            <v>1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-100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100</v>
          </cell>
        </row>
        <row r="40">
          <cell r="B40" t="str">
            <v>BRTE916L5</v>
          </cell>
          <cell r="C40" t="str">
            <v>MSCI China A Inclusion NET Index</v>
          </cell>
          <cell r="D40" t="str">
            <v>MSCNAINCLN</v>
          </cell>
          <cell r="E40">
            <v>1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99.295500264355596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0.70449973564454815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-100.00000000000016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</row>
        <row r="41">
          <cell r="B41" t="str">
            <v>BRSJNB3E6</v>
          </cell>
          <cell r="C41" t="str">
            <v>MSCI USA Information Technology Index</v>
          </cell>
          <cell r="D41" t="str">
            <v>MSUSATEC</v>
          </cell>
          <cell r="E41">
            <v>1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0.43084455216596806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0.25416129060443943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-100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99.314994157229592</v>
          </cell>
        </row>
        <row r="42">
          <cell r="B42" t="str">
            <v>BRSJNAPD6</v>
          </cell>
          <cell r="C42" t="str">
            <v>MSCI USA Consumer Discretionary Index</v>
          </cell>
          <cell r="D42" t="str">
            <v>MSUSACDS</v>
          </cell>
          <cell r="E42">
            <v>1.0000000000000002</v>
          </cell>
          <cell r="L42">
            <v>0</v>
          </cell>
          <cell r="M42">
            <v>0</v>
          </cell>
          <cell r="N42">
            <v>1.9460381601536236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0.78077143133591376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-99.999999999999957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97.27319040851043</v>
          </cell>
        </row>
        <row r="43">
          <cell r="B43" t="str">
            <v>BRSLC4YJ4</v>
          </cell>
          <cell r="C43" t="str">
            <v>PE - Buyout Global Fund</v>
          </cell>
          <cell r="E43">
            <v>1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-100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100</v>
          </cell>
        </row>
        <row r="44">
          <cell r="B44" t="str">
            <v>BRTDWC9U4</v>
          </cell>
          <cell r="C44" t="str">
            <v>MSCI USA/REAL ESTATE Index</v>
          </cell>
          <cell r="D44" t="str">
            <v>MSCIUSDRS</v>
          </cell>
          <cell r="E44">
            <v>1.0000000000000002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-100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100</v>
          </cell>
        </row>
        <row r="45">
          <cell r="B45" t="str">
            <v>BRS1PQBB7</v>
          </cell>
          <cell r="C45" t="str">
            <v>BBG Euro Aggregate Corporate Index</v>
          </cell>
          <cell r="D45" t="str">
            <v>LEURAGCORP</v>
          </cell>
          <cell r="E45">
            <v>2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100.10632951667607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-0.10632951667613165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-99.999999999999929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</row>
        <row r="46">
          <cell r="B46" t="str">
            <v>BRT8ZZBD6</v>
          </cell>
          <cell r="C46" t="str">
            <v>BBG U.S. Tips Index 10Yr Plus - USD GROS</v>
          </cell>
          <cell r="D46" t="str">
            <v>BBUSTIPS10</v>
          </cell>
          <cell r="E46">
            <v>1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-100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100</v>
          </cell>
        </row>
        <row r="47">
          <cell r="B47" t="str">
            <v>BRSJNB3N6</v>
          </cell>
          <cell r="C47" t="str">
            <v>MSCI USA Telecommunication Services Inde</v>
          </cell>
          <cell r="D47" t="str">
            <v>MSUSATEL</v>
          </cell>
          <cell r="E47">
            <v>1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-99.999999999999986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99.999999999999986</v>
          </cell>
        </row>
        <row r="48">
          <cell r="B48" t="str">
            <v>BRS26QUC3</v>
          </cell>
          <cell r="C48" t="str">
            <v>MSCI Developed - US Gross TR Index</v>
          </cell>
          <cell r="D48" t="str">
            <v>MS_US</v>
          </cell>
          <cell r="E48">
            <v>1</v>
          </cell>
          <cell r="L48">
            <v>0</v>
          </cell>
          <cell r="M48">
            <v>3.3572076984601941E-2</v>
          </cell>
          <cell r="N48">
            <v>0.19099711183084575</v>
          </cell>
          <cell r="O48">
            <v>0.12092186133200822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0.35482724602756144</v>
          </cell>
          <cell r="Z48">
            <v>8.4345037887521901E-2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7.8509722597016357E-2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-100.00000000000009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99.136826943340537</v>
          </cell>
        </row>
        <row r="49">
          <cell r="B49" t="str">
            <v>B00229466</v>
          </cell>
          <cell r="C49" t="str">
            <v>BBG US Long Credit Index</v>
          </cell>
          <cell r="D49" t="str">
            <v>LCREDLONG</v>
          </cell>
          <cell r="E49">
            <v>1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-100.00000000000041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100.00000000000041</v>
          </cell>
        </row>
        <row r="50">
          <cell r="B50" t="str">
            <v>BRSN0NSF6</v>
          </cell>
          <cell r="C50" t="str">
            <v>FTSE EPRA Nareit Global REITs Index Gros</v>
          </cell>
          <cell r="D50" t="str">
            <v>FTENGRT</v>
          </cell>
          <cell r="E50">
            <v>1</v>
          </cell>
          <cell r="L50">
            <v>0</v>
          </cell>
          <cell r="M50">
            <v>6.2601348063936992</v>
          </cell>
          <cell r="N50">
            <v>0</v>
          </cell>
          <cell r="O50">
            <v>2.2930918018085276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3.3577822380401856</v>
          </cell>
          <cell r="Z50">
            <v>4.3879649211175691</v>
          </cell>
          <cell r="AA50">
            <v>0.86117122421559933</v>
          </cell>
          <cell r="AB50">
            <v>0</v>
          </cell>
          <cell r="AC50">
            <v>0</v>
          </cell>
          <cell r="AD50">
            <v>0</v>
          </cell>
          <cell r="AE50">
            <v>0.3658270133111528</v>
          </cell>
          <cell r="AF50">
            <v>0</v>
          </cell>
          <cell r="AG50">
            <v>5.73160419241988</v>
          </cell>
          <cell r="AH50">
            <v>0.13380936369076585</v>
          </cell>
          <cell r="AI50">
            <v>0</v>
          </cell>
          <cell r="AJ50">
            <v>0.4935067173689503</v>
          </cell>
          <cell r="AK50">
            <v>7.081801978248671E-2</v>
          </cell>
          <cell r="AL50">
            <v>0</v>
          </cell>
          <cell r="AM50">
            <v>0.25199227967770954</v>
          </cell>
          <cell r="AN50">
            <v>0</v>
          </cell>
          <cell r="AO50">
            <v>3.3589765679158758E-2</v>
          </cell>
          <cell r="AP50">
            <v>-100.00000000000003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0.16007445598490591</v>
          </cell>
          <cell r="AV50">
            <v>0</v>
          </cell>
          <cell r="AW50">
            <v>2.8400180365900254</v>
          </cell>
          <cell r="AX50">
            <v>4.9351121008760337E-2</v>
          </cell>
          <cell r="AY50">
            <v>7.3427256165472896E-2</v>
          </cell>
          <cell r="AZ50">
            <v>0</v>
          </cell>
          <cell r="BA50">
            <v>0</v>
          </cell>
          <cell r="BB50">
            <v>0.41522112856488069</v>
          </cell>
          <cell r="BC50">
            <v>72.220615658180293</v>
          </cell>
        </row>
        <row r="51">
          <cell r="B51" t="str">
            <v>BRT065P53</v>
          </cell>
          <cell r="C51" t="str">
            <v>MSCI USA Industrials Index</v>
          </cell>
          <cell r="D51" t="str">
            <v>MSCIUSAIND</v>
          </cell>
          <cell r="E51">
            <v>1</v>
          </cell>
          <cell r="L51">
            <v>0</v>
          </cell>
          <cell r="M51">
            <v>0</v>
          </cell>
          <cell r="N51">
            <v>0</v>
          </cell>
          <cell r="O51">
            <v>1.1115784178547257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0.21024524679143092</v>
          </cell>
          <cell r="Z51">
            <v>0.95958672192052419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-100.00000000000003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97.718589613433338</v>
          </cell>
        </row>
        <row r="52">
          <cell r="B52" t="str">
            <v>BRS2NHUY6</v>
          </cell>
          <cell r="C52" t="str">
            <v>MSCI World Small Cap</v>
          </cell>
          <cell r="D52" t="str">
            <v>MSW_SMALL</v>
          </cell>
          <cell r="E52">
            <v>1.0000000000000002</v>
          </cell>
          <cell r="L52">
            <v>0</v>
          </cell>
          <cell r="M52">
            <v>3.2080825798300823</v>
          </cell>
          <cell r="N52">
            <v>0</v>
          </cell>
          <cell r="O52">
            <v>3.712418538626324</v>
          </cell>
          <cell r="P52">
            <v>1.5102122160609861</v>
          </cell>
          <cell r="Q52">
            <v>0</v>
          </cell>
          <cell r="R52">
            <v>0</v>
          </cell>
          <cell r="S52">
            <v>3.2838974688585557E-2</v>
          </cell>
          <cell r="T52">
            <v>0</v>
          </cell>
          <cell r="U52">
            <v>0</v>
          </cell>
          <cell r="V52">
            <v>0.74928074687547241</v>
          </cell>
          <cell r="W52">
            <v>0</v>
          </cell>
          <cell r="X52">
            <v>2.3526281963582578E-2</v>
          </cell>
          <cell r="Y52">
            <v>6.5356056436226408</v>
          </cell>
          <cell r="Z52">
            <v>5.6778506524732233</v>
          </cell>
          <cell r="AA52">
            <v>0.58967708040054423</v>
          </cell>
          <cell r="AB52">
            <v>0</v>
          </cell>
          <cell r="AC52">
            <v>7.795668710676427E-3</v>
          </cell>
          <cell r="AD52">
            <v>0.90879989072896894</v>
          </cell>
          <cell r="AE52">
            <v>2.5417522978863152E-2</v>
          </cell>
          <cell r="AF52">
            <v>0</v>
          </cell>
          <cell r="AG52">
            <v>12.512374009821984</v>
          </cell>
          <cell r="AH52">
            <v>0</v>
          </cell>
          <cell r="AI52">
            <v>0</v>
          </cell>
          <cell r="AJ52">
            <v>6.0862335764157061E-2</v>
          </cell>
          <cell r="AK52">
            <v>0</v>
          </cell>
          <cell r="AL52">
            <v>0.75786931564686288</v>
          </cell>
          <cell r="AM52">
            <v>0.28295548778157625</v>
          </cell>
          <cell r="AN52">
            <v>3.9763570920813007E-2</v>
          </cell>
          <cell r="AO52">
            <v>0</v>
          </cell>
          <cell r="AP52">
            <v>-100.00000000000003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1.9630865423626467</v>
          </cell>
          <cell r="AW52">
            <v>0.8794518753387971</v>
          </cell>
          <cell r="AX52">
            <v>0</v>
          </cell>
          <cell r="AY52">
            <v>1.5925492828529415E-2</v>
          </cell>
          <cell r="AZ52">
            <v>0</v>
          </cell>
          <cell r="BA52">
            <v>0</v>
          </cell>
          <cell r="BB52">
            <v>1.77312310166803E-2</v>
          </cell>
          <cell r="BC52">
            <v>60.488474341558025</v>
          </cell>
        </row>
        <row r="53">
          <cell r="B53" t="str">
            <v>BRSJNB2T4</v>
          </cell>
          <cell r="C53" t="str">
            <v>MSCI USA Health Care Index</v>
          </cell>
          <cell r="D53" t="str">
            <v>MSUSAHLT</v>
          </cell>
          <cell r="E53">
            <v>1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-100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100</v>
          </cell>
        </row>
        <row r="54">
          <cell r="B54" t="str">
            <v>B00229474</v>
          </cell>
          <cell r="C54" t="str">
            <v>BBG US Long Treasury Index</v>
          </cell>
          <cell r="D54" t="str">
            <v>LEH_10P</v>
          </cell>
          <cell r="E54">
            <v>1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-100.00000000000003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100.00000000000003</v>
          </cell>
        </row>
        <row r="55">
          <cell r="B55" t="str">
            <v>BRTD2AEC5</v>
          </cell>
          <cell r="C55" t="str">
            <v>MSCI Emerging - China  in CNY</v>
          </cell>
          <cell r="D55" t="str">
            <v>MS_CN_CNY</v>
          </cell>
          <cell r="E55">
            <v>0.99999999999999989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15.239149864171512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84.760850135828576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-100.0000000000001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</row>
        <row r="56">
          <cell r="B56" t="str">
            <v>BRTN07HB1</v>
          </cell>
          <cell r="C56" t="str">
            <v>CMA - Direct lending proxy</v>
          </cell>
          <cell r="D56" t="str">
            <v>CMA_DIRLEN</v>
          </cell>
          <cell r="E56">
            <v>1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-99.999899999999997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99.999899999999997</v>
          </cell>
        </row>
        <row r="57">
          <cell r="B57" t="str">
            <v>BRSJNAKR0</v>
          </cell>
          <cell r="C57" t="str">
            <v>MSCI USA Energy Index</v>
          </cell>
          <cell r="D57" t="str">
            <v>MSUSAENG</v>
          </cell>
          <cell r="E57">
            <v>1</v>
          </cell>
          <cell r="L57">
            <v>0</v>
          </cell>
          <cell r="M57">
            <v>0</v>
          </cell>
          <cell r="N57">
            <v>0</v>
          </cell>
          <cell r="O57">
            <v>0.64497078299259558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-100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99.355029217007413</v>
          </cell>
        </row>
        <row r="58">
          <cell r="B58" t="str">
            <v>BRSJNB3M8</v>
          </cell>
          <cell r="C58" t="str">
            <v>MSCI USA Materials Index -USD TR</v>
          </cell>
          <cell r="D58" t="str">
            <v>MSUSAMAT</v>
          </cell>
          <cell r="E58">
            <v>1</v>
          </cell>
          <cell r="L58">
            <v>0</v>
          </cell>
          <cell r="M58">
            <v>1.4114313484507652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5.3237761755947632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-100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93.264792475954479</v>
          </cell>
        </row>
        <row r="59">
          <cell r="B59" t="str">
            <v>BRSJNB2E7</v>
          </cell>
          <cell r="C59" t="str">
            <v>MSCI USA Financials Index</v>
          </cell>
          <cell r="D59" t="str">
            <v>MSUSAFIS</v>
          </cell>
          <cell r="E59">
            <v>1.0000000000000002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-99.999999999999957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99.999999999999957</v>
          </cell>
        </row>
        <row r="60">
          <cell r="B60" t="str">
            <v>BRSJNB462</v>
          </cell>
          <cell r="C60" t="str">
            <v>MSCI USA Utilities Index</v>
          </cell>
          <cell r="D60" t="str">
            <v>MSUSAUTI</v>
          </cell>
          <cell r="E60">
            <v>1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-100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100</v>
          </cell>
        </row>
        <row r="61">
          <cell r="B61" t="str">
            <v>BRSJNB280</v>
          </cell>
          <cell r="C61" t="str">
            <v>MSCI USA Consumer Staples Index</v>
          </cell>
          <cell r="D61" t="str">
            <v>MSUSACST</v>
          </cell>
          <cell r="E61">
            <v>1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-100.00000000000003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100.00000000000003</v>
          </cell>
        </row>
        <row r="62">
          <cell r="B62" t="str">
            <v>BRSKXU3M2</v>
          </cell>
          <cell r="C62" t="str">
            <v>FTSE Developed Core Infrastructure Net I</v>
          </cell>
          <cell r="D62" t="str">
            <v>FTDEVCRINF</v>
          </cell>
          <cell r="E62">
            <v>1</v>
          </cell>
          <cell r="L62">
            <v>0</v>
          </cell>
          <cell r="M62">
            <v>1.7141957906748544</v>
          </cell>
          <cell r="N62">
            <v>0</v>
          </cell>
          <cell r="O62">
            <v>13.601259478306988</v>
          </cell>
          <cell r="P62">
            <v>0.17456679126346872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4.3380140032177996</v>
          </cell>
          <cell r="Z62">
            <v>3.7485104562072222</v>
          </cell>
          <cell r="AA62">
            <v>1.6781940591633424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4.2133122065497597</v>
          </cell>
          <cell r="AH62">
            <v>0.2071852504397734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0.27013872252915538</v>
          </cell>
          <cell r="AN62">
            <v>0</v>
          </cell>
          <cell r="AO62">
            <v>0</v>
          </cell>
          <cell r="AP62">
            <v>-100.00000000000003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0.10307687821889483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69.951546363428776</v>
          </cell>
        </row>
        <row r="63">
          <cell r="B63" t="str">
            <v>B00211043</v>
          </cell>
          <cell r="C63" t="str">
            <v>Bloomberg U.S. Credit Index</v>
          </cell>
          <cell r="D63" t="str">
            <v>LEH_CREDIT</v>
          </cell>
          <cell r="E63">
            <v>1.0000000000000002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-100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100</v>
          </cell>
        </row>
        <row r="64">
          <cell r="B64" t="str">
            <v>BRS2NHV82</v>
          </cell>
          <cell r="C64" t="str">
            <v xml:space="preserve">MSCI Developed - Japan Gross TR Index - </v>
          </cell>
          <cell r="D64" t="str">
            <v>MS_JP</v>
          </cell>
          <cell r="E64">
            <v>1.0000000000000002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99.999999999999957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-99.999999999999957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</row>
        <row r="65">
          <cell r="B65" t="str">
            <v>BRS8R3LP9</v>
          </cell>
          <cell r="C65" t="str">
            <v>S&amp;P India LargeCap Index</v>
          </cell>
          <cell r="D65" t="str">
            <v>SPBMIINL</v>
          </cell>
          <cell r="E65">
            <v>0.99999999999999989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100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-100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</row>
        <row r="66">
          <cell r="B66" t="str">
            <v>BRS029DE4</v>
          </cell>
          <cell r="C66" t="str">
            <v>BBG TIPS 5-10 Year Index</v>
          </cell>
          <cell r="D66" t="str">
            <v>LTIPS5-10</v>
          </cell>
          <cell r="E66">
            <v>1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-100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100</v>
          </cell>
        </row>
        <row r="67">
          <cell r="B67" t="str">
            <v>BRS18RDA4</v>
          </cell>
          <cell r="C67" t="str">
            <v>Bloomberg U.S. Corporate High Yield 2% I</v>
          </cell>
          <cell r="D67" t="str">
            <v>LHY2ICAP</v>
          </cell>
          <cell r="E67">
            <v>1.0000000000000002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-100.0000000000003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100.0000000000003</v>
          </cell>
        </row>
        <row r="68">
          <cell r="B68" t="str">
            <v>BRS1RYD42</v>
          </cell>
          <cell r="C68" t="str">
            <v xml:space="preserve">BBG US Government Inflation-Linked Bond </v>
          </cell>
          <cell r="D68" t="str">
            <v>BCLYUSDIL</v>
          </cell>
          <cell r="E68">
            <v>1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-100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100</v>
          </cell>
        </row>
        <row r="69">
          <cell r="B69" t="str">
            <v>B06040008</v>
          </cell>
          <cell r="C69" t="str">
            <v>JP Morgan EMBI Global Diversified Index</v>
          </cell>
          <cell r="D69" t="str">
            <v>EMBIGLDIV</v>
          </cell>
          <cell r="E69">
            <v>1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-99.999999999999844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99.999999999999844</v>
          </cell>
        </row>
        <row r="70">
          <cell r="B70" t="str">
            <v>BRS2NHTA0</v>
          </cell>
          <cell r="C70" t="str">
            <v>MSCI Emerging Markets Index</v>
          </cell>
          <cell r="D70" t="str">
            <v>MS_EM</v>
          </cell>
          <cell r="E70">
            <v>1.0000000000000002</v>
          </cell>
          <cell r="L70">
            <v>1.1852283026919415</v>
          </cell>
          <cell r="M70">
            <v>0</v>
          </cell>
          <cell r="N70">
            <v>5.1338091174771874</v>
          </cell>
          <cell r="O70">
            <v>0</v>
          </cell>
          <cell r="P70">
            <v>0</v>
          </cell>
          <cell r="Q70">
            <v>0.4271993581303456</v>
          </cell>
          <cell r="R70">
            <v>3.6511569566592623</v>
          </cell>
          <cell r="S70">
            <v>0.10335209322553947</v>
          </cell>
          <cell r="T70">
            <v>0.128425805920973</v>
          </cell>
          <cell r="U70">
            <v>0</v>
          </cell>
          <cell r="V70">
            <v>0</v>
          </cell>
          <cell r="W70">
            <v>0</v>
          </cell>
          <cell r="X70">
            <v>7.4567339934192581E-2</v>
          </cell>
          <cell r="Y70">
            <v>0.52424804978237627</v>
          </cell>
          <cell r="Z70">
            <v>4.4781615276786813E-2</v>
          </cell>
          <cell r="AA70">
            <v>20.307902368844481</v>
          </cell>
          <cell r="AB70">
            <v>0.24327689046022336</v>
          </cell>
          <cell r="AC70">
            <v>1.7353494674780157</v>
          </cell>
          <cell r="AD70">
            <v>0</v>
          </cell>
          <cell r="AE70">
            <v>20.342320168482861</v>
          </cell>
          <cell r="AF70">
            <v>0</v>
          </cell>
          <cell r="AG70">
            <v>0</v>
          </cell>
          <cell r="AH70">
            <v>11.403819378406402</v>
          </cell>
          <cell r="AI70">
            <v>0.73091292033482014</v>
          </cell>
          <cell r="AJ70">
            <v>1.9810431770223988</v>
          </cell>
          <cell r="AK70">
            <v>1.560584301839951</v>
          </cell>
          <cell r="AL70">
            <v>0</v>
          </cell>
          <cell r="AM70">
            <v>0</v>
          </cell>
          <cell r="AN70">
            <v>0.29438575452860238</v>
          </cell>
          <cell r="AO70">
            <v>0.57512546407592036</v>
          </cell>
          <cell r="AP70">
            <v>-99.059918977166504</v>
          </cell>
          <cell r="AQ70">
            <v>0.79249893341438971</v>
          </cell>
          <cell r="AR70">
            <v>5.870215162008019E-2</v>
          </cell>
          <cell r="AS70">
            <v>0</v>
          </cell>
          <cell r="AT70">
            <v>0</v>
          </cell>
          <cell r="AU70">
            <v>4.0393240283164316</v>
          </cell>
          <cell r="AV70">
            <v>0</v>
          </cell>
          <cell r="AW70">
            <v>0</v>
          </cell>
          <cell r="AX70">
            <v>1.4380078168945987</v>
          </cell>
          <cell r="AY70">
            <v>0.69391750216467629</v>
          </cell>
          <cell r="AZ70">
            <v>18.245358145354935</v>
          </cell>
          <cell r="BA70">
            <v>0</v>
          </cell>
          <cell r="BB70">
            <v>2.9781882437634621</v>
          </cell>
          <cell r="BC70">
            <v>0.36643362506565941</v>
          </cell>
        </row>
        <row r="71">
          <cell r="B71" t="str">
            <v>B00101939</v>
          </cell>
          <cell r="C71" t="str">
            <v>BBG MBS Index</v>
          </cell>
          <cell r="D71" t="str">
            <v>LEH_MBS</v>
          </cell>
          <cell r="E71">
            <v>1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-100.00000000000006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100.00000000000006</v>
          </cell>
        </row>
        <row r="72">
          <cell r="B72" t="str">
            <v>BRSBCB0K4</v>
          </cell>
          <cell r="C72" t="str">
            <v xml:space="preserve">BBG US Government Inflation-Linked Bond </v>
          </cell>
          <cell r="D72" t="str">
            <v>BCLYUS10YR</v>
          </cell>
          <cell r="E72">
            <v>1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-100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100</v>
          </cell>
        </row>
        <row r="73">
          <cell r="B73" t="str">
            <v>BRWFAGPW8</v>
          </cell>
          <cell r="C73" t="str">
            <v>MSCI EMU/INFORMATION TECH Index</v>
          </cell>
          <cell r="D73" t="str">
            <v>MS_EMU45</v>
          </cell>
          <cell r="E73">
            <v>1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100.00000000000003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-100.00000000000003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</row>
        <row r="74">
          <cell r="B74" t="str">
            <v>B00216299</v>
          </cell>
          <cell r="C74" t="str">
            <v>BBG Intermediate Credit Index</v>
          </cell>
          <cell r="D74" t="str">
            <v>LCREDINT</v>
          </cell>
          <cell r="E74">
            <v>1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-99.999999999999844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99.999999999999844</v>
          </cell>
        </row>
        <row r="75">
          <cell r="B75" t="str">
            <v>BRSB6JBN6</v>
          </cell>
          <cell r="C75" t="str">
            <v>BBG Sterling Aggregate: Gilts 10+ Year I</v>
          </cell>
          <cell r="D75" t="str">
            <v>LSTRG10PLS</v>
          </cell>
          <cell r="E75">
            <v>1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100.00000000000003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-100.00000000000003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</row>
        <row r="76">
          <cell r="B76" t="str">
            <v>BRSC6F285</v>
          </cell>
          <cell r="C76" t="str">
            <v>FTSE All Stocks Gilts Over 10 Years Inde</v>
          </cell>
          <cell r="D76" t="str">
            <v>FTSASGO10</v>
          </cell>
          <cell r="E76">
            <v>1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100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-100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</row>
        <row r="77">
          <cell r="B77" t="str">
            <v>B02404059</v>
          </cell>
          <cell r="C77" t="str">
            <v>BBG Treasury 5-10 Yr Index</v>
          </cell>
          <cell r="D77" t="str">
            <v>LTSY5-10</v>
          </cell>
          <cell r="E77">
            <v>1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-99.999999999999972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99.999999999999972</v>
          </cell>
        </row>
        <row r="78">
          <cell r="B78" t="str">
            <v>BRSJ0K9W5</v>
          </cell>
          <cell r="C78" t="str">
            <v>ICE BofA ABS Fixed &amp; Floating Rate / CMB</v>
          </cell>
          <cell r="D78" t="str">
            <v>MLABSCMBS</v>
          </cell>
          <cell r="E78">
            <v>1</v>
          </cell>
          <cell r="L78">
            <v>0</v>
          </cell>
          <cell r="M78">
            <v>0</v>
          </cell>
          <cell r="N78">
            <v>0</v>
          </cell>
          <cell r="O78">
            <v>0.19556185121625677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-100.00000000000016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99.804438148783888</v>
          </cell>
        </row>
        <row r="79">
          <cell r="B79" t="str">
            <v>B01520020</v>
          </cell>
          <cell r="C79" t="str">
            <v>BBG Government Index</v>
          </cell>
          <cell r="D79" t="str">
            <v>GOVERNMENT</v>
          </cell>
          <cell r="E79">
            <v>1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-100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100</v>
          </cell>
        </row>
        <row r="80">
          <cell r="B80" t="str">
            <v>BRT1D5PP9</v>
          </cell>
          <cell r="C80" t="str">
            <v>INF - Diversified Global</v>
          </cell>
          <cell r="E80">
            <v>1</v>
          </cell>
          <cell r="L80">
            <v>0</v>
          </cell>
          <cell r="M80">
            <v>0.45999999999999996</v>
          </cell>
          <cell r="N80">
            <v>0</v>
          </cell>
          <cell r="O80">
            <v>1.89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35.32</v>
          </cell>
          <cell r="Z80">
            <v>1.48</v>
          </cell>
          <cell r="AA80">
            <v>0</v>
          </cell>
          <cell r="AB80">
            <v>0</v>
          </cell>
          <cell r="AC80">
            <v>0</v>
          </cell>
          <cell r="AD80">
            <v>0.39000000000000007</v>
          </cell>
          <cell r="AE80">
            <v>0.28999999999999998</v>
          </cell>
          <cell r="AF80">
            <v>0</v>
          </cell>
          <cell r="AG80">
            <v>0.13</v>
          </cell>
          <cell r="AH80">
            <v>0</v>
          </cell>
          <cell r="AI80">
            <v>0</v>
          </cell>
          <cell r="AJ80">
            <v>8.0000000000000016E-2</v>
          </cell>
          <cell r="AK80">
            <v>0</v>
          </cell>
          <cell r="AL80">
            <v>0.81000000000000016</v>
          </cell>
          <cell r="AM80">
            <v>0</v>
          </cell>
          <cell r="AN80">
            <v>0</v>
          </cell>
          <cell r="AO80">
            <v>0</v>
          </cell>
          <cell r="AP80">
            <v>-100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0.21</v>
          </cell>
          <cell r="BC80">
            <v>58.940000000000005</v>
          </cell>
        </row>
        <row r="81">
          <cell r="B81" t="str">
            <v>BRTG30Z93</v>
          </cell>
          <cell r="C81" t="str">
            <v>BBG US Govt Inflation-Linked 1-5Yrs</v>
          </cell>
          <cell r="D81" t="str">
            <v>BUKIL1-5</v>
          </cell>
          <cell r="E81">
            <v>1.0000000000000002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-100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100</v>
          </cell>
        </row>
        <row r="82">
          <cell r="B82" t="str">
            <v>BRT9QGML6</v>
          </cell>
          <cell r="C82" t="str">
            <v>MSCI Emerging Markets ex China (Net)</v>
          </cell>
          <cell r="D82" t="str">
            <v>MS_EMXCNN</v>
          </cell>
          <cell r="E82">
            <v>1</v>
          </cell>
          <cell r="L82">
            <v>1.5586712791540487</v>
          </cell>
          <cell r="M82">
            <v>0</v>
          </cell>
          <cell r="N82">
            <v>6.7513750776087429</v>
          </cell>
          <cell r="O82">
            <v>0</v>
          </cell>
          <cell r="P82">
            <v>0</v>
          </cell>
          <cell r="Q82">
            <v>0.56180177985834212</v>
          </cell>
          <cell r="R82">
            <v>0</v>
          </cell>
          <cell r="S82">
            <v>0.13591637913575064</v>
          </cell>
          <cell r="T82">
            <v>0.16889034351996968</v>
          </cell>
          <cell r="U82">
            <v>0</v>
          </cell>
          <cell r="V82">
            <v>0</v>
          </cell>
          <cell r="W82">
            <v>0</v>
          </cell>
          <cell r="X82">
            <v>9.8062095593199505E-2</v>
          </cell>
          <cell r="Y82">
            <v>0.6894286750429639</v>
          </cell>
          <cell r="Z82">
            <v>5.8891453576936592E-2</v>
          </cell>
          <cell r="AA82">
            <v>0</v>
          </cell>
          <cell r="AB82">
            <v>0.3199288282105871</v>
          </cell>
          <cell r="AC82">
            <v>2.2821251974070398</v>
          </cell>
          <cell r="AD82">
            <v>0</v>
          </cell>
          <cell r="AE82">
            <v>26.751799738460605</v>
          </cell>
          <cell r="AF82">
            <v>0</v>
          </cell>
          <cell r="AG82">
            <v>0</v>
          </cell>
          <cell r="AH82">
            <v>14.996946746387625</v>
          </cell>
          <cell r="AI82">
            <v>0.96120972972124885</v>
          </cell>
          <cell r="AJ82">
            <v>2.6052323385931389</v>
          </cell>
          <cell r="AK82">
            <v>2.0522948401180998</v>
          </cell>
          <cell r="AL82">
            <v>0</v>
          </cell>
          <cell r="AM82">
            <v>0</v>
          </cell>
          <cell r="AN82">
            <v>0.38714112676322809</v>
          </cell>
          <cell r="AO82">
            <v>0.75633659838300138</v>
          </cell>
          <cell r="AP82">
            <v>-98.763717262707814</v>
          </cell>
          <cell r="AQ82">
            <v>1.0422003283820378</v>
          </cell>
          <cell r="AR82">
            <v>7.7198087108578645E-2</v>
          </cell>
          <cell r="AS82">
            <v>0</v>
          </cell>
          <cell r="AT82">
            <v>0</v>
          </cell>
          <cell r="AU82">
            <v>5.3120384788601145</v>
          </cell>
          <cell r="AV82">
            <v>0</v>
          </cell>
          <cell r="AW82">
            <v>0</v>
          </cell>
          <cell r="AX82">
            <v>1.8910968277604443</v>
          </cell>
          <cell r="AY82">
            <v>0.91255775640005121</v>
          </cell>
          <cell r="AZ82">
            <v>23.994124722176611</v>
          </cell>
          <cell r="BA82">
            <v>0</v>
          </cell>
          <cell r="BB82">
            <v>3.916558918585729</v>
          </cell>
          <cell r="BC82">
            <v>0.48188991589973029</v>
          </cell>
        </row>
        <row r="83">
          <cell r="B83" t="str">
            <v>BRTAQ5VH6</v>
          </cell>
          <cell r="C83" t="str">
            <v>CMA - Real estate mezzanine debt unhedge</v>
          </cell>
          <cell r="D83" t="str">
            <v>CMA_WMEZUH</v>
          </cell>
          <cell r="E83">
            <v>1</v>
          </cell>
          <cell r="L83">
            <v>0</v>
          </cell>
          <cell r="M83">
            <v>2.2399999999999989</v>
          </cell>
          <cell r="N83">
            <v>0</v>
          </cell>
          <cell r="O83">
            <v>0</v>
          </cell>
          <cell r="P83">
            <v>1.250848854790175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8.0999999999999944E-3</v>
          </cell>
          <cell r="W83">
            <v>0</v>
          </cell>
          <cell r="X83">
            <v>0</v>
          </cell>
          <cell r="Y83">
            <v>19.047867981704385</v>
          </cell>
          <cell r="Z83">
            <v>6.2628682130010773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3.1299999999999981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0.25761666794843796</v>
          </cell>
          <cell r="AM83">
            <v>0</v>
          </cell>
          <cell r="AN83">
            <v>0</v>
          </cell>
          <cell r="AO83">
            <v>0</v>
          </cell>
          <cell r="AP83">
            <v>-99.769899999999964</v>
          </cell>
          <cell r="AQ83">
            <v>0</v>
          </cell>
          <cell r="AR83">
            <v>0</v>
          </cell>
          <cell r="AS83">
            <v>0</v>
          </cell>
          <cell r="AT83">
            <v>0.42159999999999986</v>
          </cell>
          <cell r="AU83">
            <v>0</v>
          </cell>
          <cell r="AV83">
            <v>1.5184499999999992</v>
          </cell>
          <cell r="AW83">
            <v>0.9199999999999996</v>
          </cell>
          <cell r="AX83">
            <v>0</v>
          </cell>
          <cell r="AY83">
            <v>0.67829999999999957</v>
          </cell>
          <cell r="AZ83">
            <v>0</v>
          </cell>
          <cell r="BA83">
            <v>0</v>
          </cell>
          <cell r="BB83">
            <v>0</v>
          </cell>
          <cell r="BC83">
            <v>64.034248282555893</v>
          </cell>
        </row>
        <row r="84">
          <cell r="B84" t="str">
            <v>BRSLC50S8</v>
          </cell>
          <cell r="C84" t="str">
            <v>RE - Core Global</v>
          </cell>
          <cell r="E84">
            <v>1</v>
          </cell>
          <cell r="L84">
            <v>0</v>
          </cell>
          <cell r="M84">
            <v>4.4800000000000004</v>
          </cell>
          <cell r="N84">
            <v>0</v>
          </cell>
          <cell r="O84">
            <v>0</v>
          </cell>
          <cell r="P84">
            <v>2.4877499999999997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1.6240000000000001E-2</v>
          </cell>
          <cell r="W84">
            <v>0</v>
          </cell>
          <cell r="X84">
            <v>0</v>
          </cell>
          <cell r="Y84">
            <v>21.257569999999994</v>
          </cell>
          <cell r="Z84">
            <v>10.61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6.26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0.5115599999999999</v>
          </cell>
          <cell r="AM84">
            <v>0</v>
          </cell>
          <cell r="AN84">
            <v>0</v>
          </cell>
          <cell r="AO84">
            <v>0</v>
          </cell>
          <cell r="AP84">
            <v>-99.539820000000006</v>
          </cell>
          <cell r="AQ84">
            <v>0</v>
          </cell>
          <cell r="AR84">
            <v>0</v>
          </cell>
          <cell r="AS84">
            <v>0</v>
          </cell>
          <cell r="AT84">
            <v>0.84321999999999997</v>
          </cell>
          <cell r="AU84">
            <v>0</v>
          </cell>
          <cell r="AV84">
            <v>3.03688</v>
          </cell>
          <cell r="AW84">
            <v>1.8399999999999999</v>
          </cell>
          <cell r="AX84">
            <v>0</v>
          </cell>
          <cell r="AY84">
            <v>1.3566000000000003</v>
          </cell>
          <cell r="AZ84">
            <v>0</v>
          </cell>
          <cell r="BA84">
            <v>0</v>
          </cell>
          <cell r="BB84">
            <v>0</v>
          </cell>
          <cell r="BC84">
            <v>46.84</v>
          </cell>
        </row>
        <row r="85">
          <cell r="B85" t="str">
            <v>BRS2NHL83</v>
          </cell>
          <cell r="C85" t="str">
            <v>MSCI Developed - Canada</v>
          </cell>
          <cell r="D85" t="str">
            <v>MS_CA</v>
          </cell>
          <cell r="E85">
            <v>1</v>
          </cell>
          <cell r="L85">
            <v>0</v>
          </cell>
          <cell r="M85">
            <v>0</v>
          </cell>
          <cell r="N85">
            <v>0</v>
          </cell>
          <cell r="O85">
            <v>98.532561333429896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-100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1.4674386665701089</v>
          </cell>
        </row>
        <row r="86">
          <cell r="B86" t="str">
            <v>BRWUM3099</v>
          </cell>
          <cell r="C86" t="str">
            <v>CMA - Infra Debt Unhedged</v>
          </cell>
          <cell r="D86" t="str">
            <v>CMA_GIDUHD</v>
          </cell>
          <cell r="E86">
            <v>1</v>
          </cell>
          <cell r="L86">
            <v>0</v>
          </cell>
          <cell r="M86">
            <v>0</v>
          </cell>
          <cell r="N86">
            <v>0</v>
          </cell>
          <cell r="O86">
            <v>5.4106425921903609</v>
          </cell>
          <cell r="P86">
            <v>0.14435892335046405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23.970798311457639</v>
          </cell>
          <cell r="Z86">
            <v>5.968576705440154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8.7464900148482572E-3</v>
          </cell>
          <cell r="AM86">
            <v>0</v>
          </cell>
          <cell r="AN86">
            <v>0</v>
          </cell>
          <cell r="AO86">
            <v>0</v>
          </cell>
          <cell r="AP86">
            <v>-100.00000000000009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1.3444371996120115E-2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64.48343260555049</v>
          </cell>
        </row>
        <row r="87">
          <cell r="B87" t="str">
            <v>BRSM5U6L8</v>
          </cell>
          <cell r="C87" t="str">
            <v>ICE BofA Global Government Bonds G7 1-10</v>
          </cell>
          <cell r="D87" t="str">
            <v>MLW5G7USH</v>
          </cell>
          <cell r="E87">
            <v>1</v>
          </cell>
          <cell r="L87">
            <v>0</v>
          </cell>
          <cell r="M87">
            <v>0</v>
          </cell>
          <cell r="N87">
            <v>0</v>
          </cell>
          <cell r="O87">
            <v>1.3184641317034668E-2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9.6804238241693791E-2</v>
          </cell>
          <cell r="Z87">
            <v>2.6340236397586796E-2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4.9669244128475988E-2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-99.999926249401128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99.813927889316332</v>
          </cell>
        </row>
        <row r="88">
          <cell r="B88" t="str">
            <v>BRS1LX887</v>
          </cell>
          <cell r="C88" t="str">
            <v>BBG Global High Yield Index</v>
          </cell>
          <cell r="D88" t="str">
            <v>LEHGLBHY</v>
          </cell>
          <cell r="E88">
            <v>1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1.3997709580351254E-2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16.838135963408781</v>
          </cell>
          <cell r="Z88">
            <v>1.9157364260021599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3.6333358968761702E-3</v>
          </cell>
          <cell r="AM88">
            <v>0</v>
          </cell>
          <cell r="AN88">
            <v>0</v>
          </cell>
          <cell r="AO88">
            <v>0</v>
          </cell>
          <cell r="AP88">
            <v>-99.999999999999915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81.228496565111755</v>
          </cell>
        </row>
        <row r="89">
          <cell r="B89" t="str">
            <v>BRS14KDH8</v>
          </cell>
          <cell r="C89" t="str">
            <v>BBG Treasury 1-10 Yr Index</v>
          </cell>
          <cell r="D89" t="str">
            <v>LTSY1-10</v>
          </cell>
          <cell r="E89">
            <v>1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-99.999999999999957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99.999999999999957</v>
          </cell>
        </row>
        <row r="90">
          <cell r="B90" t="str">
            <v>BRSM5Y7T2</v>
          </cell>
          <cell r="C90" t="str">
            <v>BBG Sterling Corporates 10-20 Years Inde</v>
          </cell>
          <cell r="D90" t="str">
            <v>B28355EUR</v>
          </cell>
          <cell r="E90">
            <v>1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99.999999999999986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-100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1.7966634483589833E-14</v>
          </cell>
        </row>
        <row r="91">
          <cell r="B91" t="str">
            <v>BRYPSXJD7</v>
          </cell>
          <cell r="C91" t="str">
            <v>MSCI EM (Emerging Markets) ex China ex I</v>
          </cell>
          <cell r="D91" t="str">
            <v>M738173USD</v>
          </cell>
          <cell r="E91">
            <v>1</v>
          </cell>
          <cell r="L91">
            <v>2.1279311622519983</v>
          </cell>
          <cell r="M91">
            <v>0</v>
          </cell>
          <cell r="N91">
            <v>9.2171207667933555</v>
          </cell>
          <cell r="O91">
            <v>0</v>
          </cell>
          <cell r="P91">
            <v>0</v>
          </cell>
          <cell r="Q91">
            <v>0.76698373182191038</v>
          </cell>
          <cell r="R91">
            <v>0</v>
          </cell>
          <cell r="S91">
            <v>0.1855559299074224</v>
          </cell>
          <cell r="T91">
            <v>0.23057268699699252</v>
          </cell>
          <cell r="U91">
            <v>0</v>
          </cell>
          <cell r="V91">
            <v>0</v>
          </cell>
          <cell r="W91">
            <v>0</v>
          </cell>
          <cell r="X91">
            <v>0.13387645736422146</v>
          </cell>
          <cell r="Y91">
            <v>0.94122268203352821</v>
          </cell>
          <cell r="Z91">
            <v>8.0399864251489025E-2</v>
          </cell>
          <cell r="AA91">
            <v>0</v>
          </cell>
          <cell r="AB91">
            <v>0.43677363685148785</v>
          </cell>
          <cell r="AC91">
            <v>3.1156058295746503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20.4741504812946</v>
          </cell>
          <cell r="AI91">
            <v>1.3122639550038913</v>
          </cell>
          <cell r="AJ91">
            <v>3.5567185668602299</v>
          </cell>
          <cell r="AK91">
            <v>2.8018365404067129</v>
          </cell>
          <cell r="AL91">
            <v>0</v>
          </cell>
          <cell r="AM91">
            <v>0</v>
          </cell>
          <cell r="AN91">
            <v>0.52853329553614237</v>
          </cell>
          <cell r="AO91">
            <v>1.03256680120799</v>
          </cell>
          <cell r="AP91">
            <v>-98.312200527961011</v>
          </cell>
          <cell r="AQ91">
            <v>1.4228340418751104</v>
          </cell>
          <cell r="AR91">
            <v>0.10539246948448659</v>
          </cell>
          <cell r="AS91">
            <v>0</v>
          </cell>
          <cell r="AT91">
            <v>0</v>
          </cell>
          <cell r="AU91">
            <v>7.252107846872673</v>
          </cell>
          <cell r="AV91">
            <v>0</v>
          </cell>
          <cell r="AW91">
            <v>0</v>
          </cell>
          <cell r="AX91">
            <v>2.5817655874248198</v>
          </cell>
          <cell r="AY91">
            <v>1.2458432468534091</v>
          </cell>
          <cell r="AZ91">
            <v>32.757289102671962</v>
          </cell>
          <cell r="BA91">
            <v>0</v>
          </cell>
          <cell r="BB91">
            <v>5.3469694881256995</v>
          </cell>
          <cell r="BC91">
            <v>0.65788635649623461</v>
          </cell>
        </row>
        <row r="92">
          <cell r="B92" t="str">
            <v>BRTDPC6C5</v>
          </cell>
          <cell r="C92" t="str">
            <v>BBG China Treasury + Policy Bank Total R</v>
          </cell>
          <cell r="D92" t="str">
            <v>BBGTPBTR</v>
          </cell>
          <cell r="E92">
            <v>1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100.00000000000003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-100.00000000000003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</row>
        <row r="93">
          <cell r="B93" t="str">
            <v>BRSALQX68</v>
          </cell>
          <cell r="C93" t="str">
            <v>USD Cash Benchmark</v>
          </cell>
          <cell r="D93" t="str">
            <v>USDCASHBMK</v>
          </cell>
          <cell r="E93">
            <v>1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-100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100</v>
          </cell>
        </row>
        <row r="94">
          <cell r="B94" t="str">
            <v>B00766442</v>
          </cell>
          <cell r="C94" t="str">
            <v>BBG Treasury 1-5 Yr Index</v>
          </cell>
          <cell r="D94" t="str">
            <v>LTSY1-5</v>
          </cell>
          <cell r="E94">
            <v>1.0000000000000002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-99.999999999999972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99.999999999999972</v>
          </cell>
        </row>
        <row r="95">
          <cell r="B95" t="str">
            <v>BRSDAJPS1</v>
          </cell>
          <cell r="C95" t="str">
            <v>CNY Cash Benchmark</v>
          </cell>
          <cell r="D95" t="str">
            <v>CNYCASHBMK</v>
          </cell>
          <cell r="E95">
            <v>1.0000000000000002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100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-100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</row>
        <row r="96">
          <cell r="B96" t="str">
            <v>BRS2NHT69</v>
          </cell>
          <cell r="C96" t="str">
            <v>MSCI Developed - United Kingdom</v>
          </cell>
          <cell r="D96" t="str">
            <v>MS_GB</v>
          </cell>
          <cell r="E96">
            <v>1</v>
          </cell>
          <cell r="L96">
            <v>0</v>
          </cell>
          <cell r="M96">
            <v>0</v>
          </cell>
          <cell r="N96">
            <v>0</v>
          </cell>
          <cell r="O96">
            <v>0.15068909667218697</v>
          </cell>
          <cell r="P96">
            <v>0</v>
          </cell>
          <cell r="Q96">
            <v>0.37157819066921105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0.58235655029436328</v>
          </cell>
          <cell r="Z96">
            <v>98.895376162364229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-99.999999999999972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-1.7966634483589833E-14</v>
          </cell>
        </row>
        <row r="97">
          <cell r="B97" t="str">
            <v>BRS26QNA5</v>
          </cell>
          <cell r="C97" t="str">
            <v>FTSE Actuaries UK Conventional Gilts All</v>
          </cell>
          <cell r="D97" t="str">
            <v>FTSEASGILT</v>
          </cell>
          <cell r="E97">
            <v>1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100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-100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</row>
        <row r="98">
          <cell r="B98" t="str">
            <v>BRS98Q5C4</v>
          </cell>
          <cell r="C98" t="str">
            <v>BBG Asian Pacific Japan Treasury</v>
          </cell>
          <cell r="D98" t="str">
            <v>BCAPJYJGB</v>
          </cell>
          <cell r="E98">
            <v>1.0000000000000002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100.00000000000013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-100.00000000000013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</row>
        <row r="99">
          <cell r="B99" t="str">
            <v>BRSD8ELA8</v>
          </cell>
          <cell r="C99" t="str">
            <v>BBG Japanese Credit Index</v>
          </cell>
          <cell r="D99" t="str">
            <v>LEHCREDJP</v>
          </cell>
          <cell r="E99">
            <v>0.99999999999999989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100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-100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</row>
        <row r="100">
          <cell r="B100" t="str">
            <v>BRSC6F368</v>
          </cell>
          <cell r="C100" t="str">
            <v>FTSE All Stocks Gilts between 5-10 Years</v>
          </cell>
          <cell r="D100" t="str">
            <v>FTASG5T10</v>
          </cell>
          <cell r="E100">
            <v>0.99999999999999989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100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-100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</row>
        <row r="101">
          <cell r="B101" t="str">
            <v>BRS7ZVX51</v>
          </cell>
          <cell r="C101" t="str">
            <v>BBG Sterling Aggregate Corporate Bond In</v>
          </cell>
          <cell r="D101" t="str">
            <v>BSTERCORP</v>
          </cell>
          <cell r="E101">
            <v>1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100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-100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</row>
        <row r="102">
          <cell r="B102" t="str">
            <v>BRSC6UDF4</v>
          </cell>
          <cell r="C102" t="str">
            <v>MSCI Daily TR Gross Developed Pacific Ex</v>
          </cell>
          <cell r="D102" t="str">
            <v>MSPAXJPNET</v>
          </cell>
          <cell r="E102">
            <v>1</v>
          </cell>
          <cell r="L102">
            <v>0</v>
          </cell>
          <cell r="M102">
            <v>68.558945517893008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16.399226021284033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2.4110266273560144</v>
          </cell>
          <cell r="AN102">
            <v>0</v>
          </cell>
          <cell r="AO102">
            <v>0</v>
          </cell>
          <cell r="AP102">
            <v>-100.00000000000006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12.630801833467018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-1.3474975862692375E-14</v>
          </cell>
        </row>
        <row r="103">
          <cell r="B103" t="str">
            <v>BRSAMRUN1</v>
          </cell>
          <cell r="C103" t="str">
            <v>JPY Cash Benchmark</v>
          </cell>
          <cell r="D103" t="str">
            <v>JPYCASHBMK</v>
          </cell>
          <cell r="E103">
            <v>1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100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-100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</row>
        <row r="104">
          <cell r="B104" t="str">
            <v>BRSCS1TV2</v>
          </cell>
          <cell r="C104" t="str">
            <v>CAD Cash Benchmark</v>
          </cell>
          <cell r="D104" t="str">
            <v>CADCASHBMK</v>
          </cell>
          <cell r="E104">
            <v>1</v>
          </cell>
          <cell r="L104">
            <v>0</v>
          </cell>
          <cell r="M104">
            <v>0</v>
          </cell>
          <cell r="N104">
            <v>0</v>
          </cell>
          <cell r="O104">
            <v>100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-100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</row>
        <row r="105">
          <cell r="B105" t="str">
            <v>BRWFALUZ4</v>
          </cell>
          <cell r="C105" t="str">
            <v>MSCI EMU/INDUSTRIALS</v>
          </cell>
          <cell r="D105" t="str">
            <v>MS106696</v>
          </cell>
          <cell r="E105">
            <v>1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99.634945833121719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-99.634945833121733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1.7966634483589833E-14</v>
          </cell>
        </row>
        <row r="106">
          <cell r="B106" t="str">
            <v>BRSM5U4X4</v>
          </cell>
          <cell r="C106" t="str">
            <v>BBG Sterling Aggregate Corp 1-10 years I</v>
          </cell>
          <cell r="D106" t="str">
            <v>B17389EUR</v>
          </cell>
          <cell r="E106">
            <v>1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99.999999999999986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-100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1.7966634483589833E-14</v>
          </cell>
        </row>
        <row r="107">
          <cell r="B107" t="str">
            <v>BRT7CJEE4</v>
          </cell>
          <cell r="C107" t="str">
            <v>BBG Sterling Aggregate Gilts (1-10)</v>
          </cell>
          <cell r="D107" t="str">
            <v>B31677GBP</v>
          </cell>
          <cell r="E107">
            <v>1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100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-100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</row>
        <row r="108">
          <cell r="B108" t="str">
            <v>BRWFALY31</v>
          </cell>
          <cell r="C108" t="str">
            <v>MSCI EMU/CONSUMER DISCR</v>
          </cell>
          <cell r="D108" t="str">
            <v>MS106697</v>
          </cell>
          <cell r="E108">
            <v>1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100.00000000000003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-100.00000000000003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</row>
        <row r="109">
          <cell r="B109" t="str">
            <v>BRS2HF2E2</v>
          </cell>
          <cell r="C109" t="str">
            <v xml:space="preserve">FTSE Actuaries UK Index-Linked Gilts up </v>
          </cell>
          <cell r="D109" t="str">
            <v>FTILGLTL5</v>
          </cell>
          <cell r="E109">
            <v>1.0000000000000002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100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-100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</row>
        <row r="110">
          <cell r="B110" t="str">
            <v>B06384109</v>
          </cell>
          <cell r="C110" t="str">
            <v>MSCI Europe Gross TR Index</v>
          </cell>
          <cell r="D110" t="str">
            <v>MS_EU</v>
          </cell>
          <cell r="E110">
            <v>1</v>
          </cell>
          <cell r="L110">
            <v>0</v>
          </cell>
          <cell r="M110">
            <v>0</v>
          </cell>
          <cell r="N110">
            <v>0</v>
          </cell>
          <cell r="O110">
            <v>3.4034355178053741E-2</v>
          </cell>
          <cell r="P110">
            <v>15.344903860011947</v>
          </cell>
          <cell r="Q110">
            <v>8.3923949356242186E-2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5.7219862317135046</v>
          </cell>
          <cell r="W110">
            <v>0</v>
          </cell>
          <cell r="X110">
            <v>0</v>
          </cell>
          <cell r="Y110">
            <v>50.210165116199086</v>
          </cell>
          <cell r="Z110">
            <v>22.336323145524389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0.87210307872890525</v>
          </cell>
          <cell r="AM110">
            <v>0</v>
          </cell>
          <cell r="AN110">
            <v>0</v>
          </cell>
          <cell r="AO110">
            <v>0</v>
          </cell>
          <cell r="AP110">
            <v>-99.921913972530334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5.3184742358181945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5.6145732761218228E-15</v>
          </cell>
        </row>
        <row r="111">
          <cell r="B111" t="str">
            <v>B06384117</v>
          </cell>
          <cell r="C111" t="str">
            <v>MSCI Developed Europe ex UK Gross TR Ind</v>
          </cell>
          <cell r="D111" t="str">
            <v>MS_EUXUK</v>
          </cell>
          <cell r="E111">
            <v>0.99999999999999989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19.821823541592131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7.391392114747112</v>
          </cell>
          <cell r="W111">
            <v>0</v>
          </cell>
          <cell r="X111">
            <v>0</v>
          </cell>
          <cell r="Y111">
            <v>64.68922050483414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1.1265416515050184</v>
          </cell>
          <cell r="AM111">
            <v>0</v>
          </cell>
          <cell r="AN111">
            <v>0</v>
          </cell>
          <cell r="AO111">
            <v>0</v>
          </cell>
          <cell r="AP111">
            <v>-99.899132150211699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6.8701543375332843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-1.1229146552243648E-15</v>
          </cell>
        </row>
        <row r="112">
          <cell r="B112" t="str">
            <v>BRS6WE6V7</v>
          </cell>
          <cell r="C112" t="str">
            <v>BBG Euro Agg Treasury 15 plus</v>
          </cell>
          <cell r="D112" t="str">
            <v>LEURTY15P</v>
          </cell>
          <cell r="E112">
            <v>1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100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-100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</row>
        <row r="113">
          <cell r="B113" t="str">
            <v>BRS8KCA78</v>
          </cell>
          <cell r="C113" t="str">
            <v>BBG Euro-Agg Corp Long Index</v>
          </cell>
          <cell r="D113" t="str">
            <v>BEUAGCPLNG</v>
          </cell>
          <cell r="E113">
            <v>1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100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-100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</row>
        <row r="114">
          <cell r="B114" t="str">
            <v>BRS26QD24</v>
          </cell>
          <cell r="C114" t="str">
            <v xml:space="preserve">FTSE Actuaries UK Conventional Gilts up </v>
          </cell>
          <cell r="D114" t="str">
            <v>FTGLTL5</v>
          </cell>
          <cell r="E114">
            <v>1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100.00000000000003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-100.00000000000003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</row>
        <row r="115">
          <cell r="B115" t="str">
            <v>BRWFAM6N6</v>
          </cell>
          <cell r="C115" t="str">
            <v>MSCI EMU/HEALTH CARE</v>
          </cell>
          <cell r="D115" t="str">
            <v>MS106699</v>
          </cell>
          <cell r="E115">
            <v>1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99.999999999999957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-99.999999999999957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</row>
        <row r="116">
          <cell r="B116" t="str">
            <v>BRTD3ZAC3</v>
          </cell>
          <cell r="C116" t="str">
            <v xml:space="preserve">BBG Inflation Linked Eurozone Inflation </v>
          </cell>
          <cell r="D116" t="str">
            <v>B20720EUR</v>
          </cell>
          <cell r="E116">
            <v>1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100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-100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</row>
        <row r="117">
          <cell r="B117" t="str">
            <v>BRSAMQMN2</v>
          </cell>
          <cell r="C117" t="str">
            <v>GBP Cash Benchmark</v>
          </cell>
          <cell r="D117" t="str">
            <v>GBPCASHBMK</v>
          </cell>
          <cell r="E117">
            <v>1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100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-100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</row>
        <row r="118">
          <cell r="B118" t="str">
            <v>BRWFALRK1</v>
          </cell>
          <cell r="C118" t="str">
            <v>MSCI EMU/MATERIALS</v>
          </cell>
          <cell r="D118" t="str">
            <v>MS106695</v>
          </cell>
          <cell r="E118">
            <v>1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100.00000000000003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-100.00000000000003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</row>
        <row r="119">
          <cell r="B119" t="str">
            <v>BRWFAM1A9</v>
          </cell>
          <cell r="C119" t="str">
            <v>MSCI EMU/CONSUMER STAPLES</v>
          </cell>
          <cell r="D119" t="str">
            <v>MS106698</v>
          </cell>
          <cell r="E119">
            <v>1.0000000000000002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98.708156236837752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-98.70815623683778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1.7966634483589827E-14</v>
          </cell>
        </row>
        <row r="120">
          <cell r="B120" t="str">
            <v>BRWFALQM8</v>
          </cell>
          <cell r="C120" t="str">
            <v>MSCI EMU/ENERGY</v>
          </cell>
          <cell r="D120" t="str">
            <v>MS106694</v>
          </cell>
          <cell r="E120">
            <v>1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100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-100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</row>
        <row r="121">
          <cell r="B121" t="str">
            <v>BRS36ZT25</v>
          </cell>
          <cell r="C121" t="str">
            <v>JP Morgan GBI-EM Global Diversified Inde</v>
          </cell>
          <cell r="D121" t="str">
            <v>JPMGBIEGDV</v>
          </cell>
          <cell r="E121">
            <v>1</v>
          </cell>
          <cell r="L121">
            <v>0</v>
          </cell>
          <cell r="M121">
            <v>0</v>
          </cell>
          <cell r="N121">
            <v>8.1564095318162373</v>
          </cell>
          <cell r="O121">
            <v>0</v>
          </cell>
          <cell r="P121">
            <v>0</v>
          </cell>
          <cell r="Q121">
            <v>1.8144272788364513</v>
          </cell>
          <cell r="R121">
            <v>9.9948310399173028</v>
          </cell>
          <cell r="S121">
            <v>4.1923178622654733</v>
          </cell>
          <cell r="T121">
            <v>5.6715393476161777</v>
          </cell>
          <cell r="U121">
            <v>0</v>
          </cell>
          <cell r="V121">
            <v>0</v>
          </cell>
          <cell r="W121">
            <v>0.25053363965307646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2.9230280988606454</v>
          </cell>
          <cell r="AC121">
            <v>9.9955182895600991</v>
          </cell>
          <cell r="AD121">
            <v>0</v>
          </cell>
          <cell r="AE121">
            <v>2.9986561696191516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9.9955170676690788</v>
          </cell>
          <cell r="AK121">
            <v>9.9955151826553088</v>
          </cell>
          <cell r="AL121">
            <v>0</v>
          </cell>
          <cell r="AM121">
            <v>0</v>
          </cell>
          <cell r="AN121">
            <v>2.0039320345950054</v>
          </cell>
          <cell r="AO121">
            <v>0</v>
          </cell>
          <cell r="AP121">
            <v>-92.154846500640346</v>
          </cell>
          <cell r="AQ121">
            <v>0</v>
          </cell>
          <cell r="AR121">
            <v>3.9323189663499343</v>
          </cell>
          <cell r="AS121">
            <v>0.35784751288554856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9.5253690140147</v>
          </cell>
          <cell r="AY121">
            <v>1.5560791184099823</v>
          </cell>
          <cell r="AZ121">
            <v>0</v>
          </cell>
          <cell r="BA121">
            <v>0.18840250296640618</v>
          </cell>
          <cell r="BB121">
            <v>8.6026038429497813</v>
          </cell>
          <cell r="BC121">
            <v>-7.8604025865705527E-15</v>
          </cell>
        </row>
        <row r="122">
          <cell r="B122" t="str">
            <v>BRWFAGPX6</v>
          </cell>
          <cell r="C122" t="str">
            <v>MSCI EMU/COMM SVC Index</v>
          </cell>
          <cell r="D122" t="str">
            <v>MS_EMU50</v>
          </cell>
          <cell r="E122">
            <v>1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99.999999999999972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-99.999999999999972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</row>
        <row r="123">
          <cell r="B123" t="str">
            <v>BRSAMQM02</v>
          </cell>
          <cell r="C123" t="str">
            <v xml:space="preserve">	AUD Cash Benchmark</v>
          </cell>
          <cell r="D123" t="str">
            <v>AUDCASHBMK</v>
          </cell>
          <cell r="E123">
            <v>1</v>
          </cell>
          <cell r="L123">
            <v>0</v>
          </cell>
          <cell r="M123">
            <v>100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-100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</row>
        <row r="124">
          <cell r="B124" t="str">
            <v>BRWFAGPY4</v>
          </cell>
          <cell r="C124" t="str">
            <v>MSCI EMU/UTILITIES Index</v>
          </cell>
          <cell r="D124" t="str">
            <v>MS_EMU55</v>
          </cell>
          <cell r="E124">
            <v>0.99999999999999989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100.00000000000004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-100.00000000000004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</row>
        <row r="125">
          <cell r="B125" t="str">
            <v>BRTP0QKN4</v>
          </cell>
          <cell r="C125" t="str">
            <v>Bloomberg Commodity Index Total Return (</v>
          </cell>
          <cell r="D125" t="str">
            <v>DJAB3NOUSD</v>
          </cell>
          <cell r="E125">
            <v>1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-100.00000000000003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100.00000000000003</v>
          </cell>
        </row>
        <row r="126">
          <cell r="B126" t="str">
            <v>BRWFAGPV0</v>
          </cell>
          <cell r="C126" t="str">
            <v>MSCI EMU/FINANCIALS Index</v>
          </cell>
          <cell r="D126" t="str">
            <v>MS_EMU40</v>
          </cell>
          <cell r="E126">
            <v>1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96.732864954151481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-100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3.2671350458485131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1.4036433190304557E-14</v>
          </cell>
        </row>
        <row r="127">
          <cell r="B127" t="str">
            <v>BRS32M524</v>
          </cell>
          <cell r="C127" t="str">
            <v>BBG Euro Government Inflation-Linked Bon</v>
          </cell>
          <cell r="D127" t="str">
            <v>BCLYEURLIL</v>
          </cell>
          <cell r="E127">
            <v>1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99.999999999999986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-99.999999999999986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</row>
        <row r="128">
          <cell r="B128" t="str">
            <v>BRSMFB9T9</v>
          </cell>
          <cell r="C128" t="str">
            <v>BBG Euro Aggregate Treasury 10-15 Yr Ind</v>
          </cell>
          <cell r="D128" t="str">
            <v>B10436EUR</v>
          </cell>
          <cell r="E128">
            <v>1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100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-100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</row>
        <row r="129">
          <cell r="B129" t="str">
            <v>BRS1PQBW1</v>
          </cell>
          <cell r="C129" t="str">
            <v>BBG Euro High Yield Index</v>
          </cell>
          <cell r="D129" t="str">
            <v>LEHEURHY</v>
          </cell>
          <cell r="E129">
            <v>1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100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-100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</row>
        <row r="130">
          <cell r="B130" t="str">
            <v>BRSRHDSA2</v>
          </cell>
          <cell r="C130" t="str">
            <v>BBG Euro Agg corporate 1-10 years Index</v>
          </cell>
          <cell r="D130" t="str">
            <v>BEAC1-10</v>
          </cell>
          <cell r="E130">
            <v>1.0000000000000002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100.11422871823582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-0.11422871823582943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-100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</row>
        <row r="131">
          <cell r="B131" t="str">
            <v>BRS30Y5D6</v>
          </cell>
          <cell r="C131" t="str">
            <v>BBG Global Aggregate Euro Treasury Index</v>
          </cell>
          <cell r="D131" t="str">
            <v>LGA_TSYEUR</v>
          </cell>
          <cell r="E131">
            <v>1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100.00000000000003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-100.00000000000003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</row>
        <row r="132">
          <cell r="B132" t="str">
            <v>BRS8KCBC6</v>
          </cell>
          <cell r="C132" t="str">
            <v>BBG Euro-Agg: Treasury 7-10 Index</v>
          </cell>
          <cell r="D132" t="str">
            <v>BEAGTS7-10</v>
          </cell>
          <cell r="E132">
            <v>0.99999999999999989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100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-100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</row>
        <row r="133">
          <cell r="B133" t="str">
            <v>BRSE58DH6</v>
          </cell>
          <cell r="C133" t="str">
            <v>BBG Euro Government Inflation-Linked 1-1</v>
          </cell>
          <cell r="D133" t="str">
            <v>BCEUHY1-10</v>
          </cell>
          <cell r="E133">
            <v>1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100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-100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</row>
        <row r="134">
          <cell r="B134" t="str">
            <v>BRS8FDB71</v>
          </cell>
          <cell r="C134" t="str">
            <v>BBG Euro Agg Treasury 5-7 Yr Index</v>
          </cell>
          <cell r="D134" t="str">
            <v>BEURTY5-7</v>
          </cell>
          <cell r="E134">
            <v>1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100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-100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</row>
        <row r="135">
          <cell r="B135" t="str">
            <v>BRTDPY7D4</v>
          </cell>
          <cell r="C135" t="str">
            <v>BBG Euro Treasury 1-15 Year Index</v>
          </cell>
          <cell r="D135" t="str">
            <v>B20717EUR</v>
          </cell>
          <cell r="E135">
            <v>1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100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-100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</row>
        <row r="136">
          <cell r="B136" t="str">
            <v>BRSAMQMK8</v>
          </cell>
          <cell r="C136" t="str">
            <v>CHF Cash Benchmark</v>
          </cell>
          <cell r="D136" t="str">
            <v>CHFCASHBMK</v>
          </cell>
          <cell r="E136">
            <v>1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100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-100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</row>
        <row r="137">
          <cell r="B137" t="str">
            <v>BRS716RG6</v>
          </cell>
          <cell r="C137" t="str">
            <v>BBG Euro Agg Government 1-5 year Index</v>
          </cell>
          <cell r="D137" t="str">
            <v>LEURTY1-5</v>
          </cell>
          <cell r="E137">
            <v>1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-1.8160877819042156E-2</v>
          </cell>
          <cell r="V137">
            <v>0</v>
          </cell>
          <cell r="W137">
            <v>0</v>
          </cell>
          <cell r="X137">
            <v>0</v>
          </cell>
          <cell r="Y137">
            <v>100.01816087781904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-100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</row>
        <row r="138">
          <cell r="B138" t="str">
            <v>BRWFAGPZ1</v>
          </cell>
          <cell r="C138" t="str">
            <v>MSCI EMU/REAL ESTATE Index (FX only)</v>
          </cell>
          <cell r="D138" t="str">
            <v>MS_EMURES</v>
          </cell>
          <cell r="E138">
            <v>1.0000000000000004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100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-100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</row>
        <row r="139">
          <cell r="B139" t="str">
            <v>BRSALQVX1</v>
          </cell>
          <cell r="C139" t="str">
            <v>EURO Cash Benchmark</v>
          </cell>
          <cell r="D139" t="str">
            <v>EURCASHBMK</v>
          </cell>
          <cell r="E139">
            <v>1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100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-100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</row>
        <row r="140">
          <cell r="B140" t="str">
            <v>.CMAHFDH</v>
          </cell>
          <cell r="C140" t="str">
            <v xml:space="preserve">AGGREGATE PORTFOLIO FOR THE GN ACCOUNTS </v>
          </cell>
          <cell r="D140" t="str">
            <v xml:space="preserve">GN-AGG    </v>
          </cell>
          <cell r="E140">
            <v>1.0000000000000002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  <sheetName val="SUMM"/>
      <sheetName val="NAMES"/>
    </sheetNames>
    <sheetDataSet>
      <sheetData sheetId="0" refreshError="1">
        <row r="29">
          <cell r="B29">
            <v>365</v>
          </cell>
        </row>
      </sheetData>
      <sheetData sheetId="1">
        <row r="22">
          <cell r="D22" t="str">
            <v/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ERPCHANGE"/>
      <sheetName val="CF20"/>
      <sheetName val="CustomG_US"/>
      <sheetName val="CustomG_EU"/>
      <sheetName val="CustomG_Small_cap"/>
      <sheetName val="CustomG_CHN_USD"/>
      <sheetName val="CustomG_CHN_A"/>
      <sheetName val="CustomG_JPN"/>
      <sheetName val="CustomG_EM"/>
      <sheetName val="CustomG_AUS"/>
      <sheetName val="CustomG_UK"/>
      <sheetName val="TopDown_data_US"/>
      <sheetName val="TopDown_data_JPN"/>
      <sheetName val="topdown_data_UK"/>
      <sheetName val="TopDown_data_CHN_USD"/>
      <sheetName val="TopDown_data_EM"/>
      <sheetName val="TopDown_data_EU"/>
      <sheetName val="TopDown_data_AUS"/>
      <sheetName val="TopDown_data_CHN_A"/>
      <sheetName val="TopDown_data_Small_cap"/>
      <sheetName val="Scenario results"/>
      <sheetName val="ASRs"/>
      <sheetName val="BBG prices"/>
      <sheetName val="FE0"/>
      <sheetName val="Sheet1"/>
      <sheetName val="Sheet2"/>
    </sheetNames>
    <sheetDataSet>
      <sheetData sheetId="0"/>
      <sheetData sheetId="1">
        <row r="12">
          <cell r="C12">
            <v>4517.1109999999999</v>
          </cell>
        </row>
        <row r="14">
          <cell r="C14">
            <v>5.5E-2</v>
          </cell>
        </row>
        <row r="18">
          <cell r="C18">
            <v>6.4683596578557503E-2</v>
          </cell>
        </row>
        <row r="59">
          <cell r="F59">
            <v>5.9330705962510111E-2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ontrol"/>
      <sheetName val="IS"/>
      <sheetName val="BS"/>
      <sheetName val="CF"/>
      <sheetName val="Key Ratios"/>
      <sheetName val="Valuation"/>
      <sheetName val="Charts"/>
      <sheetName val="PER Relative"/>
      <sheetName val="PER Band"/>
      <sheetName val="EV-EBIT Data"/>
      <sheetName val="EV-EBIT Band"/>
      <sheetName val="P&amp;L"/>
      <sheetName val="Balance Sheet"/>
      <sheetName val="Cash Flow"/>
      <sheetName val="DCF"/>
      <sheetName val="Associates"/>
      <sheetName val="Interim"/>
      <sheetName val="Fixed Assets"/>
      <sheetName val="Risk Free Rates"/>
      <sheetName val="Module_Main"/>
      <sheetName val="VALUE TABLE"/>
      <sheetName val="Breakdown"/>
      <sheetName val="Hysan"/>
      <sheetName val="PE by Fuel &amp; IPCC 2050-Format"/>
    </sheetNames>
    <sheetDataSet>
      <sheetData sheetId="0" refreshError="1">
        <row r="1">
          <cell r="A1" t="str">
            <v>Jan</v>
          </cell>
          <cell r="D1">
            <v>2</v>
          </cell>
          <cell r="G1" t="str">
            <v>Existing Periods</v>
          </cell>
          <cell r="J1" t="str">
            <v>Deleted Periods</v>
          </cell>
        </row>
        <row r="2">
          <cell r="A2" t="str">
            <v>Feb</v>
          </cell>
          <cell r="D2" t="b">
            <v>1</v>
          </cell>
        </row>
        <row r="3">
          <cell r="A3" t="str">
            <v>Mar</v>
          </cell>
          <cell r="D3" t="b">
            <v>1</v>
          </cell>
        </row>
        <row r="4">
          <cell r="A4" t="str">
            <v>Apr</v>
          </cell>
          <cell r="D4" t="b">
            <v>1</v>
          </cell>
        </row>
        <row r="5">
          <cell r="A5" t="str">
            <v>May</v>
          </cell>
          <cell r="D5" t="b">
            <v>1</v>
          </cell>
        </row>
        <row r="6">
          <cell r="A6" t="str">
            <v>Jun</v>
          </cell>
          <cell r="D6" t="b">
            <v>0</v>
          </cell>
        </row>
        <row r="7">
          <cell r="A7" t="str">
            <v>Jul</v>
          </cell>
          <cell r="D7" t="b">
            <v>0</v>
          </cell>
        </row>
        <row r="8">
          <cell r="A8" t="str">
            <v>Aug</v>
          </cell>
          <cell r="D8" t="b">
            <v>0</v>
          </cell>
        </row>
        <row r="9">
          <cell r="A9" t="str">
            <v>Sep</v>
          </cell>
          <cell r="D9" t="b">
            <v>0</v>
          </cell>
        </row>
        <row r="10">
          <cell r="A10" t="str">
            <v>Oct</v>
          </cell>
        </row>
        <row r="11">
          <cell r="A11" t="str">
            <v>Nov</v>
          </cell>
          <cell r="D11" t="b">
            <v>1</v>
          </cell>
        </row>
        <row r="12">
          <cell r="A12" t="str">
            <v>Dec</v>
          </cell>
        </row>
        <row r="17">
          <cell r="D17" t="str">
            <v>37.0.602255966</v>
          </cell>
        </row>
        <row r="18">
          <cell r="D18" t="str">
            <v>E:\GLOSS\FRANK\1070.XLS</v>
          </cell>
        </row>
        <row r="19">
          <cell r="D19" t="str">
            <v>Asia</v>
          </cell>
        </row>
        <row r="20">
          <cell r="D20" t="str">
            <v>RIC</v>
          </cell>
        </row>
        <row r="22">
          <cell r="D22" t="b">
            <v>0</v>
          </cell>
        </row>
        <row r="23">
          <cell r="D23" t="str">
            <v>STRINGTABLE_ENGLISH</v>
          </cell>
        </row>
        <row r="25">
          <cell r="D25" t="b">
            <v>1</v>
          </cell>
        </row>
        <row r="26">
          <cell r="D26" t="b">
            <v>1</v>
          </cell>
        </row>
        <row r="27">
          <cell r="D27" t="b">
            <v>1</v>
          </cell>
        </row>
        <row r="28">
          <cell r="D28" t="b">
            <v>0</v>
          </cell>
        </row>
        <row r="29">
          <cell r="D29" t="b">
            <v>0</v>
          </cell>
        </row>
        <row r="30">
          <cell r="D30" t="b">
            <v>0</v>
          </cell>
        </row>
        <row r="34">
          <cell r="D34" t="b">
            <v>1</v>
          </cell>
        </row>
        <row r="35">
          <cell r="D35" t="b">
            <v>0</v>
          </cell>
        </row>
        <row r="36">
          <cell r="D36" t="str">
            <v>BEFPRETAXPROF</v>
          </cell>
        </row>
        <row r="37">
          <cell r="D37" t="str">
            <v>PRETAXPROF</v>
          </cell>
        </row>
        <row r="38">
          <cell r="D38" t="str">
            <v>OPPROF</v>
          </cell>
        </row>
        <row r="39">
          <cell r="D39" t="b">
            <v>1</v>
          </cell>
        </row>
        <row r="40">
          <cell r="D40" t="str">
            <v>ABOVEPBT</v>
          </cell>
        </row>
        <row r="41">
          <cell r="D41" t="b">
            <v>1</v>
          </cell>
        </row>
        <row r="44">
          <cell r="D44">
            <v>2</v>
          </cell>
        </row>
        <row r="45">
          <cell r="D45" t="b">
            <v>1</v>
          </cell>
        </row>
        <row r="46">
          <cell r="D46" t="b">
            <v>1</v>
          </cell>
        </row>
        <row r="47">
          <cell r="D47" t="str">
            <v>Override</v>
          </cell>
        </row>
        <row r="49">
          <cell r="D49" t="str">
            <v>2,1,1,1</v>
          </cell>
        </row>
        <row r="51">
          <cell r="D51">
            <v>-1</v>
          </cell>
        </row>
        <row r="52">
          <cell r="D52" t="b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ERPCHANGE"/>
      <sheetName val="CF20"/>
      <sheetName val="Regular table for inputs"/>
      <sheetName val="Topdown_data_US"/>
      <sheetName val="Topdown_data_JP"/>
      <sheetName val="Topdown_data_EU"/>
      <sheetName val="Topdown_data_EM"/>
      <sheetName val="Topdown_data_UK"/>
      <sheetName val="Topdown_data_CHN_USD"/>
      <sheetName val="Topdown_data_CHN_A"/>
      <sheetName val="CustomG_US"/>
      <sheetName val="CustomG_JP"/>
      <sheetName val="CustomG_EU"/>
      <sheetName val="CustomG_EM"/>
      <sheetName val="CustomG_UK"/>
      <sheetName val="CustomG_CHN_A"/>
      <sheetName val="CustomG_CHN_USD"/>
      <sheetName val="CustomG_Energy"/>
      <sheetName val="CustomG_Materials"/>
      <sheetName val="CustomG_Industrials"/>
      <sheetName val="CustomG_ConsDisc"/>
      <sheetName val="CustomG_ConsStaples"/>
      <sheetName val="CustomG_Healthcare"/>
      <sheetName val="CustomG_Financials"/>
      <sheetName val="CustomG_IT"/>
      <sheetName val="CustomG_Comms"/>
      <sheetName val="CustomG_Utilities"/>
      <sheetName val="Scenario results"/>
      <sheetName val="ASRs"/>
      <sheetName val="BBG prices"/>
      <sheetName val="Topdown_data_Energy"/>
      <sheetName val="Topdown_data_Materials"/>
      <sheetName val="Topdown_data_Industrials"/>
      <sheetName val="Topdown_data_ConsDisc"/>
      <sheetName val="Topdown_data_ConsStaples"/>
      <sheetName val="Topdown_data_Healthcare"/>
      <sheetName val="Topdown_data_Financials"/>
      <sheetName val="Topdown_data_IT"/>
      <sheetName val="Topdown_data_Comms"/>
      <sheetName val="Topdown_data_Utilities"/>
      <sheetName val="FE0"/>
    </sheetNames>
    <sheetDataSet>
      <sheetData sheetId="0" refreshError="1"/>
      <sheetData sheetId="1" refreshError="1">
        <row r="12">
          <cell r="C12">
            <v>1276.78</v>
          </cell>
        </row>
        <row r="50">
          <cell r="F50">
            <v>7.0173682151927402E-2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trade_genhol"/>
      <sheetName val="trade_mom"/>
      <sheetName val="CPI_genhol"/>
      <sheetName val="CPI"/>
      <sheetName val="trade"/>
      <sheetName val="GDP"/>
      <sheetName val="GDP table"/>
      <sheetName val="mineral_ore"/>
      <sheetName val="ceic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H4">
            <v>38383</v>
          </cell>
        </row>
      </sheetData>
      <sheetData sheetId="9">
        <row r="5">
          <cell r="A5">
            <v>40909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5 energy performance"/>
      <sheetName val="Repricing"/>
      <sheetName val="Sector_data"/>
      <sheetName val="Energy demand"/>
      <sheetName val="Capex"/>
    </sheetNames>
    <sheetDataSet>
      <sheetData sheetId="0">
        <row r="7">
          <cell r="B7" t="e">
            <v>#NAME?</v>
          </cell>
        </row>
      </sheetData>
      <sheetData sheetId="1"/>
      <sheetData sheetId="2"/>
      <sheetData sheetId="3"/>
      <sheetData sheetId="4">
        <row r="22">
          <cell r="D22" t="str">
            <v/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rice move from peak"/>
      <sheetName val="6m returns 2000"/>
      <sheetName val="6m returns 2007"/>
      <sheetName val="1976-90"/>
      <sheetName val="Bear markets"/>
      <sheetName val="Bear markets (2)"/>
      <sheetName val="Bear markets MD"/>
      <sheetName val="equities bonds"/>
      <sheetName val="Indices"/>
      <sheetName val="Inflation"/>
      <sheetName val="Inflation_yoy"/>
      <sheetName val="yiel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I2">
            <v>1981</v>
          </cell>
        </row>
      </sheetData>
      <sheetData sheetId="8">
        <row r="5">
          <cell r="U5">
            <v>1973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W US Treasuries"/>
      <sheetName val="CMAs"/>
      <sheetName val="Front end repricing"/>
      <sheetName val="Core PCE YoY"/>
      <sheetName val="Inflation"/>
      <sheetName val="US Policy rate path"/>
      <sheetName val="Europe policy rate path"/>
      <sheetName val="USD YC"/>
      <sheetName val="EUR YC"/>
      <sheetName val="EPS"/>
      <sheetName val="Data chart ERP China US"/>
      <sheetName val="China shock 2"/>
      <sheetName val="Appendix tables"/>
      <sheetName val="Sheet3"/>
    </sheetNames>
    <sheetDataSet>
      <sheetData sheetId="0" refreshError="1">
        <row r="6">
          <cell r="B6" t="str">
            <v>Name</v>
          </cell>
        </row>
      </sheetData>
      <sheetData sheetId="1"/>
      <sheetData sheetId="2" refreshError="1">
        <row r="2">
          <cell r="E2">
            <v>0</v>
          </cell>
        </row>
      </sheetData>
      <sheetData sheetId="3" refreshError="1">
        <row r="1">
          <cell r="A1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omberg data for FI"/>
      <sheetName val="Equities ERP"/>
      <sheetName val="Chart - ERP vs spreads"/>
      <sheetName val="Sheet1"/>
      <sheetName val="Chart - Trailing Earnings"/>
      <sheetName val="Forward Earnings"/>
      <sheetName val="China Bond Charts"/>
      <sheetName val="Alternate EM Spread Chart"/>
      <sheetName val="EM CB Policy ve Market Pricing"/>
      <sheetName val="FI"/>
      <sheetName val="FI (2)"/>
    </sheetNames>
    <sheetDataSet>
      <sheetData sheetId="0"/>
      <sheetData sheetId="1"/>
      <sheetData sheetId="2"/>
      <sheetData sheetId="3"/>
      <sheetData sheetId="4"/>
      <sheetData sheetId="5" refreshError="1">
        <row r="1">
          <cell r="A1" t="str">
            <v>Manual Calculation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 equity bond scatter"/>
      <sheetName val="3 Timeline"/>
      <sheetName val="4 regime change"/>
      <sheetName val="5 reallocation"/>
      <sheetName val="7 Labor"/>
      <sheetName val="7 Bev curve"/>
      <sheetName val="8 Production constraints"/>
      <sheetName val="8 Labor shifts"/>
      <sheetName val="11 GDP vol"/>
      <sheetName val="11 S&amp;P 500 vol"/>
      <sheetName val="13 pricier debt"/>
      <sheetName val="14 Corp leverage"/>
      <sheetName val="15 Capex"/>
      <sheetName val="16 Climate repricing"/>
      <sheetName val="18 earnings"/>
      <sheetName val="18 S&amp;P 2Yr"/>
      <sheetName val="19 4% yields"/>
      <sheetName val="20 DM central banks"/>
      <sheetName val="21 yield breakdown"/>
      <sheetName val="21 equity bond"/>
      <sheetName val="22 Breakevens"/>
      <sheetName val="22 Energy burden"/>
      <sheetName val="23 EM perf"/>
      <sheetName val="23 EM vs US repricing"/>
      <sheetName val="27 private markets"/>
    </sheetNames>
    <sheetDataSet>
      <sheetData sheetId="0">
        <row r="5">
          <cell r="N5" t="str">
            <v>Type</v>
          </cell>
          <cell r="Q5" t="str">
            <v>Type</v>
          </cell>
        </row>
        <row r="7">
          <cell r="B7" t="str">
            <v>Name</v>
          </cell>
          <cell r="G7" t="str">
            <v>Name</v>
          </cell>
        </row>
      </sheetData>
      <sheetData sheetId="1">
        <row r="4">
          <cell r="D4" t="str">
            <v>Name</v>
          </cell>
        </row>
      </sheetData>
      <sheetData sheetId="2">
        <row r="6">
          <cell r="C6">
            <v>23924</v>
          </cell>
        </row>
      </sheetData>
      <sheetData sheetId="3">
        <row r="3">
          <cell r="R3" t="str">
            <v>Name</v>
          </cell>
        </row>
      </sheetData>
      <sheetData sheetId="4">
        <row r="1">
          <cell r="B1" t="str">
            <v>1953</v>
          </cell>
        </row>
      </sheetData>
      <sheetData sheetId="5">
        <row r="9">
          <cell r="B9" t="str">
            <v>Name</v>
          </cell>
        </row>
      </sheetData>
      <sheetData sheetId="6">
        <row r="1">
          <cell r="J1" t="str">
            <v>1870-1914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6">
          <cell r="A6" t="str">
            <v>Name</v>
          </cell>
        </row>
      </sheetData>
      <sheetData sheetId="15">
        <row r="10">
          <cell r="B10" t="str">
            <v>Name</v>
          </cell>
        </row>
      </sheetData>
      <sheetData sheetId="16"/>
      <sheetData sheetId="17">
        <row r="10">
          <cell r="S10" t="str">
            <v>Name</v>
          </cell>
        </row>
      </sheetData>
      <sheetData sheetId="18">
        <row r="5">
          <cell r="C5" t="str">
            <v>Name</v>
          </cell>
          <cell r="J5" t="str">
            <v>Name</v>
          </cell>
        </row>
      </sheetData>
      <sheetData sheetId="19"/>
      <sheetData sheetId="20">
        <row r="8">
          <cell r="E8" t="str">
            <v>Name</v>
          </cell>
        </row>
      </sheetData>
      <sheetData sheetId="21">
        <row r="5">
          <cell r="D5" t="str">
            <v>U.S.</v>
          </cell>
        </row>
      </sheetData>
      <sheetData sheetId="22">
        <row r="8">
          <cell r="C8" t="str">
            <v>Name</v>
          </cell>
        </row>
      </sheetData>
      <sheetData sheetId="23"/>
      <sheetData sheetId="2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 rate path"/>
      <sheetName val="GDP paths"/>
      <sheetName val="Inflation"/>
      <sheetName val="New Nominal- left"/>
      <sheetName val="New Nominal-right"/>
      <sheetName val="Employment"/>
      <sheetName val="ECB"/>
      <sheetName val="China"/>
      <sheetName val="Real yield"/>
      <sheetName val="Rate hike pricing"/>
      <sheetName val="China tactical"/>
      <sheetName val="EMD"/>
      <sheetName val="Equities - earnings"/>
      <sheetName val="Equities - vaccination"/>
      <sheetName val="Yield breakdown"/>
      <sheetName val="US yield curve"/>
      <sheetName val="Europe yield curve"/>
      <sheetName val="SAA - ERP vs spreads"/>
      <sheetName val="CGBs strategic case"/>
      <sheetName val="climate repricing (2)"/>
      <sheetName val="SAA views (Q2 vs Q1)"/>
    </sheetNames>
    <sheetDataSet>
      <sheetData sheetId="0">
        <row r="4">
          <cell r="B4" t="str">
            <v>Name</v>
          </cell>
        </row>
      </sheetData>
      <sheetData sheetId="1">
        <row r="5">
          <cell r="A5">
            <v>43831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Name</v>
          </cell>
        </row>
      </sheetData>
      <sheetData sheetId="13"/>
      <sheetData sheetId="14">
        <row r="4">
          <cell r="B4" t="str">
            <v>Name</v>
          </cell>
        </row>
      </sheetData>
      <sheetData sheetId="15"/>
      <sheetData sheetId="16"/>
      <sheetData sheetId="17">
        <row r="6">
          <cell r="C6" t="str">
            <v>U.S.</v>
          </cell>
        </row>
      </sheetData>
      <sheetData sheetId="18"/>
      <sheetData sheetId="19"/>
      <sheetData sheetId="2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omberg data for FI"/>
      <sheetName val="Equities ERP"/>
      <sheetName val="Chart - ERP vs spreads"/>
      <sheetName val="Chart - Trailing Earnings"/>
      <sheetName val="Forward Earnings"/>
      <sheetName val="Chart - MSCI ACWI &amp; Level"/>
      <sheetName val="FI"/>
      <sheetName val="FI (2)"/>
    </sheetNames>
    <sheetDataSet>
      <sheetData sheetId="0"/>
      <sheetData sheetId="1"/>
      <sheetData sheetId="2"/>
      <sheetData sheetId="3" refreshError="1">
        <row r="1">
          <cell r="A1" t="str">
            <v>Name</v>
          </cell>
        </row>
      </sheetData>
      <sheetData sheetId="4" refreshError="1">
        <row r="1">
          <cell r="A1" t="str">
            <v>Name</v>
          </cell>
        </row>
      </sheetData>
      <sheetData sheetId="5">
        <row r="1">
          <cell r="G1" t="str">
            <v>TREND EPS</v>
          </cell>
        </row>
      </sheetData>
      <sheetData sheetId="6"/>
      <sheetData sheetId="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sheet"/>
      <sheetName val="5Y5Y"/>
      <sheetName val="Yields"/>
      <sheetName val="5y5y inflation vs EUR 10y"/>
    </sheetNames>
    <sheetDataSet>
      <sheetData sheetId="0"/>
      <sheetData sheetId="1"/>
      <sheetData sheetId="2"/>
      <sheetData sheetId="3">
        <row r="7">
          <cell r="X7" t="str">
            <v>EUR 5y5y inflation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5 inflation bands"/>
      <sheetName val="P6 China exports IP"/>
      <sheetName val="P6 China investment"/>
      <sheetName val="P7 commodities"/>
      <sheetName val="P8 Infrastructure"/>
      <sheetName val="P9 Margins"/>
      <sheetName val="P10 FF Geopolitics"/>
      <sheetName val="P11 Equity risk premium"/>
      <sheetName val="P12 Green transition"/>
      <sheetName val="P13 Cyclicals"/>
    </sheetNames>
    <sheetDataSet>
      <sheetData sheetId="0" refreshError="1"/>
      <sheetData sheetId="1" refreshError="1"/>
      <sheetData sheetId="2" refreshError="1"/>
      <sheetData sheetId="3" refreshError="1">
        <row r="15">
          <cell r="B15" t="str">
            <v>Name</v>
          </cell>
        </row>
      </sheetData>
      <sheetData sheetId="4"/>
      <sheetData sheetId="5" refreshError="1">
        <row r="2">
          <cell r="I2" t="str">
            <v>Name</v>
          </cell>
        </row>
        <row r="9">
          <cell r="B9" t="str">
            <v>Name</v>
          </cell>
        </row>
      </sheetData>
      <sheetData sheetId="6" refreshError="1">
        <row r="8">
          <cell r="A8" t="str">
            <v>Name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3 Equity Bond returns"/>
      <sheetName val="P5 Living with inflation"/>
      <sheetName val="P6 Cutting through confusion"/>
      <sheetName val="Good services"/>
      <sheetName val="P7 Mismatched resources"/>
      <sheetName val="P8 Commodity prices"/>
      <sheetName val="P9 FF Geopolitics"/>
      <sheetName val="P10 FF China"/>
      <sheetName val="P12 Yield curves"/>
    </sheetNames>
    <sheetDataSet>
      <sheetData sheetId="0">
        <row r="5">
          <cell r="N5" t="str">
            <v>Type</v>
          </cell>
          <cell r="Q5" t="str">
            <v>Type</v>
          </cell>
        </row>
        <row r="7">
          <cell r="B7" t="str">
            <v>Name</v>
          </cell>
          <cell r="G7" t="str">
            <v>Name</v>
          </cell>
        </row>
      </sheetData>
      <sheetData sheetId="1">
        <row r="2">
          <cell r="S2" t="str">
            <v>Name</v>
          </cell>
        </row>
      </sheetData>
      <sheetData sheetId="2"/>
      <sheetData sheetId="3">
        <row r="6">
          <cell r="B6" t="str">
            <v>Name</v>
          </cell>
        </row>
      </sheetData>
      <sheetData sheetId="4"/>
      <sheetData sheetId="5">
        <row r="4">
          <cell r="AG4" t="str">
            <v>Type</v>
          </cell>
          <cell r="AJ4" t="str">
            <v>X</v>
          </cell>
          <cell r="AK4" t="str">
            <v>X</v>
          </cell>
        </row>
        <row r="5">
          <cell r="B5" t="str">
            <v>Name</v>
          </cell>
          <cell r="S5" t="str">
            <v>Name</v>
          </cell>
        </row>
      </sheetData>
      <sheetData sheetId="6">
        <row r="8">
          <cell r="A8" t="str">
            <v>Name</v>
          </cell>
        </row>
      </sheetData>
      <sheetData sheetId="7">
        <row r="4">
          <cell r="B4" t="str">
            <v>China</v>
          </cell>
        </row>
      </sheetData>
      <sheetData sheetId="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 equity bond scatter"/>
      <sheetName val=" 6 7 GDP paths"/>
      <sheetName val="8 China Inflation"/>
      <sheetName val="8 China GDP"/>
      <sheetName val="9 Supply chain"/>
      <sheetName val="10 US PCE"/>
      <sheetName val="11 US inflation decomp"/>
      <sheetName val="11 EA inflation decomp"/>
      <sheetName val="12 new nominal"/>
      <sheetName val="13 Labor market"/>
      <sheetName val="14 U.S. LFPR"/>
      <sheetName val="14 US unemployment"/>
      <sheetName val="16 energy prices"/>
      <sheetName val="18 net-zero China impact"/>
      <sheetName val="19 RealYields"/>
      <sheetName val="19 earnings"/>
      <sheetName val="20 earnings growth"/>
      <sheetName val="20 ERP"/>
      <sheetName val="21 China TSF"/>
      <sheetName val="21 China ERP"/>
      <sheetName val="22 5y5y inflation vs  10y"/>
      <sheetName val="23 5y5y Inflation"/>
      <sheetName val="SAA - ERP vs spreads"/>
    </sheetNames>
    <sheetDataSet>
      <sheetData sheetId="0">
        <row r="5">
          <cell r="N5" t="str">
            <v>Type</v>
          </cell>
        </row>
      </sheetData>
      <sheetData sheetId="1"/>
      <sheetData sheetId="2"/>
      <sheetData sheetId="3"/>
      <sheetData sheetId="4"/>
      <sheetData sheetId="5">
        <row r="2">
          <cell r="A2" t="str">
            <v>Name</v>
          </cell>
        </row>
      </sheetData>
      <sheetData sheetId="6"/>
      <sheetData sheetId="7"/>
      <sheetData sheetId="8"/>
      <sheetData sheetId="9">
        <row r="6">
          <cell r="A6" t="str">
            <v>Name</v>
          </cell>
        </row>
      </sheetData>
      <sheetData sheetId="10">
        <row r="2">
          <cell r="B2" t="str">
            <v>Name</v>
          </cell>
        </row>
      </sheetData>
      <sheetData sheetId="11">
        <row r="6">
          <cell r="A6" t="str">
            <v>Name</v>
          </cell>
        </row>
      </sheetData>
      <sheetData sheetId="12">
        <row r="4">
          <cell r="F4" t="str">
            <v>EU carbon (ETS)</v>
          </cell>
        </row>
      </sheetData>
      <sheetData sheetId="13"/>
      <sheetData sheetId="14">
        <row r="3">
          <cell r="V3" t="str">
            <v>Name</v>
          </cell>
        </row>
      </sheetData>
      <sheetData sheetId="15">
        <row r="1">
          <cell r="A1" t="str">
            <v>Name</v>
          </cell>
          <cell r="N1" t="str">
            <v>Name</v>
          </cell>
          <cell r="T1" t="str">
            <v>Name</v>
          </cell>
        </row>
      </sheetData>
      <sheetData sheetId="16">
        <row r="1">
          <cell r="R1" t="str">
            <v>Name</v>
          </cell>
        </row>
        <row r="124">
          <cell r="C124" t="str">
            <v>Name</v>
          </cell>
        </row>
      </sheetData>
      <sheetData sheetId="17"/>
      <sheetData sheetId="18"/>
      <sheetData sheetId="19"/>
      <sheetData sheetId="20">
        <row r="6">
          <cell r="BA6" t="str">
            <v>Name</v>
          </cell>
          <cell r="BF6" t="str">
            <v>Name</v>
          </cell>
        </row>
      </sheetData>
      <sheetData sheetId="21">
        <row r="6">
          <cell r="A6" t="str">
            <v>Name</v>
          </cell>
        </row>
      </sheetData>
      <sheetData sheetId="22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 --&gt;"/>
      <sheetName val="Inflation Expectations"/>
      <sheetName val="Activity GDP levels hardcoded"/>
      <sheetName val="China GDP and projection"/>
      <sheetName val="ECB asset purchases"/>
      <sheetName val="Inflation and forecasts"/>
      <sheetName val="US prices"/>
      <sheetName val="US rate paths (3)"/>
      <sheetName val="US rate paths (2)"/>
      <sheetName val="US rate paths"/>
      <sheetName val="US rate path expectations"/>
      <sheetName val="Europe rate path expectations"/>
      <sheetName val="US NFP and participation"/>
      <sheetName val="US labor shortfall"/>
      <sheetName val="US LFPR"/>
      <sheetName val="EUR employment data updated"/>
      <sheetName val="CN fisc and credit impulse"/>
      <sheetName val="China govt spending"/>
      <sheetName val="Sheet2"/>
      <sheetName val="EM vs DM vaccination"/>
      <sheetName val="TAA --&gt;"/>
      <sheetName val="Growth vs real rates"/>
      <sheetName val="Vaccination"/>
      <sheetName val="OLD - ERR DS"/>
      <sheetName val="NEW-ERRs (DS)"/>
      <sheetName val="Not taper tantrum"/>
      <sheetName val="no taper tantrum"/>
      <sheetName val="Real yield"/>
      <sheetName val="GBI-EM FX"/>
      <sheetName val="EMD"/>
      <sheetName val="Yield breakdown"/>
      <sheetName val="German yield breakdown"/>
      <sheetName val="China - great struggle"/>
      <sheetName val="Topdown_data_EM"/>
      <sheetName val="Virus - cases and deaths"/>
      <sheetName val="SAA --&gt;"/>
      <sheetName val="US yield curve"/>
      <sheetName val="Europe yield curve"/>
      <sheetName val="SAA - ERP vs spreads"/>
      <sheetName val="Sector earnings"/>
      <sheetName val="CGBs strategic case"/>
      <sheetName val="climate repricing"/>
      <sheetName val="SAA views (granularity)"/>
      <sheetName val="SAA views (Q2 vs Q1)"/>
      <sheetName val="Japan ERRs"/>
      <sheetName val="Japan - ERR DS"/>
    </sheetNames>
    <sheetDataSet>
      <sheetData sheetId="0"/>
      <sheetData sheetId="1"/>
      <sheetData sheetId="2"/>
      <sheetData sheetId="3"/>
      <sheetData sheetId="4"/>
      <sheetData sheetId="5"/>
      <sheetData sheetId="6">
        <row r="92">
          <cell r="A92">
            <v>39083</v>
          </cell>
        </row>
      </sheetData>
      <sheetData sheetId="7">
        <row r="5">
          <cell r="C5" t="str">
            <v>Name</v>
          </cell>
        </row>
      </sheetData>
      <sheetData sheetId="8">
        <row r="5">
          <cell r="C5" t="str">
            <v>Name</v>
          </cell>
        </row>
      </sheetData>
      <sheetData sheetId="9">
        <row r="5">
          <cell r="C5" t="str">
            <v>Name</v>
          </cell>
          <cell r="AC5" t="str">
            <v>Name</v>
          </cell>
        </row>
        <row r="6">
          <cell r="N6" t="str">
            <v>Name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/>
      <sheetData sheetId="26"/>
      <sheetData sheetId="27"/>
      <sheetData sheetId="28"/>
      <sheetData sheetId="29">
        <row r="8">
          <cell r="G8" t="str">
            <v>EM local currency</v>
          </cell>
        </row>
      </sheetData>
      <sheetData sheetId="30"/>
      <sheetData sheetId="31"/>
      <sheetData sheetId="32"/>
      <sheetData sheetId="33"/>
      <sheetData sheetId="34"/>
      <sheetData sheetId="35"/>
      <sheetData sheetId="36">
        <row r="1">
          <cell r="B1">
            <v>0.25</v>
          </cell>
        </row>
      </sheetData>
      <sheetData sheetId="37">
        <row r="1">
          <cell r="B1">
            <v>0.25</v>
          </cell>
        </row>
      </sheetData>
      <sheetData sheetId="38">
        <row r="6">
          <cell r="C6" t="str">
            <v>U.S.</v>
          </cell>
        </row>
      </sheetData>
      <sheetData sheetId="39"/>
      <sheetData sheetId="40">
        <row r="10">
          <cell r="B10" t="str">
            <v>US 10Y</v>
          </cell>
        </row>
      </sheetData>
      <sheetData sheetId="41"/>
      <sheetData sheetId="42"/>
      <sheetData sheetId="43"/>
      <sheetData sheetId="44"/>
      <sheetData sheetId="45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st Update"/>
      <sheetName val="Developed Equity Performance"/>
      <sheetName val="Emerging Eq YTD"/>
      <sheetName val="Country PE Ratios"/>
      <sheetName val="Sources of Return YTD"/>
      <sheetName val="Sources of Return 12m"/>
      <sheetName val="Equity Factors Style"/>
      <sheetName val="Frontier Equities YTD"/>
      <sheetName val="Real Earnings vs Trend"/>
      <sheetName val="Global Eq PE Ratio"/>
      <sheetName val="Global Equity Risk Premium"/>
      <sheetName val="Sector Valuation Performance"/>
      <sheetName val="Sector earnings momentum"/>
      <sheetName val="Index Performance"/>
      <sheetName val="QE Market Reaction"/>
      <sheetName val="VIX"/>
      <sheetName val="Regional PE Ratios"/>
      <sheetName val="Cyclically Adj. PE Ratio"/>
      <sheetName val="Regional Earnings"/>
      <sheetName val="US Earnings Estimates"/>
      <sheetName val="Banks Overvi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C3" t="str">
            <v>MSCI World Earnings Yield</v>
          </cell>
        </row>
      </sheetData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 refreshError="1"/>
      <sheetData sheetId="20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st Update"/>
      <sheetName val="China FX Reserves"/>
      <sheetName val="China-Related Commodities"/>
      <sheetName val="House Prices"/>
      <sheetName val="Import Export Growth"/>
      <sheetName val="Inflation"/>
      <sheetName val="Interbank Rates &amp; NPLs"/>
      <sheetName val="Investment and Consumption"/>
      <sheetName val="Macro Indicators"/>
      <sheetName val="Market Overview"/>
      <sheetName val="Monetary Policy"/>
      <sheetName val="Money Supply, Loans, GDP"/>
      <sheetName val="PMI and GDP Growth"/>
      <sheetName val="Social Financing"/>
      <sheetName val="Yuan Dollar"/>
      <sheetName val="Economic Overview"/>
      <sheetName val="Direct Exposu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mer confidence"/>
      <sheetName val="p3 regime change"/>
      <sheetName val="p4 pricier debt"/>
      <sheetName val="p5 higher risk premia"/>
      <sheetName val="P6 GDP vol"/>
      <sheetName val="P6 S&amp;P 500 vol"/>
      <sheetName val="P7 reallocation"/>
      <sheetName val="P8 Green repricing"/>
      <sheetName val="P9 euro spreads"/>
      <sheetName val="p10 EM"/>
      <sheetName val="p11 yield spike"/>
      <sheetName val="p12 SAA"/>
      <sheetName val="p13 private markets"/>
      <sheetName val="Breakevens"/>
    </sheetNames>
    <sheetDataSet>
      <sheetData sheetId="0"/>
      <sheetData sheetId="1"/>
      <sheetData sheetId="2">
        <row r="8">
          <cell r="C8">
            <v>59.9</v>
          </cell>
        </row>
      </sheetData>
      <sheetData sheetId="3"/>
      <sheetData sheetId="4">
        <row r="39">
          <cell r="G39">
            <v>25569</v>
          </cell>
        </row>
      </sheetData>
      <sheetData sheetId="5">
        <row r="124">
          <cell r="G124">
            <v>25569</v>
          </cell>
        </row>
      </sheetData>
      <sheetData sheetId="6"/>
      <sheetData sheetId="7"/>
      <sheetData sheetId="8">
        <row r="7">
          <cell r="B7" t="str">
            <v>Name</v>
          </cell>
        </row>
      </sheetData>
      <sheetData sheetId="9"/>
      <sheetData sheetId="10"/>
      <sheetData sheetId="11"/>
      <sheetData sheetId="12">
        <row r="2">
          <cell r="B2" t="str">
            <v>Private Equity</v>
          </cell>
        </row>
      </sheetData>
      <sheetData sheetId="13">
        <row r="9">
          <cell r="E9">
            <v>40907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DP and credit"/>
      <sheetName val="Deficit"/>
      <sheetName val="China Inflation"/>
      <sheetName val="Electricity"/>
      <sheetName val="One-week repo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st Update"/>
      <sheetName val="Bond Volatility - ML MOVE"/>
      <sheetName val="Credit Spreads"/>
      <sheetName val="EM Debt (Local)"/>
      <sheetName val="EM Debt (EMBI)"/>
      <sheetName val="Yields over 4"/>
      <sheetName val="Euro area 10Y Yields"/>
      <sheetName val="2Y Yields"/>
      <sheetName val="10y gov bond yields"/>
      <sheetName val="Index Performance"/>
      <sheetName val="Primary Dealer Holdings"/>
      <sheetName val="Global 10Y Govt. Bond Yields"/>
      <sheetName val="Gov. Bond Returns YTD"/>
      <sheetName val="Government Bond Yield Curves"/>
      <sheetName val="Bond Yield Curves Through Time"/>
      <sheetName val="Real Gov. Bond Yields"/>
      <sheetName val="US 10 year Treasury breakdown"/>
      <sheetName val="Euro Japan bond yield breakdown"/>
      <sheetName val="Munis"/>
      <sheetName val="Banks CDS"/>
      <sheetName val="Eurozone 10Y Yields"/>
      <sheetName val="10Y Yields US DE UK J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s in review"/>
      <sheetName val="Chart of the week"/>
    </sheetNames>
    <sheetDataSet>
      <sheetData sheetId="0" refreshError="1"/>
      <sheetData sheetId="1" refreshError="1">
        <row r="9">
          <cell r="C9" t="e">
            <v>#NAME?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od prices"/>
      <sheetName val="Food CPI"/>
      <sheetName val="Food CPI (2)"/>
      <sheetName val="BBG Commodity price"/>
      <sheetName val="Insitution confidence"/>
      <sheetName val="China attitudes"/>
      <sheetName val="Spreads"/>
      <sheetName val="Sheet2"/>
      <sheetName val="Share of VR mortgages"/>
      <sheetName val="Private debt and DSR"/>
      <sheetName val="BIS house pr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43">
          <cell r="N43">
            <v>36161</v>
          </cell>
        </row>
      </sheetData>
      <sheetData sheetId="1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res"/>
      <sheetName val="Weights"/>
      <sheetName val="Index"/>
      <sheetName val="Daily"/>
      <sheetName val="Weekly"/>
      <sheetName val="Since Inception"/>
      <sheetName val="YTD 2021"/>
      <sheetName val="Performance"/>
      <sheetName val="Dashboard"/>
      <sheetName val="Report"/>
      <sheetName val="For email"/>
    </sheetNames>
    <sheetDataSet>
      <sheetData sheetId="0">
        <row r="2">
          <cell r="D2">
            <v>1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A Weights Log"/>
      <sheetName val="Summary"/>
      <sheetName val="BII Scores Log"/>
      <sheetName val="Sheet1"/>
      <sheetName val="Changes to weights"/>
      <sheetName val="Allocation %"/>
      <sheetName val="Index"/>
      <sheetName val="Daily Returns"/>
      <sheetName val="Returns (Rel)"/>
      <sheetName val="C. Returns (Rel)"/>
      <sheetName val="Attribution_"/>
      <sheetName val="Rel. Daily Returns"/>
      <sheetName val="Rank Rel. Daily Returns"/>
      <sheetName val="Portfolio Returns"/>
      <sheetName val="Daily P&amp;L"/>
      <sheetName val="Monthly P&amp;L X"/>
      <sheetName val="Portfolio Return Rank"/>
      <sheetName val="D. P&amp;L"/>
      <sheetName val="W. P&amp;L"/>
      <sheetName val="M. P&amp;L"/>
      <sheetName val="Monthly P&amp;L"/>
      <sheetName val="Chart"/>
      <sheetName val="abs %"/>
      <sheetName val="Std dev vol"/>
      <sheetName val="EMWA vol-D"/>
      <sheetName val="EMWA vol-W"/>
      <sheetName val="3m correlation"/>
      <sheetName val="3m correlation (R)"/>
      <sheetName val="The Charts"/>
      <sheetName val="Dashboard"/>
      <sheetName val="Chart (A)"/>
      <sheetName val="C. Returns (Abs)"/>
      <sheetName val="Sheet2"/>
      <sheetName val="Chart (A)_"/>
      <sheetName val="Aggregate"/>
      <sheetName val="Chart (B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QUEST_TABLE"/>
      <sheetName val="Index_codes"/>
      <sheetName val="Index_payout"/>
      <sheetName val="Index_gth"/>
      <sheetName val="CHART"/>
      <sheetName val="Index_TE1"/>
      <sheetName val="Index_FE1"/>
      <sheetName val="Index_price"/>
      <sheetName val="TRI"/>
      <sheetName val="TopDown.csv"/>
      <sheetName val="Check it matches -&gt;"/>
      <sheetName val="small cap"/>
      <sheetName val="Charts -&gt;"/>
      <sheetName val="Index gth"/>
      <sheetName val="CMA vs. Historic returns"/>
      <sheetName val="PE ratio"/>
      <sheetName val="Index_gth_CHART"/>
      <sheetName val="12m ahead EPS growth chart"/>
      <sheetName val="earnings growth"/>
      <sheetName val="ERP_0"/>
      <sheetName val="Plowback"/>
      <sheetName val="SUMMARY"/>
      <sheetName val="Sheet2"/>
    </sheetNames>
    <sheetDataSet>
      <sheetData sheetId="0"/>
      <sheetData sheetId="1"/>
      <sheetData sheetId="2"/>
      <sheetData sheetId="3"/>
      <sheetData sheetId="4"/>
      <sheetData sheetId="5">
        <row r="2">
          <cell r="A2"/>
        </row>
      </sheetData>
      <sheetData sheetId="6">
        <row r="2">
          <cell r="A2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ternative_US_ASR"/>
      <sheetName val="Rate hike cycles"/>
      <sheetName val="US_Policy_rules"/>
      <sheetName val="Other regions"/>
      <sheetName val="Final_calibration"/>
    </sheetNames>
    <sheetDataSet>
      <sheetData sheetId="0"/>
      <sheetData sheetId="1"/>
      <sheetData sheetId="2">
        <row r="11">
          <cell r="I11">
            <v>0.25</v>
          </cell>
        </row>
      </sheetData>
      <sheetData sheetId="3"/>
      <sheetData sheetId="4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ccine rollout"/>
      <sheetName val="Income PCE and savings"/>
      <sheetName val="Contribution to GDP"/>
      <sheetName val="GDP revisions - Covid vs GFC"/>
      <sheetName val="Activity GDP level projections"/>
      <sheetName val="Supply chains - order backlogs"/>
      <sheetName val="US GDP paths"/>
      <sheetName val="New nominal"/>
      <sheetName val="US rate expectations"/>
      <sheetName val="ECB rate expectations"/>
      <sheetName val="US inflation catch-up"/>
      <sheetName val="Fed Inflation bands"/>
      <sheetName val="US prices"/>
      <sheetName val="Shock vs fiscal response"/>
      <sheetName val="US EA inflation and forecasts"/>
      <sheetName val="European Unemployment"/>
      <sheetName val="European employment"/>
      <sheetName val="EA fiscal momentum"/>
      <sheetName val="Financial conditions"/>
      <sheetName val="Asset performance"/>
      <sheetName val="TAA - TIPS and TSY"/>
      <sheetName val="TAA - UK vs Europe"/>
      <sheetName val="TAA - European cyclicality"/>
      <sheetName val="TAA - UK vs Europe (2)"/>
      <sheetName val="TAA - Japan"/>
      <sheetName val="TAA - EM revision ratio"/>
      <sheetName val="SAA - ERP vs spreads"/>
      <sheetName val="SAA - climate aware CMAs"/>
      <sheetName val="SAA tilts"/>
      <sheetName val="SAA - family office"/>
    </sheetNames>
    <sheetDataSet>
      <sheetData sheetId="0"/>
      <sheetData sheetId="1"/>
      <sheetData sheetId="2"/>
      <sheetData sheetId="3">
        <row r="5">
          <cell r="B5" t="str">
            <v>January 08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tting Global Pie 2014"/>
      <sheetName val="Cutting Global Pie 2021"/>
      <sheetName val="Cutting Global Pie 2021 ex Chin"/>
      <sheetName val="Data 2021"/>
      <sheetName val="Haver pull"/>
    </sheetNames>
    <sheetDataSet>
      <sheetData sheetId="0"/>
      <sheetData sheetId="1"/>
      <sheetData sheetId="2"/>
      <sheetData sheetId="3" refreshError="1"/>
      <sheetData sheetId="4">
        <row r="19">
          <cell r="P19">
            <v>43.10340644634951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42465991-CF6E-402B-8D5A-805377764E5A}" name="GoalsP130" displayName="GoalsP130" ref="A1:E4" totalsRowShown="0" headerRowCellStyle="Normal" dataCellStyle="Normal">
  <autoFilter ref="A1:E4" xr:uid="{E6188FC4-483E-4C27-BFF6-3D5A9BEC7A02}"/>
  <tableColumns count="5">
    <tableColumn id="1" xr3:uid="{0B5EE5D5-107D-4F3D-8512-7788DB2E5576}" name="Goal Info" dataCellStyle="Normal"/>
    <tableColumn id="2" xr3:uid="{A1DCB133-6A55-4A1D-B09C-A4020F912EDF}" name="GOAL A" dataCellStyle="Normal"/>
    <tableColumn id="3" xr3:uid="{4C7191DD-7208-4DC7-BAAE-FF39E65AD68D}" name="GOAL B" dataCellStyle="Normal"/>
    <tableColumn id="4" xr3:uid="{1462D739-529B-4B3C-87EC-F0D1F6FEB64F}" name="GOAL C" dataCellStyle="Normal"/>
    <tableColumn id="5" xr3:uid="{96A70F6D-39F5-45D7-962D-F113ACB76020}" name="GOAL D" dataCellStyle="Normal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6296D22-18E1-44D3-A59A-E5E6D672089D}" name="GoalsP2" displayName="GoalsP2" ref="A1:E4" totalsRowShown="0" headerRowCellStyle="Normal" dataCellStyle="Normal">
  <autoFilter ref="A1:E4" xr:uid="{06296D22-18E1-44D3-A59A-E5E6D672089D}"/>
  <tableColumns count="5">
    <tableColumn id="1" xr3:uid="{B3C79FB9-971E-4621-BADB-62E0B6C842D7}" name="Goal Info" dataCellStyle="Normal"/>
    <tableColumn id="2" xr3:uid="{08F0C2B6-02D7-4431-924D-D9E7C41049B7}" name="GOAL A" dataCellStyle="Normal"/>
    <tableColumn id="3" xr3:uid="{7D5C117D-0D45-489D-81E8-DBEB6FE69CF3}" name="GOAL B" dataCellStyle="Normal"/>
    <tableColumn id="4" xr3:uid="{900DE77F-2D16-4E30-8E7F-638FF98F2CDB}" name="GOAL C" dataCellStyle="Normal"/>
    <tableColumn id="5" xr3:uid="{B0C50B12-C738-4419-9074-3A1A9E37C8AC}" name="GOAL D" dataCellStyle="Normal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F7B272-2B0E-4976-9393-E73F3487686E}" name="TableLoop" displayName="TableLoop" ref="A1:E52" totalsRowShown="0" headerRowCellStyle="Normal" dataCellStyle="Normal">
  <autoFilter ref="A1:E52" xr:uid="{FCF7B272-2B0E-4976-9393-E73F3487686E}"/>
  <tableColumns count="5">
    <tableColumn id="1" xr3:uid="{1C47A566-8CA0-498F-9373-FD3CF377EAB3}" name="N" dataCellStyle="Normal"/>
    <tableColumn id="2" xr3:uid="{CDD5D904-D3D0-4E9B-89C8-61F4141B77FC}" name="Year" dataCellStyle="Normal"/>
    <tableColumn id="3" xr3:uid="{3294EF53-9541-4FD2-A3C4-3CCF4CC8E18A}" name="AgeP1" dataCellStyle="Normal">
      <calculatedColumnFormula>C1+1</calculatedColumnFormula>
    </tableColumn>
    <tableColumn id="4" xr3:uid="{27918B9D-DBDA-40FF-A6EC-6456F91F4DED}" name="AgeP2" dataCellStyle="Normal">
      <calculatedColumnFormula>D1+1</calculatedColumnFormula>
    </tableColumn>
    <tableColumn id="5" xr3:uid="{3DF041D1-2FEE-456F-8F08-5A0165B3999F}" name="LoopStatus" dataCellStyle="Normal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56BD61-AB28-418B-A7E4-9C2421B91B8B}" name="TableIncome" displayName="TableIncome" ref="A1:C47" totalsRowShown="0" headerRowCellStyle="Normal" dataCellStyle="Normal">
  <autoFilter ref="A1:C47" xr:uid="{FCF7B272-2B0E-4976-9393-E73F3487686E}"/>
  <tableColumns count="3">
    <tableColumn id="2" xr3:uid="{0498A719-AEC9-446E-8B8E-0AB0C44DDED3}" name="Year" dataCellStyle="Normal"/>
    <tableColumn id="5" xr3:uid="{CC8B1647-0351-43F5-A9B1-47A7C65801F2}" name="SalaryP1" dataDxfId="8" dataCellStyle="Normal">
      <calculatedColumnFormula>(TableIncomeCalculations[[#This Row],[GrossMonthlySalaryP1]]*12)</calculatedColumnFormula>
    </tableColumn>
    <tableColumn id="6" xr3:uid="{D9247035-5056-46B8-9FE0-90DD69539CD9}" name="SalaryP2" dataDxfId="7" dataCellStyle="Normal">
      <calculatedColumnFormula>(TableIncomeCalculations[[#This Row],[GrossMonthlySalaryP2]]*12)</calculatedColumnFormula>
    </tableColumn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C60019-787B-4EAD-BA34-E0802DDFB733}" name="TableIncomeCalculations" displayName="TableIncomeCalculations" ref="J1:M47" totalsRowShown="0" headerRowCellStyle="Normal" dataCellStyle="Normal">
  <autoFilter ref="J1:M47" xr:uid="{66C60019-787B-4EAD-BA34-E0802DDFB733}"/>
  <tableColumns count="4">
    <tableColumn id="1" xr3:uid="{C0C732EC-361A-46E0-89E3-08CAE72DBD66}" name="GrossMonthlySalaryP1" dataCellStyle="Normal"/>
    <tableColumn id="3" xr3:uid="{C5CF3F3B-E102-4C03-AE19-3CC173DDD008}" name="GrossMonthlySalaryP2" dataCellStyle="Normal"/>
    <tableColumn id="5" xr3:uid="{FC28F95D-C1B7-458D-BD0C-E085DE566194}" name="SwitchP1" dataCellStyle="Normal">
      <calculatedColumnFormula>_xlfn.XLOOKUP(_xlfn.XLOOKUP(TableIncome[[#This Row],[Year]],Loop!B:B,Loop!C:C),'Job Hopping'!A:A,'Job Hopping'!E:E)</calculatedColumnFormula>
    </tableColumn>
    <tableColumn id="6" xr3:uid="{85FE9DAF-5AA1-4B37-AB45-C3AD3B6E6CC3}" name="SwitchP2" dataCellStyle="Normal">
      <calculatedColumnFormula>_xlfn.XLOOKUP(_xlfn.XLOOKUP(TableIncome[[#This Row],[Year]],Loop!B:B,Loop!D:D),'Job Hopping'!A:A,'Job Hopping'!F:F)</calculatedColumnFormula>
    </tableColumn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FF2D4F-428C-466F-8C40-CD97C53327FB}" name="JobHopping" displayName="JobHopping" ref="A1:F77" totalsRowShown="0" headerRowCellStyle="Normal" dataCellStyle="Normal">
  <autoFilter ref="A1:F77" xr:uid="{F2FF2D4F-428C-466F-8C40-CD97C53327FB}"/>
  <tableColumns count="6">
    <tableColumn id="1" xr3:uid="{693674CC-D425-46E9-84F4-DC2C74DDA885}" name="Age" dataCellStyle="Normal"/>
    <tableColumn id="2" xr3:uid="{0C578F60-3352-4A6E-80A5-4BD450385FDB}" name="Age Group" dataCellStyle="Normal">
      <calculatedColumnFormula>IF(A2&lt;30, "25-29 år", IF(A2&lt;35, "30-34 år", IF(A2&lt;40, "35-39 år", IF(A2&lt;45, "40-44 år", IF(A2&lt;50, "45-49 år", IF(A2&lt;55, "50-54 år", IF(A2&lt;60, "55-59 år", IF(A2&lt;65, "60-64 år", "65+ år"))))))))</calculatedColumnFormula>
    </tableColumn>
    <tableColumn id="5" xr3:uid="{6B84A72A-055D-41E9-BBC7-389E144ADCF3}" name="FH/FW" dataCellStyle="Normal">
      <calculatedColumnFormula>_xlfn.XLOOKUP(B2,R:R,S:S)</calculatedColumnFormula>
    </tableColumn>
    <tableColumn id="6" xr3:uid="{D9FFF900-4664-40B3-8190-EA72525447EA}" name="Switch" dataCellStyle="Normal">
      <calculatedColumnFormula>IF(OR(JobHopping[[#This Row],[Age]]=25,JobHopping[[#This Row],[Age]]&gt;69),"N",IF(AND(#REF!="N",D1="N", RAND()&lt;=C2), "Y", "N"))</calculatedColumnFormula>
    </tableColumn>
    <tableColumn id="8" xr3:uid="{691319CE-230D-4FBF-BE6A-2D428D532435}" name="SwitchP1Static" dataCellStyle="Normal"/>
    <tableColumn id="9" xr3:uid="{898CE31A-679C-499C-AEA0-26B20AF30FB2}" name="SwitchP2Static" dataCellStyle="Normal">
      <calculatedColumnFormula>IF(JobHopping[[#This Row],[Age]]&lt;40,"",JobHopping[[#This Row],[SwitchP1Static]])</calculatedColumnFormula>
    </tableColumn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0FD3679-1FAE-42ED-9371-E916E1BA67DA}" name="JobHoppingRatios" displayName="JobHoppingRatios" ref="L1:P100" totalsRowShown="0" headerRowCellStyle="Normal" dataCellStyle="Normal">
  <autoFilter ref="L1:P100" xr:uid="{B0FD3679-1FAE-42ED-9371-E916E1BA67DA}"/>
  <tableColumns count="5">
    <tableColumn id="1" xr3:uid="{EED2352B-0CD2-49FA-8E8F-B19F866F9084}" name="Year" dataCellStyle="Normal"/>
    <tableColumn id="2" xr3:uid="{125F1890-3292-40A5-B52B-65BC24DCD8A4}" name="Age Group" dataCellStyle="Normal"/>
    <tableColumn id="3" xr3:uid="{ADFD9F1D-95FD-48CF-AAA7-252CEF08E617}" name="Finance Workers" dataCellStyle="Normal">
      <calculatedColumnFormula>_xlfn.XLOOKUP(L2&amp;"-"&amp;M2,'Djøf Finance Workers'!D:D,'Djøf Finance Workers'!C:C,0,1)</calculatedColumnFormula>
    </tableColumn>
    <tableColumn id="4" xr3:uid="{3B11AAA6-9DF8-45E1-AF3C-A28F474CCCE6}" name="Finance Hoppers" dataCellStyle="Normal">
      <calculatedColumnFormula>_xlfn.XLOOKUP(L2&amp;"-"&amp;M2,'Djøf Finance Hoppers'!D:D,'Djøf Finance Hoppers'!C:C,0,1)</calculatedColumnFormula>
    </tableColumn>
    <tableColumn id="5" xr3:uid="{797F4F22-806C-479D-A67E-5B23C5721AD9}" name="FH/FW" dataCellStyle="Normal">
      <calculatedColumnFormula>IF(N2&gt;0, O2/N2, 0)</calculatedColumnFormula>
    </tableColumn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4F731F5-9A61-4A3C-A0CD-4F447986E27B}" name="JobHoppingAvg" displayName="JobHoppingAvg" ref="R1:S10" totalsRowShown="0" headerRowCellStyle="Normal" dataCellStyle="Normal">
  <autoFilter ref="R1:S10" xr:uid="{B4F731F5-9A61-4A3C-A0CD-4F447986E27B}"/>
  <tableColumns count="2">
    <tableColumn id="1" xr3:uid="{1D4D0898-5851-47E3-97D4-09C98B70723D}" name="Age Group" dataCellStyle="Normal"/>
    <tableColumn id="2" xr3:uid="{966F8474-449D-442D-A7AA-ED23DFA6D69D}" name="FH/FV" dataCellStyle="Normal">
      <calculatedColumnFormula>SUMIFS(P:P,M:M,R2)/(MAX($L$2:$L$100)-MIN($L$2:$L$100))</calculatedColumnFormula>
    </tableColumn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FDFBD4D-80BE-46A0-B23B-A50EDFF74AAD}" name="returns_short_low" displayName="returns_short_low" ref="A1:J11" totalsRowShown="0" headerRowCellStyle="Normal" dataCellStyle="Normal">
  <autoFilter ref="A1:J11" xr:uid="{2FDFBD4D-80BE-46A0-B23B-A50EDFF74AAD}"/>
  <tableColumns count="10">
    <tableColumn id="1" xr3:uid="{06E3953B-9C67-4A7C-BC8D-7CB054576386}" name="Year" dataCellStyle="Normal"/>
    <tableColumn id="2" xr3:uid="{73BF32B9-E7AD-45AA-B8A1-230D1635D89A}" name="EUNK" dataCellStyle="Normal"/>
    <tableColumn id="3" xr3:uid="{9DA74EBD-5B5F-4F4B-9459-40257AECB87A}" name="SXR8" dataCellStyle="Normal"/>
    <tableColumn id="4" xr3:uid="{DEC94A8E-166F-471D-A70D-F720B13CE086}" name="IUSN" dataCellStyle="Normal"/>
    <tableColumn id="5" xr3:uid="{7CBC162E-1C1C-4062-89E6-E905F4CFA0C8}" name="JGHY" dataCellStyle="Normal"/>
    <tableColumn id="6" xr3:uid="{70FC2B9F-C870-496B-BF58-A183DB474ED6}" name="LYXF" dataCellStyle="Normal"/>
    <tableColumn id="7" xr3:uid="{43F91FCC-77E6-40F6-8C7B-0BEB890A3A64}" name="SXR4" dataCellStyle="Normal"/>
    <tableColumn id="8" xr3:uid="{DC6524BD-F1B5-4CD9-8155-3DFE955E24F2}" name="SYBA" dataCellStyle="Normal"/>
    <tableColumn id="9" xr3:uid="{C38DCB61-5B8E-4A0B-836A-065F1229FC6C}" name="SYBB" dataCellStyle="Normal"/>
    <tableColumn id="10" xr3:uid="{BAD00401-0027-4688-9CCE-4333D89F3671}" name="SYBC" dataCellStyle="Normal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888710E-40AB-42A1-B0D3-3FD51340464C}" name="returns_short_medium" displayName="returns_short_medium" ref="A1:J11" totalsRowShown="0" headerRowCellStyle="Normal" dataCellStyle="Normal">
  <autoFilter ref="A1:J11" xr:uid="{2FDFBD4D-80BE-46A0-B23B-A50EDFF74AAD}"/>
  <tableColumns count="10">
    <tableColumn id="1" xr3:uid="{9ABBDF09-F154-4C21-B662-8308E36E838C}" name="Year" dataCellStyle="Normal"/>
    <tableColumn id="2" xr3:uid="{53E707FF-07CF-48AF-B9EF-B867D52CA0D7}" name="EUNK" dataCellStyle="Normal"/>
    <tableColumn id="3" xr3:uid="{6ECB74D2-505E-474E-A276-28A308787BF4}" name="SXR8" dataCellStyle="Normal"/>
    <tableColumn id="4" xr3:uid="{E0F987EC-231F-4155-A446-9B55EC9CD56C}" name="IUSN" dataCellStyle="Normal"/>
    <tableColumn id="5" xr3:uid="{1E198369-52BE-44D0-89C6-CFB92F1D23AF}" name="JGHY" dataCellStyle="Normal"/>
    <tableColumn id="6" xr3:uid="{033AAF0C-DB09-45AB-A249-66F5C0DD0275}" name="LYXF" dataCellStyle="Normal"/>
    <tableColumn id="7" xr3:uid="{A45AA793-2ADD-4246-9C62-F107CB52E68D}" name="SXR4" dataCellStyle="Normal"/>
    <tableColumn id="8" xr3:uid="{F66F95C6-C492-4470-A099-1FCE215D46B9}" name="SYBA" dataCellStyle="Normal"/>
    <tableColumn id="9" xr3:uid="{A5C86391-3454-4389-B76D-D44977238B47}" name="SYBB" dataCellStyle="Normal"/>
    <tableColumn id="10" xr3:uid="{5DFCEAF9-26E8-4E0B-9E94-77DAFD61FA39}" name="SYBC" dataCellStyle="Normal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87CC7E7-DB1C-42EE-9B2C-1CAC6074A715}" name="returns_short_high" displayName="returns_short_high" ref="A1:J11" totalsRowShown="0" headerRowCellStyle="Normal" dataCellStyle="Normal">
  <autoFilter ref="A1:J11" xr:uid="{2FDFBD4D-80BE-46A0-B23B-A50EDFF74AAD}"/>
  <tableColumns count="10">
    <tableColumn id="1" xr3:uid="{417AB96D-65E5-47B3-B0D7-CF43EDD09429}" name="Year" dataCellStyle="Normal"/>
    <tableColumn id="2" xr3:uid="{F306A4EE-6812-4C65-BC07-6561E6593DAD}" name="EUNK" dataCellStyle="Normal"/>
    <tableColumn id="3" xr3:uid="{F42A4E5C-E058-4811-A112-40949F0AC07B}" name="SXR8" dataCellStyle="Normal"/>
    <tableColumn id="4" xr3:uid="{D3E12CBB-B728-4768-9F43-0CB29FA4A0C8}" name="IUSN" dataCellStyle="Normal"/>
    <tableColumn id="5" xr3:uid="{D108BB0B-1AD2-4463-B89D-34156785C1E0}" name="JGHY" dataCellStyle="Normal"/>
    <tableColumn id="6" xr3:uid="{BC8B6589-8443-428C-B428-4729936DEB89}" name="LYXF" dataCellStyle="Normal"/>
    <tableColumn id="7" xr3:uid="{88C10545-F86A-4EC6-BF8B-DF4950EE944C}" name="SXR4" dataCellStyle="Normal"/>
    <tableColumn id="8" xr3:uid="{D0D24001-CE39-4DFB-AC7F-BBF2F68BE21C}" name="SYBA" dataCellStyle="Normal"/>
    <tableColumn id="9" xr3:uid="{F7B5BAF0-4BC9-474C-9743-EF16F2FB4F03}" name="SYBB" dataCellStyle="Normal"/>
    <tableColumn id="10" xr3:uid="{F44B4812-EE0B-497F-A3E3-9214EFE5FBA3}" name="SYBC" dataCellStyle="Normal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5374171-B592-465E-921D-957B731489FB}" name="returns_long_low" displayName="returns_long_low" ref="A1:J42" totalsRowShown="0" headerRowCellStyle="Normal" dataCellStyle="Normal">
  <autoFilter ref="A1:J42" xr:uid="{2FDFBD4D-80BE-46A0-B23B-A50EDFF74AAD}"/>
  <tableColumns count="10">
    <tableColumn id="1" xr3:uid="{CC6729C9-677E-49C6-AF6B-6629B76AB27E}" name="Year" dataCellStyle="Normal"/>
    <tableColumn id="2" xr3:uid="{940AA8EB-A425-4F9E-A86D-0EB8579FF6D5}" name="EUNK" dataCellStyle="Normal">
      <calculatedColumnFormula array="1">_xlfn.XLOOKUP(_xlfn.XLOOKUP(returns_long_low[[#This Row],[Year]],helper_ya[[#All],[Year]],helper_ya[[#All],[Category]]),br_er_low[[#All],[Ticker]],br_er_low[[#All],[EUNK]])</calculatedColumnFormula>
    </tableColumn>
    <tableColumn id="3" xr3:uid="{C2DF32FC-09D7-40DD-B8F4-FB337353DDB8}" name="SXR8" dataCellStyle="Normal"/>
    <tableColumn id="4" xr3:uid="{DE356D9E-3A96-4390-959C-1CC1E57B240D}" name="IUSN" dataCellStyle="Normal">
      <calculatedColumnFormula array="1">_xlfn.XLOOKUP(_xlfn.XLOOKUP(returns_long_low[[#This Row],[Year]],helper_ya[[#All],[Year]],helper_ya[[#All],[Category]]),br_er_low[[#All],[Ticker]],br_er_low[[#All],[IUSN]])</calculatedColumnFormula>
    </tableColumn>
    <tableColumn id="5" xr3:uid="{C5A39184-02C2-494C-9FDC-FA02FCF3655B}" name="JGHY" dataCellStyle="Normal">
      <calculatedColumnFormula array="1">_xlfn.XLOOKUP(_xlfn.XLOOKUP(returns_long_low[[#This Row],[Year]],helper_ya[[#All],[Year]],helper_ya[[#All],[Category]]),br_er_low[[#All],[Ticker]],br_er_low[[#All],[JGHY]])</calculatedColumnFormula>
    </tableColumn>
    <tableColumn id="6" xr3:uid="{A000EF22-888D-48E5-89D1-024AB20A99CD}" name="LYXF" dataCellStyle="Normal">
      <calculatedColumnFormula array="1">_xlfn.XLOOKUP(_xlfn.XLOOKUP(returns_long_low[[#This Row],[Year]],helper_ya[[#All],[Year]],helper_ya[[#All],[Category]]),br_er_low[[#All],[Ticker]],br_er_low[[#All],[LYXF]])</calculatedColumnFormula>
    </tableColumn>
    <tableColumn id="7" xr3:uid="{42C5B819-84E7-409C-94C7-D2B20EEB6C1A}" name="SXR4" dataCellStyle="Normal">
      <calculatedColumnFormula array="1">_xlfn.XLOOKUP(_xlfn.XLOOKUP(returns_long_low[[#This Row],[Year]],helper_ya[[#All],[Year]],helper_ya[[#All],[Category]]),br_er_low[[#All],[Ticker]],br_er_low[[#All],[SXR4]])</calculatedColumnFormula>
    </tableColumn>
    <tableColumn id="8" xr3:uid="{828C0111-2B30-476B-9F0F-266E4FF45CD5}" name="SYBA" dataCellStyle="Normal"/>
    <tableColumn id="9" xr3:uid="{2D1DFC65-144F-41C5-B87F-D748D47BCAB8}" name="SYBB" dataCellStyle="Normal">
      <calculatedColumnFormula array="1">_xlfn.XLOOKUP(_xlfn.XLOOKUP(returns_long_low[[#This Row],[Year]],helper_ya[[#All],[Year]],helper_ya[[#All],[Category]]),br_er_low[[#All],[Ticker]],br_er_low[[#All],[SYBB]])</calculatedColumnFormula>
    </tableColumn>
    <tableColumn id="10" xr3:uid="{0A5C9B2B-2224-4C98-81BC-41924944E7DC}" name="SYBC" dataCellStyle="Normal">
      <calculatedColumnFormula array="1">_xlfn.XLOOKUP(_xlfn.XLOOKUP(returns_long_low[[#This Row],[Year]],helper_ya[[#All],[Year]],helper_ya[[#All],[Category]]),br_er_low[[#All],[Ticker]],br_er_low[[#All],[SYBC]])</calculatedColumnFormula>
    </tableColumn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72CFBEC-1B0F-4837-8EDD-AB510C44A497}" name="returns_long_medium" displayName="returns_long_medium" ref="A1:J42" totalsRowShown="0" headerRowCellStyle="Normal" dataCellStyle="Normal">
  <autoFilter ref="A1:J42" xr:uid="{2FDFBD4D-80BE-46A0-B23B-A50EDFF74AAD}"/>
  <tableColumns count="10">
    <tableColumn id="1" xr3:uid="{A91F4A52-D81D-4517-8D86-DC090C66C3AD}" name="Year" dataCellStyle="Normal"/>
    <tableColumn id="2" xr3:uid="{51F1FD8C-FBCF-43EB-84AB-4E2B13ED28E6}" name="EUNK" dataCellStyle="Normal">
      <calculatedColumnFormula array="1">_xlfn.XLOOKUP(_xlfn.XLOOKUP(returns_long_medium[[#This Row],[Year]],helper_ya[[#All],[Year]],helper_ya[[#All],[Category]]),br_er_medium[[#All],[Ticker]],br_er_medium[[#All],[EUNK]])</calculatedColumnFormula>
    </tableColumn>
    <tableColumn id="3" xr3:uid="{111DA3F8-1580-4645-A010-03F26D766F7A}" name="SXR8" dataCellStyle="Normal"/>
    <tableColumn id="4" xr3:uid="{3677DAFD-EAC8-4D94-92E9-CB5A5746EDBD}" name="IUSN" dataCellStyle="Normal">
      <calculatedColumnFormula array="1">_xlfn.XLOOKUP(_xlfn.XLOOKUP(returns_long_medium[[#This Row],[Year]],helper_ya[[#All],[Year]],helper_ya[[#All],[Category]]),br_er_medium[[#All],[Ticker]],br_er_medium[[#All],[IUSN]])</calculatedColumnFormula>
    </tableColumn>
    <tableColumn id="5" xr3:uid="{824B01A9-CD8F-4959-B9EA-873081B35F9A}" name="JGHY" dataCellStyle="Normal">
      <calculatedColumnFormula array="1">_xlfn.XLOOKUP(_xlfn.XLOOKUP(returns_long_medium[[#This Row],[Year]],helper_ya[[#All],[Year]],helper_ya[[#All],[Category]]),br_er_medium[[#All],[Ticker]],br_er_medium[[#All],[JGHY]])</calculatedColumnFormula>
    </tableColumn>
    <tableColumn id="6" xr3:uid="{FE036051-B485-40E5-9C28-E7F7346F1DB3}" name="LYXF" dataCellStyle="Normal">
      <calculatedColumnFormula array="1">_xlfn.XLOOKUP(_xlfn.XLOOKUP(returns_long_medium[[#This Row],[Year]],helper_ya[[#All],[Year]],helper_ya[[#All],[Category]]),br_er_medium[[#All],[Ticker]],br_er_medium[[#All],[LYXF]])</calculatedColumnFormula>
    </tableColumn>
    <tableColumn id="7" xr3:uid="{55BFBD64-A72C-4E6F-8892-4283A6CF184C}" name="SXR4" dataCellStyle="Normal">
      <calculatedColumnFormula array="1">_xlfn.XLOOKUP(_xlfn.XLOOKUP(returns_long_medium[[#This Row],[Year]],helper_ya[[#All],[Year]],helper_ya[[#All],[Category]]),br_er_medium[[#All],[Ticker]],br_er_medium[[#All],[SXR4]])</calculatedColumnFormula>
    </tableColumn>
    <tableColumn id="8" xr3:uid="{BB4DA6FA-FC84-4C98-BF96-FF728F0396B2}" name="SYBA" dataCellStyle="Normal"/>
    <tableColumn id="9" xr3:uid="{98007B0A-6AE0-4FA5-87C3-A2C93DCFA5D2}" name="SYBB" dataCellStyle="Normal">
      <calculatedColumnFormula array="1">_xlfn.XLOOKUP(_xlfn.XLOOKUP(returns_long_medium[[#This Row],[Year]],helper_ya[[#All],[Year]],helper_ya[[#All],[Category]]),br_er_medium[[#All],[Ticker]],br_er_medium[[#All],[SYBB]])</calculatedColumnFormula>
    </tableColumn>
    <tableColumn id="10" xr3:uid="{0047A377-DB03-4AF9-B309-2056F0F83774}" name="SYBC" dataCellStyle="Normal">
      <calculatedColumnFormula array="1">_xlfn.XLOOKUP(_xlfn.XLOOKUP(returns_long_medium[[#This Row],[Year]],helper_ya[[#All],[Year]],helper_ya[[#All],[Category]]),br_er_medium[[#All],[Ticker]],br_er_medium[[#All],[SYBC]])</calculatedColumnFormula>
    </tableColumn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97DB67F-9BD0-4FAF-9107-6532A2090856}" name="returns_long_high" displayName="returns_long_high" ref="A1:J42" totalsRowShown="0" headerRowCellStyle="Normal" dataCellStyle="Normal">
  <autoFilter ref="A1:J42" xr:uid="{2FDFBD4D-80BE-46A0-B23B-A50EDFF74AAD}"/>
  <tableColumns count="10">
    <tableColumn id="1" xr3:uid="{337B50BC-1B7B-49DF-9F6B-5D35BCEEA1E8}" name="Year" dataCellStyle="Normal"/>
    <tableColumn id="2" xr3:uid="{AA34683C-9D14-45EF-90F6-8851694BE091}" name="EUNK" dataCellStyle="Normal">
      <calculatedColumnFormula array="1">_xlfn.XLOOKUP(_xlfn.XLOOKUP(returns_long_high[[#This Row],[Year]],helper_ya[[#All],[Year]],helper_ya[[#All],[Category]]),br_er_high[[#All],[Ticker]],br_er_high[[#All],[EUNK]])</calculatedColumnFormula>
    </tableColumn>
    <tableColumn id="3" xr3:uid="{2EC1D0A4-B648-4A34-A07B-EE6E8BF07811}" name="SXR8" dataCellStyle="Normal"/>
    <tableColumn id="4" xr3:uid="{58D7B994-1E2A-472E-A595-8667EAFF6890}" name="IUSN" dataCellStyle="Normal">
      <calculatedColumnFormula array="1">_xlfn.XLOOKUP(_xlfn.XLOOKUP(returns_long_high[[#This Row],[Year]],helper_ya[[#All],[Year]],helper_ya[[#All],[Category]]),br_er_high[[#All],[Ticker]],br_er_high[[#All],[IUSN]])</calculatedColumnFormula>
    </tableColumn>
    <tableColumn id="5" xr3:uid="{5B657153-B702-4050-966E-DCF37F2E8E19}" name="JGHY" dataCellStyle="Normal">
      <calculatedColumnFormula array="1">_xlfn.XLOOKUP(_xlfn.XLOOKUP(returns_long_high[[#This Row],[Year]],helper_ya[[#All],[Year]],helper_ya[[#All],[Category]]),br_er_high[[#All],[Ticker]],br_er_high[[#All],[JGHY]])</calculatedColumnFormula>
    </tableColumn>
    <tableColumn id="6" xr3:uid="{0C32BFF3-B7B9-4CE0-BB9B-1AD51E4050A1}" name="LYXF" dataCellStyle="Normal">
      <calculatedColumnFormula array="1">_xlfn.XLOOKUP(_xlfn.XLOOKUP(returns_long_high[[#This Row],[Year]],helper_ya[[#All],[Year]],helper_ya[[#All],[Category]]),br_er_high[[#All],[Ticker]],br_er_high[[#All],[LYXF]])</calculatedColumnFormula>
    </tableColumn>
    <tableColumn id="7" xr3:uid="{3B3E1B12-0BA0-4A2A-8FBE-B29E2DC2AD42}" name="SXR4" dataCellStyle="Normal">
      <calculatedColumnFormula array="1">_xlfn.XLOOKUP(_xlfn.XLOOKUP(returns_long_high[[#This Row],[Year]],helper_ya[[#All],[Year]],helper_ya[[#All],[Category]]),br_er_high[[#All],[Ticker]],br_er_high[[#All],[SXR4]])</calculatedColumnFormula>
    </tableColumn>
    <tableColumn id="8" xr3:uid="{E84A3222-1548-49B3-8E0E-42552ADAB708}" name="SYBA" dataCellStyle="Normal"/>
    <tableColumn id="9" xr3:uid="{7A28D872-2650-4221-942C-A1B94E4C730A}" name="SYBB" dataCellStyle="Normal">
      <calculatedColumnFormula array="1">_xlfn.XLOOKUP(_xlfn.XLOOKUP(returns_long_high[[#This Row],[Year]],helper_ya[[#All],[Year]],helper_ya[[#All],[Category]]),br_er_high[[#All],[Ticker]],br_er_high[[#All],[SYBB]])</calculatedColumnFormula>
    </tableColumn>
    <tableColumn id="10" xr3:uid="{72CEF25E-6646-487A-A537-ADFA312BE923}" name="SYBC" dataCellStyle="Normal">
      <calculatedColumnFormula array="1">_xlfn.XLOOKUP(_xlfn.XLOOKUP(returns_long_high[[#This Row],[Year]],helper_ya[[#All],[Year]],helper_ya[[#All],[Category]]),br_er_high[[#All],[Ticker]],br_er_high[[#All],[SYBC]])</calculatedColumnFormula>
    </tableColumn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61960CB-5A36-41A6-9DA6-8B73C079BC4A}" name="br_er_medium" displayName="br_er_medium" ref="A2:H9" totalsRowShown="0" headerRowCellStyle="Normal" dataCellStyle="Normal">
  <autoFilter ref="A2:H9" xr:uid="{5CB05C69-0CEA-4F66-9176-5CE5A953B640}"/>
  <tableColumns count="8">
    <tableColumn id="1" xr3:uid="{24A2E1EF-00B1-4718-ACDC-CFDC8E54619C}" name="Ticker" dataCellStyle="Normal"/>
    <tableColumn id="2" xr3:uid="{3A691514-0C8A-41E3-9B6F-38C7B939A509}" name="EUNK" dataCellStyle="Normal"/>
    <tableColumn id="3" xr3:uid="{75BBA37B-F003-4C3A-BF80-0304F11FFE08}" name="SXR4" dataCellStyle="Normal"/>
    <tableColumn id="4" xr3:uid="{63E89E4C-CEEC-4C4B-8B4D-30F396AA9640}" name="IUSN" dataCellStyle="Normal"/>
    <tableColumn id="5" xr3:uid="{F42A2970-41B4-42A9-806D-997228D9FF3A}" name="SYBC" dataCellStyle="Normal"/>
    <tableColumn id="6" xr3:uid="{B542CA00-8BC5-4F00-8552-73BBA6B4305D}" name="SYBB" dataCellStyle="Normal"/>
    <tableColumn id="7" xr3:uid="{7DB1D2EE-A7ED-43E1-9EDA-E0492386CF60}" name="LYXF" dataCellStyle="Normal"/>
    <tableColumn id="8" xr3:uid="{42494608-AD73-42EE-B4CD-3E7854437ABE}" name="JGHY" dataCellStyle="Normal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83A5C40-BC16-4F9B-B9C0-1AF53DA20123}" name="br_er_high" displayName="br_er_high" ref="A22:H29" totalsRowShown="0" headerRowCellStyle="Normal" dataCellStyle="Normal">
  <autoFilter ref="A22:H29" xr:uid="{2AA20DA5-D0DE-46CC-B038-0EFAE4257936}"/>
  <tableColumns count="8">
    <tableColumn id="1" xr3:uid="{312C313F-5A6C-4970-AF4A-4CFF194C8BC8}" name="Ticker" dataCellStyle="Normal"/>
    <tableColumn id="2" xr3:uid="{636C1E3B-EB00-4806-B0E6-F118584DE312}" name="EUNK" dataCellStyle="Normal"/>
    <tableColumn id="3" xr3:uid="{BF0DD9E9-C357-433B-9301-D76146E4F398}" name="SXR4" dataCellStyle="Normal"/>
    <tableColumn id="4" xr3:uid="{9267BD18-4D47-4664-A2FD-E1459B353D69}" name="IUSN" dataCellStyle="Normal"/>
    <tableColumn id="5" xr3:uid="{703B4D31-F7A6-44A0-A6D0-0923AA82026B}" name="SYBC" dataCellStyle="Normal"/>
    <tableColumn id="6" xr3:uid="{2A7E254A-21D0-477C-8CE3-8C30FEE69C91}" name="SYBB" dataCellStyle="Normal"/>
    <tableColumn id="7" xr3:uid="{532882BF-AC02-401C-A538-2CF6B414EA71}" name="LYXF" dataCellStyle="Normal"/>
    <tableColumn id="8" xr3:uid="{EEE0FFD6-EE0C-4578-8AE8-76C8F34D54DD}" name="JGHY" dataCellStyle="Normal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5B5E8BD-BCA2-4D6B-9A90-44B1DEBF966C}" name="br_er_lmu" displayName="br_er_lmu" ref="A32:H39" totalsRowShown="0" headerRowCellStyle="Normal" dataCellStyle="Normal">
  <autoFilter ref="A32:H39" xr:uid="{5030F777-F89E-4CB2-BFD9-57A65BB910CA}"/>
  <tableColumns count="8">
    <tableColumn id="1" xr3:uid="{A288B1C9-BF4D-407D-A6D8-C1FA9EE8A280}" name="Ticker" dataCellStyle="Normal"/>
    <tableColumn id="2" xr3:uid="{961EDFC8-AC43-452D-9AFB-B6579343A2AC}" name="EUNK" dataCellStyle="Normal"/>
    <tableColumn id="3" xr3:uid="{15CEBF6B-C590-4B4D-9DA9-341123475047}" name="SXR4" dataCellStyle="Normal"/>
    <tableColumn id="4" xr3:uid="{1BB2C186-7617-4C78-8869-109059D6E20F}" name="IUSN" dataCellStyle="Normal"/>
    <tableColumn id="5" xr3:uid="{1266BD7B-9547-445D-B48E-CC0522C06FEF}" name="SYBC" dataCellStyle="Normal"/>
    <tableColumn id="6" xr3:uid="{500F144F-0C14-472F-8144-164EC76B05FB}" name="SYBB" dataCellStyle="Normal"/>
    <tableColumn id="7" xr3:uid="{5FB51CEE-0138-4367-BD29-7008C0DD8109}" name="LYXF" dataCellStyle="Normal"/>
    <tableColumn id="8" xr3:uid="{8EDD86AE-160F-4365-A1B9-C9E590EF627D}" name="JGHY" dataCellStyle="Normal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4B2B1B3-2EC8-4C44-BE03-D0AE402190C8}" name="br_er_umu" displayName="br_er_umu" ref="A42:H49" totalsRowShown="0" headerRowCellStyle="Normal" dataCellStyle="Normal">
  <autoFilter ref="A42:H49" xr:uid="{77992EB7-7533-4DD8-A0D8-67D809CC3B48}"/>
  <tableColumns count="8">
    <tableColumn id="1" xr3:uid="{986CFD0B-6B6C-48DA-9221-D2CE1DD3D699}" name="Ticker" dataCellStyle="Normal"/>
    <tableColumn id="2" xr3:uid="{4EF0BDF9-BC53-4B9D-9D7A-06BF5529FEA9}" name="EUNK" dataCellStyle="Normal"/>
    <tableColumn id="3" xr3:uid="{14A8870F-22AE-4D17-8B66-09D966CD7755}" name="SXR4" dataCellStyle="Normal"/>
    <tableColumn id="4" xr3:uid="{DF8E9F76-2832-437C-9106-E2A604160829}" name="IUSN" dataCellStyle="Normal"/>
    <tableColumn id="5" xr3:uid="{E3F3B0C9-80E3-4041-A5BA-F1747F98C268}" name="SYBC" dataCellStyle="Normal"/>
    <tableColumn id="6" xr3:uid="{D03A2EEC-C7C2-4986-9C4E-B1EAE18326DC}" name="SYBB" dataCellStyle="Normal"/>
    <tableColumn id="7" xr3:uid="{FE623D01-0858-46AA-AE82-F9258D00632B}" name="LYXF" dataCellStyle="Normal"/>
    <tableColumn id="8" xr3:uid="{BFBB3926-3A56-4047-B403-F79B8433ADEE}" name="JGHY" dataCellStyle="Normal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A7FF13E-4DB3-490E-B856-64AA6A7E0896}" name="br_vol" displayName="br_vol" ref="A52:C59" totalsRowShown="0" headerRowCellStyle="Normal" dataCellStyle="Normal">
  <autoFilter ref="A52:C59" xr:uid="{0672CB72-BD9E-49D1-A4E9-C4C5C15A4DA6}"/>
  <tableColumns count="3">
    <tableColumn id="1" xr3:uid="{40271079-39DF-4AD0-838E-0E280E4672CE}" name="Index" dataCellStyle="Normal"/>
    <tableColumn id="2" xr3:uid="{D216734C-A3FC-41AF-A98E-BE81F104D5E2}" name="Ticker" dataCellStyle="Normal"/>
    <tableColumn id="3" xr3:uid="{976D449D-24E3-47D7-9600-DD0A92EC3913}" name="Volatility" dataCellStyle="Normal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FFC4703-5F76-46C6-AB00-4F4F58911CB4}" name="br_corr" displayName="br_corr" ref="A63:D70" totalsRowShown="0" headerRowCellStyle="Normal" dataCellStyle="Normal">
  <autoFilter ref="A63:D70" xr:uid="{CA27EDB6-8E17-44A7-93FD-0A467D9BEC22}"/>
  <tableColumns count="4">
    <tableColumn id="1" xr3:uid="{FAD6A501-2281-4008-9D42-8B2F670A2A8F}" name="Index" dataCellStyle="Normal"/>
    <tableColumn id="2" xr3:uid="{56E1CCB3-9F1D-401C-8AB2-70DE8C7734E3}" name="Ticker" dataCellStyle="Normal"/>
    <tableColumn id="3" xr3:uid="{DE2FF8C1-5D68-4135-8ED4-5C3B8E1C69B1}" name="Government bonds" dataCellStyle="Normal"/>
    <tableColumn id="4" xr3:uid="{59983B6A-C9E5-4058-8051-0F21C6441DF4}" name="Equities" dataCellStyle="Normal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CE976B4-7B6C-4690-BD8F-6E31F3967443}" name="br_er_low" displayName="br_er_low" ref="A12:H19" totalsRowShown="0" headerRowCellStyle="Normal" dataCellStyle="Normal">
  <autoFilter ref="A12:H19" xr:uid="{35A6C978-19DF-4C55-98CA-A9C39C5D498A}"/>
  <tableColumns count="8">
    <tableColumn id="1" xr3:uid="{C366832B-3FC9-45CE-BD09-8BC280297259}" name="Ticker" dataCellStyle="Normal"/>
    <tableColumn id="2" xr3:uid="{B62B98E6-043C-410B-A4CB-C55646E60276}" name="EUNK" dataCellStyle="Normal"/>
    <tableColumn id="3" xr3:uid="{3CFC513A-D929-4BFB-827B-0F3E8E6A7D1C}" name="SXR4" dataCellStyle="Normal"/>
    <tableColumn id="4" xr3:uid="{6AFFDEE7-38AC-406B-9201-AB8E1AFB2B54}" name="IUSN" dataCellStyle="Normal"/>
    <tableColumn id="5" xr3:uid="{5D1896C0-B444-4560-A3C7-5D669DC8EB26}" name="SYBC" dataCellStyle="Normal"/>
    <tableColumn id="6" xr3:uid="{0461D044-9BDD-457F-BBD8-C1E6CB8CC57D}" name="SYBB" dataCellStyle="Normal"/>
    <tableColumn id="7" xr3:uid="{A6792D42-BD3F-4778-84A9-314102E12A8C}" name="LYXF" dataCellStyle="Normal"/>
    <tableColumn id="8" xr3:uid="{69532293-AA49-45E5-BBF8-8F3A3D543E1D}" name="JGHY" dataCellStyle="Normal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860077D-10D3-474E-B62D-F839EEA827F3}" name="helper_ya" displayName="helper_ya" ref="A75:B116" totalsRowShown="0" headerRowCellStyle="Normal" dataCellStyle="Normal">
  <autoFilter ref="A75:B116" xr:uid="{3860077D-10D3-474E-B62D-F839EEA827F3}"/>
  <tableColumns count="2">
    <tableColumn id="1" xr3:uid="{A8DADA7D-97B6-4726-B3BB-51130F90AA3E}" name="Year" dataCellStyle="Normal"/>
    <tableColumn id="2" xr3:uid="{D33A0E2F-CD34-4831-AC3C-32EFC6AFD0A7}" name="Category" dataCellStyle="Normal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318D72BF-F7F8-4316-9F65-68ECCAFC99F4}" name="Table28" displayName="Table28" ref="A1:I37" totalsRowShown="0" headerRowCellStyle="Normal" dataCellStyle="Normal">
  <autoFilter ref="A1:I37" xr:uid="{318D72BF-F7F8-4316-9F65-68ECCAFC99F4}"/>
  <tableColumns count="9">
    <tableColumn id="13" xr3:uid="{F6567203-EE8B-40E1-BF75-314E67FC0CC6}" name="Type" dataCellStyle="Normal"/>
    <tableColumn id="12" xr3:uid="{BC46E823-8690-4877-B159-2464DA6EC7BF}" name="Time Horizon" dataCellStyle="Normal"/>
    <tableColumn id="11" xr3:uid="{98C22DCC-58F3-45F9-8058-A383C0661393}" name="EUNK" dataDxfId="6" dataCellStyle="Normal"/>
    <tableColumn id="10" xr3:uid="{765CE0E9-4E74-41E0-B3BC-3D2E80D2FBB2}" name="SXR4" dataDxfId="5" dataCellStyle="Normal"/>
    <tableColumn id="9" xr3:uid="{80B6F5FA-DE99-44F8-AC88-9802F2B5EA87}" name="IUSN" dataDxfId="4" dataCellStyle="Normal"/>
    <tableColumn id="8" xr3:uid="{FF3B6BD7-4475-432C-93FB-CB77C3B918B4}" name="SYBC" dataDxfId="3" dataCellStyle="Normal"/>
    <tableColumn id="7" xr3:uid="{D87B2E33-EC4D-479A-8FB7-D32CDB142CC3}" name="SYBB" dataDxfId="2" dataCellStyle="Normal"/>
    <tableColumn id="6" xr3:uid="{CB0D461B-88CD-40D5-8661-E923FD790D78}" name="LYXF" dataDxfId="1" dataCellStyle="Normal"/>
    <tableColumn id="5" xr3:uid="{B165C74D-3D2A-4D9A-AC02-1DD4E8F300E1}" name="JGHY" dataDxfId="0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2.xml"/><Relationship Id="rId3" Type="http://schemas.openxmlformats.org/officeDocument/2006/relationships/table" Target="../tables/table17.xml"/><Relationship Id="rId7" Type="http://schemas.openxmlformats.org/officeDocument/2006/relationships/table" Target="../tables/table21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Relationship Id="rId6" Type="http://schemas.openxmlformats.org/officeDocument/2006/relationships/table" Target="../tables/table20.xml"/><Relationship Id="rId5" Type="http://schemas.openxmlformats.org/officeDocument/2006/relationships/table" Target="../tables/table19.xml"/><Relationship Id="rId4" Type="http://schemas.openxmlformats.org/officeDocument/2006/relationships/table" Target="../tables/table1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CF78F-1C0D-4BC5-A49C-ED9FDDBB5B8B}">
  <sheetPr>
    <tabColor theme="7" tint="0.79998168889431442"/>
  </sheetPr>
  <dimension ref="B3:C10"/>
  <sheetViews>
    <sheetView zoomScaleNormal="100" workbookViewId="0"/>
  </sheetViews>
  <sheetFormatPr defaultColWidth="8.7109375" defaultRowHeight="15" x14ac:dyDescent="0.25"/>
  <cols>
    <col min="1" max="1" width="8.7109375" style="1"/>
    <col min="2" max="2" width="20.5703125" style="1" bestFit="1" customWidth="1"/>
    <col min="3" max="16384" width="8.7109375" style="1"/>
  </cols>
  <sheetData>
    <row r="3" spans="2:3" ht="24" x14ac:dyDescent="0.4">
      <c r="B3" s="4" t="s">
        <v>47</v>
      </c>
    </row>
    <row r="4" spans="2:3" x14ac:dyDescent="0.25">
      <c r="B4" s="2" t="s">
        <v>52</v>
      </c>
    </row>
    <row r="5" spans="2:3" x14ac:dyDescent="0.25">
      <c r="B5" s="3" t="s">
        <v>51</v>
      </c>
      <c r="C5" s="1" t="s">
        <v>48</v>
      </c>
    </row>
    <row r="6" spans="2:3" x14ac:dyDescent="0.25">
      <c r="B6" s="7" t="s">
        <v>60</v>
      </c>
      <c r="C6" s="1" t="s">
        <v>61</v>
      </c>
    </row>
    <row r="8" spans="2:3" ht="24" x14ac:dyDescent="0.4">
      <c r="B8" s="4" t="s">
        <v>49</v>
      </c>
    </row>
    <row r="9" spans="2:3" x14ac:dyDescent="0.25">
      <c r="B9" s="5" t="s">
        <v>50</v>
      </c>
    </row>
    <row r="10" spans="2:3" x14ac:dyDescent="0.25">
      <c r="B10" s="6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5F8F9-BD43-423D-B38E-56C397C5008C}">
  <sheetPr>
    <tabColor theme="4" tint="0.79998168889431442"/>
  </sheetPr>
  <dimension ref="A1:E4"/>
  <sheetViews>
    <sheetView zoomScaleNormal="100" workbookViewId="0"/>
  </sheetViews>
  <sheetFormatPr defaultColWidth="8.7109375" defaultRowHeight="15" x14ac:dyDescent="0.25"/>
  <cols>
    <col min="1" max="1" width="20" bestFit="1" customWidth="1"/>
    <col min="2" max="3" width="13.28515625" bestFit="1" customWidth="1"/>
    <col min="4" max="4" width="11.5703125" bestFit="1" customWidth="1"/>
    <col min="5" max="5" width="13.28515625" bestFit="1" customWidth="1"/>
  </cols>
  <sheetData>
    <row r="1" spans="1:5" x14ac:dyDescent="0.25">
      <c r="A1" t="s">
        <v>79</v>
      </c>
      <c r="B1" t="s">
        <v>75</v>
      </c>
      <c r="C1" t="s">
        <v>76</v>
      </c>
      <c r="D1" t="s">
        <v>77</v>
      </c>
      <c r="E1" t="s">
        <v>78</v>
      </c>
    </row>
    <row r="2" spans="1:5" x14ac:dyDescent="0.25">
      <c r="A2" t="s">
        <v>72</v>
      </c>
      <c r="B2">
        <v>1</v>
      </c>
      <c r="C2">
        <v>0.45</v>
      </c>
      <c r="D2">
        <v>0.5</v>
      </c>
      <c r="E2">
        <v>0.57999999999999996</v>
      </c>
    </row>
    <row r="3" spans="1:5" x14ac:dyDescent="0.25">
      <c r="A3" t="s">
        <v>73</v>
      </c>
      <c r="B3">
        <v>5157000</v>
      </c>
      <c r="C3">
        <v>5000000</v>
      </c>
      <c r="D3">
        <v>713500</v>
      </c>
      <c r="E3">
        <v>8812000</v>
      </c>
    </row>
    <row r="4" spans="1:5" x14ac:dyDescent="0.25">
      <c r="A4" t="s">
        <v>74</v>
      </c>
      <c r="B4">
        <v>10</v>
      </c>
      <c r="C4">
        <v>30</v>
      </c>
      <c r="D4">
        <v>4</v>
      </c>
      <c r="E4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6B7F-EC28-43DF-AEC2-665EA1610B0E}">
  <sheetPr>
    <tabColor theme="4" tint="0.79998168889431442"/>
  </sheetPr>
  <dimension ref="A1:E4"/>
  <sheetViews>
    <sheetView zoomScaleNormal="100" workbookViewId="0"/>
  </sheetViews>
  <sheetFormatPr defaultColWidth="8.7109375" defaultRowHeight="15" x14ac:dyDescent="0.25"/>
  <cols>
    <col min="1" max="1" width="20" bestFit="1" customWidth="1"/>
    <col min="2" max="3" width="13.28515625" bestFit="1" customWidth="1"/>
    <col min="4" max="4" width="11.5703125" bestFit="1" customWidth="1"/>
    <col min="5" max="5" width="13.28515625" bestFit="1" customWidth="1"/>
  </cols>
  <sheetData>
    <row r="1" spans="1:5" x14ac:dyDescent="0.25">
      <c r="A1" t="s">
        <v>79</v>
      </c>
      <c r="B1" t="s">
        <v>75</v>
      </c>
      <c r="C1" t="s">
        <v>76</v>
      </c>
      <c r="D1" t="s">
        <v>77</v>
      </c>
      <c r="E1" t="s">
        <v>78</v>
      </c>
    </row>
    <row r="2" spans="1:5" x14ac:dyDescent="0.25">
      <c r="A2" t="s">
        <v>72</v>
      </c>
      <c r="B2">
        <v>1</v>
      </c>
      <c r="C2">
        <v>0.45</v>
      </c>
      <c r="D2">
        <v>0.5</v>
      </c>
      <c r="E2">
        <v>0.57999999999999996</v>
      </c>
    </row>
    <row r="3" spans="1:5" x14ac:dyDescent="0.25">
      <c r="A3" t="s">
        <v>73</v>
      </c>
      <c r="B3">
        <v>5157000</v>
      </c>
      <c r="C3">
        <v>5000000</v>
      </c>
      <c r="D3">
        <v>713500</v>
      </c>
      <c r="E3">
        <v>8812000</v>
      </c>
    </row>
    <row r="4" spans="1:5" x14ac:dyDescent="0.25">
      <c r="A4" t="s">
        <v>74</v>
      </c>
      <c r="B4">
        <v>10</v>
      </c>
      <c r="C4">
        <v>30</v>
      </c>
      <c r="D4">
        <v>4</v>
      </c>
      <c r="E4">
        <v>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5E26-0D27-4F2D-BD5C-FE681A33A0C8}">
  <sheetPr>
    <tabColor theme="7" tint="0.79998168889431442"/>
  </sheetPr>
  <dimension ref="A1:E52"/>
  <sheetViews>
    <sheetView zoomScaleNormal="100" workbookViewId="0"/>
  </sheetViews>
  <sheetFormatPr defaultColWidth="8.7109375" defaultRowHeight="15" x14ac:dyDescent="0.25"/>
  <cols>
    <col min="2" max="2" width="13.140625" customWidth="1"/>
    <col min="3" max="3" width="11.5703125" customWidth="1"/>
    <col min="4" max="4" width="11.28515625" customWidth="1"/>
    <col min="5" max="5" width="16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2025</v>
      </c>
      <c r="C2">
        <v>25</v>
      </c>
      <c r="D2">
        <v>40</v>
      </c>
      <c r="E2" t="s">
        <v>0</v>
      </c>
    </row>
    <row r="3" spans="1:5" x14ac:dyDescent="0.25">
      <c r="A3">
        <v>2</v>
      </c>
      <c r="B3">
        <v>2026</v>
      </c>
      <c r="C3">
        <f>C2+1</f>
        <v>26</v>
      </c>
      <c r="D3">
        <f>D2+1</f>
        <v>41</v>
      </c>
      <c r="E3" t="s">
        <v>0</v>
      </c>
    </row>
    <row r="4" spans="1:5" x14ac:dyDescent="0.25">
      <c r="A4">
        <v>3</v>
      </c>
      <c r="B4">
        <v>2027</v>
      </c>
      <c r="C4">
        <f t="shared" ref="C4:C15" si="0">C3+1</f>
        <v>27</v>
      </c>
      <c r="D4">
        <f t="shared" ref="D4:D15" si="1">D3+1</f>
        <v>42</v>
      </c>
      <c r="E4" t="s">
        <v>0</v>
      </c>
    </row>
    <row r="5" spans="1:5" x14ac:dyDescent="0.25">
      <c r="A5">
        <v>4</v>
      </c>
      <c r="B5">
        <v>2028</v>
      </c>
      <c r="C5">
        <f t="shared" si="0"/>
        <v>28</v>
      </c>
      <c r="D5">
        <f t="shared" si="1"/>
        <v>43</v>
      </c>
      <c r="E5" t="s">
        <v>0</v>
      </c>
    </row>
    <row r="6" spans="1:5" x14ac:dyDescent="0.25">
      <c r="A6">
        <v>5</v>
      </c>
      <c r="B6">
        <v>2029</v>
      </c>
      <c r="C6">
        <f t="shared" si="0"/>
        <v>29</v>
      </c>
      <c r="D6">
        <f t="shared" si="1"/>
        <v>44</v>
      </c>
      <c r="E6" t="s">
        <v>0</v>
      </c>
    </row>
    <row r="7" spans="1:5" x14ac:dyDescent="0.25">
      <c r="A7">
        <v>6</v>
      </c>
      <c r="B7">
        <v>2030</v>
      </c>
      <c r="C7">
        <f t="shared" si="0"/>
        <v>30</v>
      </c>
      <c r="D7">
        <f t="shared" si="1"/>
        <v>45</v>
      </c>
      <c r="E7" t="s">
        <v>0</v>
      </c>
    </row>
    <row r="8" spans="1:5" x14ac:dyDescent="0.25">
      <c r="A8">
        <v>7</v>
      </c>
      <c r="B8">
        <v>2031</v>
      </c>
      <c r="C8">
        <f t="shared" si="0"/>
        <v>31</v>
      </c>
      <c r="D8">
        <f t="shared" si="1"/>
        <v>46</v>
      </c>
      <c r="E8" t="s">
        <v>0</v>
      </c>
    </row>
    <row r="9" spans="1:5" x14ac:dyDescent="0.25">
      <c r="A9">
        <v>8</v>
      </c>
      <c r="B9">
        <v>2032</v>
      </c>
      <c r="C9">
        <f t="shared" si="0"/>
        <v>32</v>
      </c>
      <c r="D9">
        <f t="shared" si="1"/>
        <v>47</v>
      </c>
      <c r="E9" t="s">
        <v>0</v>
      </c>
    </row>
    <row r="10" spans="1:5" x14ac:dyDescent="0.25">
      <c r="A10">
        <v>9</v>
      </c>
      <c r="B10">
        <v>2033</v>
      </c>
      <c r="C10">
        <f t="shared" si="0"/>
        <v>33</v>
      </c>
      <c r="D10">
        <f t="shared" si="1"/>
        <v>48</v>
      </c>
      <c r="E10" t="s">
        <v>0</v>
      </c>
    </row>
    <row r="11" spans="1:5" x14ac:dyDescent="0.25">
      <c r="A11">
        <v>10</v>
      </c>
      <c r="B11">
        <v>2034</v>
      </c>
      <c r="C11">
        <f t="shared" si="0"/>
        <v>34</v>
      </c>
      <c r="D11">
        <f t="shared" si="1"/>
        <v>49</v>
      </c>
      <c r="E11" t="s">
        <v>0</v>
      </c>
    </row>
    <row r="12" spans="1:5" x14ac:dyDescent="0.25">
      <c r="A12">
        <v>11</v>
      </c>
      <c r="B12">
        <v>2035</v>
      </c>
      <c r="C12">
        <f t="shared" si="0"/>
        <v>35</v>
      </c>
      <c r="D12">
        <f t="shared" si="1"/>
        <v>50</v>
      </c>
      <c r="E12" t="s">
        <v>0</v>
      </c>
    </row>
    <row r="13" spans="1:5" x14ac:dyDescent="0.25">
      <c r="A13">
        <v>12</v>
      </c>
      <c r="B13">
        <v>2036</v>
      </c>
      <c r="C13">
        <f t="shared" si="0"/>
        <v>36</v>
      </c>
      <c r="D13">
        <f t="shared" si="1"/>
        <v>51</v>
      </c>
      <c r="E13" t="s">
        <v>0</v>
      </c>
    </row>
    <row r="14" spans="1:5" x14ac:dyDescent="0.25">
      <c r="A14">
        <v>13</v>
      </c>
      <c r="B14">
        <v>2037</v>
      </c>
      <c r="C14">
        <f t="shared" si="0"/>
        <v>37</v>
      </c>
      <c r="D14">
        <f t="shared" si="1"/>
        <v>52</v>
      </c>
      <c r="E14" t="s">
        <v>0</v>
      </c>
    </row>
    <row r="15" spans="1:5" x14ac:dyDescent="0.25">
      <c r="A15">
        <v>14</v>
      </c>
      <c r="B15">
        <v>2038</v>
      </c>
      <c r="C15">
        <f t="shared" si="0"/>
        <v>38</v>
      </c>
      <c r="D15">
        <f t="shared" si="1"/>
        <v>53</v>
      </c>
      <c r="E15" t="s">
        <v>0</v>
      </c>
    </row>
    <row r="16" spans="1:5" x14ac:dyDescent="0.25">
      <c r="A16">
        <v>15</v>
      </c>
      <c r="B16">
        <v>2039</v>
      </c>
      <c r="C16">
        <f>C15+1</f>
        <v>39</v>
      </c>
      <c r="D16">
        <f>D15+1</f>
        <v>54</v>
      </c>
      <c r="E16" t="s">
        <v>0</v>
      </c>
    </row>
    <row r="17" spans="1:5" x14ac:dyDescent="0.25">
      <c r="A17">
        <v>16</v>
      </c>
      <c r="B17">
        <v>2040</v>
      </c>
      <c r="C17">
        <f t="shared" ref="C17:C27" si="2">C16+1</f>
        <v>40</v>
      </c>
      <c r="D17">
        <f t="shared" ref="D17:D27" si="3">D16+1</f>
        <v>55</v>
      </c>
      <c r="E17" t="s">
        <v>0</v>
      </c>
    </row>
    <row r="18" spans="1:5" x14ac:dyDescent="0.25">
      <c r="A18">
        <v>17</v>
      </c>
      <c r="B18">
        <v>2041</v>
      </c>
      <c r="C18">
        <f t="shared" si="2"/>
        <v>41</v>
      </c>
      <c r="D18">
        <f t="shared" si="3"/>
        <v>56</v>
      </c>
      <c r="E18" t="s">
        <v>0</v>
      </c>
    </row>
    <row r="19" spans="1:5" x14ac:dyDescent="0.25">
      <c r="A19">
        <v>18</v>
      </c>
      <c r="B19">
        <v>2042</v>
      </c>
      <c r="C19">
        <f t="shared" si="2"/>
        <v>42</v>
      </c>
      <c r="D19">
        <f t="shared" si="3"/>
        <v>57</v>
      </c>
      <c r="E19" t="s">
        <v>0</v>
      </c>
    </row>
    <row r="20" spans="1:5" x14ac:dyDescent="0.25">
      <c r="A20">
        <v>19</v>
      </c>
      <c r="B20">
        <v>2043</v>
      </c>
      <c r="C20">
        <f t="shared" si="2"/>
        <v>43</v>
      </c>
      <c r="D20">
        <f t="shared" si="3"/>
        <v>58</v>
      </c>
      <c r="E20" t="s">
        <v>0</v>
      </c>
    </row>
    <row r="21" spans="1:5" x14ac:dyDescent="0.25">
      <c r="A21">
        <v>20</v>
      </c>
      <c r="B21">
        <v>2044</v>
      </c>
      <c r="C21">
        <f t="shared" si="2"/>
        <v>44</v>
      </c>
      <c r="D21">
        <f t="shared" si="3"/>
        <v>59</v>
      </c>
      <c r="E21" t="s">
        <v>0</v>
      </c>
    </row>
    <row r="22" spans="1:5" x14ac:dyDescent="0.25">
      <c r="A22">
        <v>21</v>
      </c>
      <c r="B22">
        <v>2045</v>
      </c>
      <c r="C22">
        <f t="shared" si="2"/>
        <v>45</v>
      </c>
      <c r="D22">
        <f t="shared" si="3"/>
        <v>60</v>
      </c>
      <c r="E22" t="s">
        <v>0</v>
      </c>
    </row>
    <row r="23" spans="1:5" x14ac:dyDescent="0.25">
      <c r="A23">
        <v>22</v>
      </c>
      <c r="B23">
        <v>2046</v>
      </c>
      <c r="C23">
        <f t="shared" si="2"/>
        <v>46</v>
      </c>
      <c r="D23">
        <f t="shared" si="3"/>
        <v>61</v>
      </c>
      <c r="E23" t="s">
        <v>0</v>
      </c>
    </row>
    <row r="24" spans="1:5" x14ac:dyDescent="0.25">
      <c r="A24">
        <v>23</v>
      </c>
      <c r="B24">
        <v>2047</v>
      </c>
      <c r="C24">
        <f t="shared" si="2"/>
        <v>47</v>
      </c>
      <c r="D24">
        <f t="shared" si="3"/>
        <v>62</v>
      </c>
      <c r="E24" t="s">
        <v>0</v>
      </c>
    </row>
    <row r="25" spans="1:5" x14ac:dyDescent="0.25">
      <c r="A25">
        <v>24</v>
      </c>
      <c r="B25">
        <v>2048</v>
      </c>
      <c r="C25">
        <f t="shared" si="2"/>
        <v>48</v>
      </c>
      <c r="D25">
        <f t="shared" si="3"/>
        <v>63</v>
      </c>
      <c r="E25" t="s">
        <v>0</v>
      </c>
    </row>
    <row r="26" spans="1:5" x14ac:dyDescent="0.25">
      <c r="A26">
        <v>25</v>
      </c>
      <c r="B26">
        <v>2049</v>
      </c>
      <c r="C26">
        <f t="shared" si="2"/>
        <v>49</v>
      </c>
      <c r="D26">
        <f t="shared" si="3"/>
        <v>64</v>
      </c>
      <c r="E26" t="s">
        <v>0</v>
      </c>
    </row>
    <row r="27" spans="1:5" x14ac:dyDescent="0.25">
      <c r="A27">
        <v>26</v>
      </c>
      <c r="B27">
        <v>2050</v>
      </c>
      <c r="C27">
        <f t="shared" si="2"/>
        <v>50</v>
      </c>
      <c r="D27">
        <f t="shared" si="3"/>
        <v>65</v>
      </c>
      <c r="E27" t="s">
        <v>0</v>
      </c>
    </row>
    <row r="28" spans="1:5" x14ac:dyDescent="0.25">
      <c r="A28">
        <v>27</v>
      </c>
      <c r="B28">
        <v>2051</v>
      </c>
      <c r="C28">
        <f t="shared" ref="C28:C31" si="4">C27+1</f>
        <v>51</v>
      </c>
      <c r="D28">
        <f t="shared" ref="D28:D31" si="5">D27+1</f>
        <v>66</v>
      </c>
      <c r="E28" t="s">
        <v>0</v>
      </c>
    </row>
    <row r="29" spans="1:5" x14ac:dyDescent="0.25">
      <c r="A29">
        <v>28</v>
      </c>
      <c r="B29">
        <v>2052</v>
      </c>
      <c r="C29">
        <f t="shared" si="4"/>
        <v>52</v>
      </c>
      <c r="D29">
        <f t="shared" si="5"/>
        <v>67</v>
      </c>
      <c r="E29" t="s">
        <v>0</v>
      </c>
    </row>
    <row r="30" spans="1:5" x14ac:dyDescent="0.25">
      <c r="A30">
        <v>29</v>
      </c>
      <c r="B30">
        <v>2053</v>
      </c>
      <c r="C30">
        <f t="shared" si="4"/>
        <v>53</v>
      </c>
      <c r="D30">
        <f t="shared" si="5"/>
        <v>68</v>
      </c>
      <c r="E30" t="s">
        <v>0</v>
      </c>
    </row>
    <row r="31" spans="1:5" x14ac:dyDescent="0.25">
      <c r="A31">
        <v>30</v>
      </c>
      <c r="B31">
        <v>2054</v>
      </c>
      <c r="C31">
        <f t="shared" si="4"/>
        <v>54</v>
      </c>
      <c r="D31">
        <f t="shared" si="5"/>
        <v>69</v>
      </c>
      <c r="E31" t="s">
        <v>0</v>
      </c>
    </row>
    <row r="32" spans="1:5" x14ac:dyDescent="0.25">
      <c r="A32">
        <v>31</v>
      </c>
      <c r="B32">
        <v>2055</v>
      </c>
      <c r="C32">
        <f t="shared" ref="C32:C42" si="6">C31+1</f>
        <v>55</v>
      </c>
      <c r="D32">
        <f t="shared" ref="D32:D42" si="7">D31+1</f>
        <v>70</v>
      </c>
      <c r="E32" t="s">
        <v>0</v>
      </c>
    </row>
    <row r="33" spans="1:5" x14ac:dyDescent="0.25">
      <c r="A33">
        <v>32</v>
      </c>
      <c r="B33">
        <v>2056</v>
      </c>
      <c r="C33">
        <f t="shared" si="6"/>
        <v>56</v>
      </c>
      <c r="D33">
        <f t="shared" si="7"/>
        <v>71</v>
      </c>
      <c r="E33" t="s">
        <v>0</v>
      </c>
    </row>
    <row r="34" spans="1:5" x14ac:dyDescent="0.25">
      <c r="A34">
        <v>33</v>
      </c>
      <c r="B34">
        <v>2057</v>
      </c>
      <c r="C34">
        <f t="shared" si="6"/>
        <v>57</v>
      </c>
      <c r="D34">
        <f t="shared" si="7"/>
        <v>72</v>
      </c>
      <c r="E34" t="s">
        <v>0</v>
      </c>
    </row>
    <row r="35" spans="1:5" x14ac:dyDescent="0.25">
      <c r="A35">
        <v>34</v>
      </c>
      <c r="B35">
        <v>2058</v>
      </c>
      <c r="C35">
        <f t="shared" si="6"/>
        <v>58</v>
      </c>
      <c r="D35">
        <f t="shared" si="7"/>
        <v>73</v>
      </c>
      <c r="E35" t="s">
        <v>0</v>
      </c>
    </row>
    <row r="36" spans="1:5" x14ac:dyDescent="0.25">
      <c r="A36">
        <v>35</v>
      </c>
      <c r="B36">
        <v>2059</v>
      </c>
      <c r="C36">
        <f t="shared" si="6"/>
        <v>59</v>
      </c>
      <c r="D36">
        <f t="shared" si="7"/>
        <v>74</v>
      </c>
      <c r="E36" t="s">
        <v>0</v>
      </c>
    </row>
    <row r="37" spans="1:5" x14ac:dyDescent="0.25">
      <c r="A37">
        <v>36</v>
      </c>
      <c r="B37">
        <v>2060</v>
      </c>
      <c r="C37">
        <f t="shared" si="6"/>
        <v>60</v>
      </c>
      <c r="D37">
        <f t="shared" si="7"/>
        <v>75</v>
      </c>
      <c r="E37" t="s">
        <v>0</v>
      </c>
    </row>
    <row r="38" spans="1:5" x14ac:dyDescent="0.25">
      <c r="A38">
        <v>37</v>
      </c>
      <c r="B38">
        <v>2061</v>
      </c>
      <c r="C38">
        <f t="shared" si="6"/>
        <v>61</v>
      </c>
      <c r="D38">
        <f t="shared" si="7"/>
        <v>76</v>
      </c>
      <c r="E38" t="s">
        <v>0</v>
      </c>
    </row>
    <row r="39" spans="1:5" x14ac:dyDescent="0.25">
      <c r="A39">
        <v>38</v>
      </c>
      <c r="B39">
        <v>2062</v>
      </c>
      <c r="C39">
        <f t="shared" si="6"/>
        <v>62</v>
      </c>
      <c r="D39">
        <f t="shared" si="7"/>
        <v>77</v>
      </c>
      <c r="E39" t="s">
        <v>0</v>
      </c>
    </row>
    <row r="40" spans="1:5" x14ac:dyDescent="0.25">
      <c r="A40">
        <v>39</v>
      </c>
      <c r="B40">
        <v>2063</v>
      </c>
      <c r="C40">
        <f t="shared" si="6"/>
        <v>63</v>
      </c>
      <c r="D40">
        <f t="shared" si="7"/>
        <v>78</v>
      </c>
      <c r="E40" t="s">
        <v>0</v>
      </c>
    </row>
    <row r="41" spans="1:5" x14ac:dyDescent="0.25">
      <c r="A41">
        <v>40</v>
      </c>
      <c r="B41">
        <v>2064</v>
      </c>
      <c r="C41">
        <f t="shared" si="6"/>
        <v>64</v>
      </c>
      <c r="D41">
        <f t="shared" si="7"/>
        <v>79</v>
      </c>
      <c r="E41" t="s">
        <v>0</v>
      </c>
    </row>
    <row r="42" spans="1:5" x14ac:dyDescent="0.25">
      <c r="A42">
        <v>41</v>
      </c>
      <c r="B42">
        <v>2065</v>
      </c>
      <c r="C42">
        <f t="shared" si="6"/>
        <v>65</v>
      </c>
      <c r="D42">
        <f t="shared" si="7"/>
        <v>80</v>
      </c>
      <c r="E42" t="s">
        <v>0</v>
      </c>
    </row>
    <row r="43" spans="1:5" x14ac:dyDescent="0.25">
      <c r="A43">
        <v>42</v>
      </c>
      <c r="B43">
        <v>2066</v>
      </c>
      <c r="C43">
        <f t="shared" ref="C43:C52" si="8">C42+1</f>
        <v>66</v>
      </c>
      <c r="D43">
        <f t="shared" ref="D43:D52" si="9">D42+1</f>
        <v>81</v>
      </c>
      <c r="E43" t="s">
        <v>0</v>
      </c>
    </row>
    <row r="44" spans="1:5" x14ac:dyDescent="0.25">
      <c r="A44">
        <v>43</v>
      </c>
      <c r="B44">
        <v>2067</v>
      </c>
      <c r="C44">
        <f t="shared" si="8"/>
        <v>67</v>
      </c>
      <c r="D44">
        <f t="shared" si="9"/>
        <v>82</v>
      </c>
      <c r="E44" t="s">
        <v>0</v>
      </c>
    </row>
    <row r="45" spans="1:5" x14ac:dyDescent="0.25">
      <c r="A45">
        <v>44</v>
      </c>
      <c r="B45">
        <v>2068</v>
      </c>
      <c r="C45">
        <f t="shared" si="8"/>
        <v>68</v>
      </c>
      <c r="D45">
        <f t="shared" si="9"/>
        <v>83</v>
      </c>
      <c r="E45" t="s">
        <v>0</v>
      </c>
    </row>
    <row r="46" spans="1:5" x14ac:dyDescent="0.25">
      <c r="A46">
        <v>45</v>
      </c>
      <c r="B46">
        <v>2069</v>
      </c>
      <c r="C46">
        <f t="shared" si="8"/>
        <v>69</v>
      </c>
      <c r="D46">
        <f t="shared" si="9"/>
        <v>84</v>
      </c>
      <c r="E46" t="s">
        <v>0</v>
      </c>
    </row>
    <row r="47" spans="1:5" x14ac:dyDescent="0.25">
      <c r="A47">
        <v>46</v>
      </c>
      <c r="B47">
        <v>2070</v>
      </c>
      <c r="C47">
        <f t="shared" si="8"/>
        <v>70</v>
      </c>
      <c r="D47">
        <f t="shared" si="9"/>
        <v>85</v>
      </c>
      <c r="E47" t="s">
        <v>0</v>
      </c>
    </row>
    <row r="48" spans="1:5" x14ac:dyDescent="0.25">
      <c r="A48">
        <v>47</v>
      </c>
      <c r="B48">
        <v>2071</v>
      </c>
      <c r="C48">
        <f t="shared" si="8"/>
        <v>71</v>
      </c>
      <c r="D48">
        <f t="shared" si="9"/>
        <v>86</v>
      </c>
      <c r="E48" t="s">
        <v>0</v>
      </c>
    </row>
    <row r="49" spans="1:5" x14ac:dyDescent="0.25">
      <c r="A49">
        <v>48</v>
      </c>
      <c r="B49">
        <v>2072</v>
      </c>
      <c r="C49">
        <f t="shared" si="8"/>
        <v>72</v>
      </c>
      <c r="D49">
        <f t="shared" si="9"/>
        <v>87</v>
      </c>
      <c r="E49" t="s">
        <v>0</v>
      </c>
    </row>
    <row r="50" spans="1:5" x14ac:dyDescent="0.25">
      <c r="A50">
        <v>49</v>
      </c>
      <c r="B50">
        <v>2073</v>
      </c>
      <c r="C50">
        <f t="shared" si="8"/>
        <v>73</v>
      </c>
      <c r="D50">
        <f t="shared" si="9"/>
        <v>88</v>
      </c>
      <c r="E50" t="s">
        <v>0</v>
      </c>
    </row>
    <row r="51" spans="1:5" x14ac:dyDescent="0.25">
      <c r="A51">
        <v>50</v>
      </c>
      <c r="B51">
        <v>2074</v>
      </c>
      <c r="C51">
        <f t="shared" si="8"/>
        <v>74</v>
      </c>
      <c r="D51">
        <f t="shared" si="9"/>
        <v>89</v>
      </c>
      <c r="E51" t="s">
        <v>0</v>
      </c>
    </row>
    <row r="52" spans="1:5" x14ac:dyDescent="0.25">
      <c r="A52">
        <v>51</v>
      </c>
      <c r="B52">
        <v>2075</v>
      </c>
      <c r="C52">
        <f t="shared" si="8"/>
        <v>75</v>
      </c>
      <c r="D52">
        <f t="shared" si="9"/>
        <v>90</v>
      </c>
      <c r="E52" t="s">
        <v>0</v>
      </c>
    </row>
  </sheetData>
  <pageMargins left="0.7" right="0.7" top="0.75" bottom="0.75" header="0.3" footer="0.3"/>
  <ignoredErrors>
    <ignoredError sqref="C2:D2" calculatedColumn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D19F4-A05D-45D0-B8F0-DC7FDC307651}">
  <sheetPr>
    <tabColor theme="7" tint="0.79998168889431442"/>
  </sheetPr>
  <dimension ref="A1:M47"/>
  <sheetViews>
    <sheetView zoomScaleNormal="100" workbookViewId="0"/>
  </sheetViews>
  <sheetFormatPr defaultColWidth="8.7109375" defaultRowHeight="15" x14ac:dyDescent="0.25"/>
  <cols>
    <col min="1" max="1" width="13.42578125" bestFit="1" customWidth="1"/>
    <col min="2" max="2" width="17.85546875" bestFit="1" customWidth="1"/>
    <col min="3" max="3" width="18.28515625" bestFit="1" customWidth="1"/>
    <col min="4" max="4" width="14.42578125" customWidth="1"/>
    <col min="5" max="5" width="25.7109375" bestFit="1" customWidth="1"/>
    <col min="6" max="6" width="5.140625" bestFit="1" customWidth="1"/>
    <col min="9" max="9" width="11.42578125" bestFit="1" customWidth="1"/>
    <col min="10" max="10" width="33.5703125" bestFit="1" customWidth="1"/>
    <col min="11" max="11" width="34" bestFit="1" customWidth="1"/>
    <col min="12" max="12" width="18.28515625" bestFit="1" customWidth="1"/>
    <col min="13" max="13" width="18.7109375" bestFit="1" customWidth="1"/>
  </cols>
  <sheetData>
    <row r="1" spans="1:13" x14ac:dyDescent="0.25">
      <c r="A1" t="s">
        <v>1</v>
      </c>
      <c r="B1" t="s">
        <v>5</v>
      </c>
      <c r="C1" t="s">
        <v>6</v>
      </c>
      <c r="E1" t="s">
        <v>68</v>
      </c>
      <c r="F1">
        <v>0.04</v>
      </c>
      <c r="J1" t="s">
        <v>7</v>
      </c>
      <c r="K1" t="s">
        <v>8</v>
      </c>
      <c r="L1" t="s">
        <v>62</v>
      </c>
      <c r="M1" t="s">
        <v>63</v>
      </c>
    </row>
    <row r="2" spans="1:13" x14ac:dyDescent="0.25">
      <c r="A2">
        <v>2025</v>
      </c>
      <c r="B2" s="8">
        <f>(TableIncomeCalculations[[#This Row],[GrossMonthlySalaryP1]]*12)</f>
        <v>526452</v>
      </c>
      <c r="C2" s="8">
        <f>(TableIncomeCalculations[[#This Row],[GrossMonthlySalaryP2]]*12)</f>
        <v>768012</v>
      </c>
      <c r="E2" t="s">
        <v>69</v>
      </c>
      <c r="F2">
        <v>0.05</v>
      </c>
      <c r="J2">
        <v>43871</v>
      </c>
      <c r="K2">
        <v>64001</v>
      </c>
      <c r="L2" t="str">
        <f>_xlfn.XLOOKUP(_xlfn.XLOOKUP(TableIncome[[#This Row],[Year]],Loop!B:B,Loop!C:C),'Job Hopping'!A:A,'Job Hopping'!E:E)</f>
        <v>N</v>
      </c>
      <c r="M2" t="str">
        <f>_xlfn.XLOOKUP(_xlfn.XLOOKUP(TableIncome[[#This Row],[Year]],Loop!B:B,Loop!D:D),'Job Hopping'!A:A,'Job Hopping'!F:F)</f>
        <v>N</v>
      </c>
    </row>
    <row r="3" spans="1:13" x14ac:dyDescent="0.25">
      <c r="A3">
        <v>2026</v>
      </c>
      <c r="B3" s="8">
        <f>(TableIncomeCalculations[[#This Row],[GrossMonthlySalaryP1]]*12)</f>
        <v>531716.52</v>
      </c>
      <c r="C3" s="8">
        <f>(TableIncomeCalculations[[#This Row],[GrossMonthlySalaryP2]]*12)</f>
        <v>775692.12</v>
      </c>
      <c r="E3" t="s">
        <v>71</v>
      </c>
      <c r="F3">
        <f>F2-F1</f>
        <v>1.0000000000000002E-2</v>
      </c>
      <c r="J3">
        <f>IF(_xlfn.XLOOKUP(TableIncome[[#This Row],[Year]],Loop!B:B,Loop!C:C)&lt;70,(J2*(1+$F$3))+IF(TableIncomeCalculations[[#This Row],[SwitchP1]]="Y",J2*$F$4,0),0)</f>
        <v>44309.71</v>
      </c>
      <c r="K3">
        <f>IF(_xlfn.XLOOKUP(TableIncome[[#This Row],[Year]],Loop!B:B,Loop!D:D)&lt;70,(K2*(1+$F$3))+IF(TableIncomeCalculations[[#This Row],[SwitchP2]]="Y",K2*$F$4,0),0)</f>
        <v>64641.01</v>
      </c>
      <c r="L3" t="str">
        <f>_xlfn.XLOOKUP(_xlfn.XLOOKUP(TableIncome[[#This Row],[Year]],Loop!B:B,Loop!C:C),'Job Hopping'!A:A,'Job Hopping'!E:E)</f>
        <v>N</v>
      </c>
      <c r="M3" t="str">
        <f>_xlfn.XLOOKUP(_xlfn.XLOOKUP(TableIncome[[#This Row],[Year]],Loop!B:B,Loop!D:D),'Job Hopping'!A:A,'Job Hopping'!F:F)</f>
        <v>N</v>
      </c>
    </row>
    <row r="4" spans="1:13" x14ac:dyDescent="0.25">
      <c r="A4">
        <v>2027</v>
      </c>
      <c r="B4" s="8">
        <f>(TableIncomeCalculations[[#This Row],[GrossMonthlySalaryP1]]*12)</f>
        <v>590205.33719999995</v>
      </c>
      <c r="C4" s="8">
        <f>(TableIncomeCalculations[[#This Row],[GrossMonthlySalaryP2]]*12)</f>
        <v>783449.04120000009</v>
      </c>
      <c r="E4" t="s">
        <v>70</v>
      </c>
      <c r="F4">
        <v>0.1</v>
      </c>
      <c r="J4">
        <f>IF(_xlfn.XLOOKUP(TableIncome[[#This Row],[Year]],Loop!B:B,Loop!C:C)&lt;70,(J3*(1+$F$3))+IF(TableIncomeCalculations[[#This Row],[SwitchP1]]="Y",J3*$F$4,0),0)</f>
        <v>49183.778099999996</v>
      </c>
      <c r="K4">
        <f>IF(_xlfn.XLOOKUP(TableIncome[[#This Row],[Year]],Loop!B:B,Loop!D:D)&lt;70,(K3*(1+$F$3))+IF(TableIncomeCalculations[[#This Row],[SwitchP2]]="Y",K3*$F$4,0),0)</f>
        <v>65287.420100000003</v>
      </c>
      <c r="L4" t="str">
        <f>_xlfn.XLOOKUP(_xlfn.XLOOKUP(TableIncome[[#This Row],[Year]],Loop!B:B,Loop!C:C),'Job Hopping'!A:A,'Job Hopping'!E:E)</f>
        <v>Y</v>
      </c>
      <c r="M4" t="str">
        <f>_xlfn.XLOOKUP(_xlfn.XLOOKUP(TableIncome[[#This Row],[Year]],Loop!B:B,Loop!D:D),'Job Hopping'!A:A,'Job Hopping'!F:F)</f>
        <v>N</v>
      </c>
    </row>
    <row r="5" spans="1:13" x14ac:dyDescent="0.25">
      <c r="A5">
        <v>2028</v>
      </c>
      <c r="B5" s="8">
        <f>(TableIncomeCalculations[[#This Row],[GrossMonthlySalaryP1]]*12)</f>
        <v>596107.39057199995</v>
      </c>
      <c r="C5" s="8">
        <f>(TableIncomeCalculations[[#This Row],[GrossMonthlySalaryP2]]*12)</f>
        <v>869628.43573200004</v>
      </c>
      <c r="J5">
        <f>IF(_xlfn.XLOOKUP(TableIncome[[#This Row],[Year]],Loop!B:B,Loop!C:C)&lt;70,(J4*(1+$F$3))+IF(TableIncomeCalculations[[#This Row],[SwitchP1]]="Y",J4*$F$4,0),0)</f>
        <v>49675.615880999998</v>
      </c>
      <c r="K5">
        <f>IF(_xlfn.XLOOKUP(TableIncome[[#This Row],[Year]],Loop!B:B,Loop!D:D)&lt;70,(K4*(1+$F$3))+IF(TableIncomeCalculations[[#This Row],[SwitchP2]]="Y",K4*$F$4,0),0)</f>
        <v>72469.036311000003</v>
      </c>
      <c r="L5" t="str">
        <f>_xlfn.XLOOKUP(_xlfn.XLOOKUP(TableIncome[[#This Row],[Year]],Loop!B:B,Loop!C:C),'Job Hopping'!A:A,'Job Hopping'!E:E)</f>
        <v>N</v>
      </c>
      <c r="M5" t="str">
        <f>_xlfn.XLOOKUP(_xlfn.XLOOKUP(TableIncome[[#This Row],[Year]],Loop!B:B,Loop!D:D),'Job Hopping'!A:A,'Job Hopping'!F:F)</f>
        <v>Y</v>
      </c>
    </row>
    <row r="6" spans="1:13" x14ac:dyDescent="0.25">
      <c r="A6">
        <v>2029</v>
      </c>
      <c r="B6" s="8">
        <f>(TableIncomeCalculations[[#This Row],[GrossMonthlySalaryP1]]*12)</f>
        <v>602068.46447771997</v>
      </c>
      <c r="C6" s="8">
        <f>(TableIncomeCalculations[[#This Row],[GrossMonthlySalaryP2]]*12)</f>
        <v>878324.72008932009</v>
      </c>
      <c r="J6">
        <f>IF(_xlfn.XLOOKUP(TableIncome[[#This Row],[Year]],Loop!B:B,Loop!C:C)&lt;70,(J5*(1+$F$3))+IF(TableIncomeCalculations[[#This Row],[SwitchP1]]="Y",J5*$F$4,0),0)</f>
        <v>50172.372039809998</v>
      </c>
      <c r="K6">
        <f>IF(_xlfn.XLOOKUP(TableIncome[[#This Row],[Year]],Loop!B:B,Loop!D:D)&lt;70,(K5*(1+$F$3))+IF(TableIncomeCalculations[[#This Row],[SwitchP2]]="Y",K5*$F$4,0),0)</f>
        <v>73193.726674110003</v>
      </c>
      <c r="L6" t="str">
        <f>_xlfn.XLOOKUP(_xlfn.XLOOKUP(TableIncome[[#This Row],[Year]],Loop!B:B,Loop!C:C),'Job Hopping'!A:A,'Job Hopping'!E:E)</f>
        <v>N</v>
      </c>
      <c r="M6" t="str">
        <f>_xlfn.XLOOKUP(_xlfn.XLOOKUP(TableIncome[[#This Row],[Year]],Loop!B:B,Loop!D:D),'Job Hopping'!A:A,'Job Hopping'!F:F)</f>
        <v>N</v>
      </c>
    </row>
    <row r="7" spans="1:13" x14ac:dyDescent="0.25">
      <c r="A7">
        <v>2030</v>
      </c>
      <c r="B7" s="8">
        <f>(TableIncomeCalculations[[#This Row],[GrossMonthlySalaryP1]]*12)</f>
        <v>608089.14912249718</v>
      </c>
      <c r="C7" s="8">
        <f>(TableIncomeCalculations[[#This Row],[GrossMonthlySalaryP2]]*12)</f>
        <v>887107.9672902131</v>
      </c>
      <c r="J7">
        <f>IF(_xlfn.XLOOKUP(TableIncome[[#This Row],[Year]],Loop!B:B,Loop!C:C)&lt;70,(J6*(1+$F$3))+IF(TableIncomeCalculations[[#This Row],[SwitchP1]]="Y",J6*$F$4,0),0)</f>
        <v>50674.095760208096</v>
      </c>
      <c r="K7">
        <f>IF(_xlfn.XLOOKUP(TableIncome[[#This Row],[Year]],Loop!B:B,Loop!D:D)&lt;70,(K6*(1+$F$3))+IF(TableIncomeCalculations[[#This Row],[SwitchP2]]="Y",K6*$F$4,0),0)</f>
        <v>73925.663940851096</v>
      </c>
      <c r="L7" t="str">
        <f>_xlfn.XLOOKUP(_xlfn.XLOOKUP(TableIncome[[#This Row],[Year]],Loop!B:B,Loop!C:C),'Job Hopping'!A:A,'Job Hopping'!E:E)</f>
        <v>N</v>
      </c>
      <c r="M7" t="str">
        <f>_xlfn.XLOOKUP(_xlfn.XLOOKUP(TableIncome[[#This Row],[Year]],Loop!B:B,Loop!D:D),'Job Hopping'!A:A,'Job Hopping'!F:F)</f>
        <v>N</v>
      </c>
    </row>
    <row r="8" spans="1:13" x14ac:dyDescent="0.25">
      <c r="A8">
        <v>2031</v>
      </c>
      <c r="B8" s="8">
        <f>(TableIncomeCalculations[[#This Row],[GrossMonthlySalaryP1]]*12)</f>
        <v>674978.95552597183</v>
      </c>
      <c r="C8" s="8">
        <f>(TableIncomeCalculations[[#This Row],[GrossMonthlySalaryP2]]*12)</f>
        <v>895979.04696311534</v>
      </c>
      <c r="J8">
        <f>IF(_xlfn.XLOOKUP(TableIncome[[#This Row],[Year]],Loop!B:B,Loop!C:C)&lt;70,(J7*(1+$F$3))+IF(TableIncomeCalculations[[#This Row],[SwitchP1]]="Y",J7*$F$4,0),0)</f>
        <v>56248.246293830984</v>
      </c>
      <c r="K8">
        <f>IF(_xlfn.XLOOKUP(TableIncome[[#This Row],[Year]],Loop!B:B,Loop!D:D)&lt;70,(K7*(1+$F$3))+IF(TableIncomeCalculations[[#This Row],[SwitchP2]]="Y",K7*$F$4,0),0)</f>
        <v>74664.920580259612</v>
      </c>
      <c r="L8" t="str">
        <f>_xlfn.XLOOKUP(_xlfn.XLOOKUP(TableIncome[[#This Row],[Year]],Loop!B:B,Loop!C:C),'Job Hopping'!A:A,'Job Hopping'!E:E)</f>
        <v>Y</v>
      </c>
      <c r="M8" t="str">
        <f>_xlfn.XLOOKUP(_xlfn.XLOOKUP(TableIncome[[#This Row],[Year]],Loop!B:B,Loop!D:D),'Job Hopping'!A:A,'Job Hopping'!F:F)</f>
        <v>N</v>
      </c>
    </row>
    <row r="9" spans="1:13" x14ac:dyDescent="0.25">
      <c r="A9">
        <v>2032</v>
      </c>
      <c r="B9" s="8">
        <f>(TableIncomeCalculations[[#This Row],[GrossMonthlySalaryP1]]*12)</f>
        <v>681728.74508123146</v>
      </c>
      <c r="C9" s="8">
        <f>(TableIncomeCalculations[[#This Row],[GrossMonthlySalaryP2]]*12)</f>
        <v>994536.742129058</v>
      </c>
      <c r="J9">
        <f>IF(_xlfn.XLOOKUP(TableIncome[[#This Row],[Year]],Loop!B:B,Loop!C:C)&lt;70,(J8*(1+$F$3))+IF(TableIncomeCalculations[[#This Row],[SwitchP1]]="Y",J8*$F$4,0),0)</f>
        <v>56810.728756769291</v>
      </c>
      <c r="K9">
        <f>IF(_xlfn.XLOOKUP(TableIncome[[#This Row],[Year]],Loop!B:B,Loop!D:D)&lt;70,(K8*(1+$F$3))+IF(TableIncomeCalculations[[#This Row],[SwitchP2]]="Y",K8*$F$4,0),0)</f>
        <v>82878.061844088166</v>
      </c>
      <c r="L9" t="str">
        <f>_xlfn.XLOOKUP(_xlfn.XLOOKUP(TableIncome[[#This Row],[Year]],Loop!B:B,Loop!C:C),'Job Hopping'!A:A,'Job Hopping'!E:E)</f>
        <v>N</v>
      </c>
      <c r="M9" t="str">
        <f>_xlfn.XLOOKUP(_xlfn.XLOOKUP(TableIncome[[#This Row],[Year]],Loop!B:B,Loop!D:D),'Job Hopping'!A:A,'Job Hopping'!F:F)</f>
        <v>Y</v>
      </c>
    </row>
    <row r="10" spans="1:13" x14ac:dyDescent="0.25">
      <c r="A10">
        <v>2033</v>
      </c>
      <c r="B10" s="8">
        <f>(TableIncomeCalculations[[#This Row],[GrossMonthlySalaryP1]]*12)</f>
        <v>688546.03253204376</v>
      </c>
      <c r="C10" s="8">
        <f>(TableIncomeCalculations[[#This Row],[GrossMonthlySalaryP2]]*12)</f>
        <v>1004482.1095503486</v>
      </c>
      <c r="J10">
        <f>IF(_xlfn.XLOOKUP(TableIncome[[#This Row],[Year]],Loop!B:B,Loop!C:C)&lt;70,(J9*(1+$F$3))+IF(TableIncomeCalculations[[#This Row],[SwitchP1]]="Y",J9*$F$4,0),0)</f>
        <v>57378.836044336982</v>
      </c>
      <c r="K10">
        <f>IF(_xlfn.XLOOKUP(TableIncome[[#This Row],[Year]],Loop!B:B,Loop!D:D)&lt;70,(K9*(1+$F$3))+IF(TableIncomeCalculations[[#This Row],[SwitchP2]]="Y",K9*$F$4,0),0)</f>
        <v>83706.84246252905</v>
      </c>
      <c r="L10" t="str">
        <f>_xlfn.XLOOKUP(_xlfn.XLOOKUP(TableIncome[[#This Row],[Year]],Loop!B:B,Loop!C:C),'Job Hopping'!A:A,'Job Hopping'!E:E)</f>
        <v>N</v>
      </c>
      <c r="M10" t="str">
        <f>_xlfn.XLOOKUP(_xlfn.XLOOKUP(TableIncome[[#This Row],[Year]],Loop!B:B,Loop!D:D),'Job Hopping'!A:A,'Job Hopping'!F:F)</f>
        <v>N</v>
      </c>
    </row>
    <row r="11" spans="1:13" x14ac:dyDescent="0.25">
      <c r="A11">
        <v>2034</v>
      </c>
      <c r="B11" s="8">
        <f>(TableIncomeCalculations[[#This Row],[GrossMonthlySalaryP1]]*12)</f>
        <v>695431.49285736424</v>
      </c>
      <c r="C11" s="8">
        <f>(TableIncomeCalculations[[#This Row],[GrossMonthlySalaryP2]]*12)</f>
        <v>1014526.9306458521</v>
      </c>
      <c r="J11">
        <f>IF(_xlfn.XLOOKUP(TableIncome[[#This Row],[Year]],Loop!B:B,Loop!C:C)&lt;70,(J10*(1+$F$3))+IF(TableIncomeCalculations[[#This Row],[SwitchP1]]="Y",J10*$F$4,0),0)</f>
        <v>57952.624404780356</v>
      </c>
      <c r="K11">
        <f>IF(_xlfn.XLOOKUP(TableIncome[[#This Row],[Year]],Loop!B:B,Loop!D:D)&lt;70,(K10*(1+$F$3))+IF(TableIncomeCalculations[[#This Row],[SwitchP2]]="Y",K10*$F$4,0),0)</f>
        <v>84543.910887154343</v>
      </c>
      <c r="L11" t="str">
        <f>_xlfn.XLOOKUP(_xlfn.XLOOKUP(TableIncome[[#This Row],[Year]],Loop!B:B,Loop!C:C),'Job Hopping'!A:A,'Job Hopping'!E:E)</f>
        <v>N</v>
      </c>
      <c r="M11" t="str">
        <f>_xlfn.XLOOKUP(_xlfn.XLOOKUP(TableIncome[[#This Row],[Year]],Loop!B:B,Loop!D:D),'Job Hopping'!A:A,'Job Hopping'!F:F)</f>
        <v>N</v>
      </c>
    </row>
    <row r="12" spans="1:13" x14ac:dyDescent="0.25">
      <c r="A12">
        <v>2035</v>
      </c>
      <c r="B12" s="8">
        <f>(TableIncomeCalculations[[#This Row],[GrossMonthlySalaryP1]]*12)</f>
        <v>771928.95707167429</v>
      </c>
      <c r="C12" s="8">
        <f>(TableIncomeCalculations[[#This Row],[GrossMonthlySalaryP2]]*12)</f>
        <v>1024672.1999523106</v>
      </c>
      <c r="J12">
        <f>IF(_xlfn.XLOOKUP(TableIncome[[#This Row],[Year]],Loop!B:B,Loop!C:C)&lt;70,(J11*(1+$F$3))+IF(TableIncomeCalculations[[#This Row],[SwitchP1]]="Y",J11*$F$4,0),0)</f>
        <v>64327.413089306196</v>
      </c>
      <c r="K12">
        <f>IF(_xlfn.XLOOKUP(TableIncome[[#This Row],[Year]],Loop!B:B,Loop!D:D)&lt;70,(K11*(1+$F$3))+IF(TableIncomeCalculations[[#This Row],[SwitchP2]]="Y",K11*$F$4,0),0)</f>
        <v>85389.349996025892</v>
      </c>
      <c r="L12" t="str">
        <f>_xlfn.XLOOKUP(_xlfn.XLOOKUP(TableIncome[[#This Row],[Year]],Loop!B:B,Loop!C:C),'Job Hopping'!A:A,'Job Hopping'!E:E)</f>
        <v>Y</v>
      </c>
      <c r="M12" t="str">
        <f>_xlfn.XLOOKUP(_xlfn.XLOOKUP(TableIncome[[#This Row],[Year]],Loop!B:B,Loop!D:D),'Job Hopping'!A:A,'Job Hopping'!F:F)</f>
        <v>N</v>
      </c>
    </row>
    <row r="13" spans="1:13" x14ac:dyDescent="0.25">
      <c r="A13">
        <v>2036</v>
      </c>
      <c r="B13" s="8">
        <f>(TableIncomeCalculations[[#This Row],[GrossMonthlySalaryP1]]*12)</f>
        <v>779648.24664239108</v>
      </c>
      <c r="C13" s="8">
        <f>(TableIncomeCalculations[[#This Row],[GrossMonthlySalaryP2]]*12)</f>
        <v>1034918.9219518339</v>
      </c>
      <c r="J13">
        <f>IF(_xlfn.XLOOKUP(TableIncome[[#This Row],[Year]],Loop!B:B,Loop!C:C)&lt;70,(J12*(1+$F$3))+IF(TableIncomeCalculations[[#This Row],[SwitchP1]]="Y",J12*$F$4,0),0)</f>
        <v>64970.687220199259</v>
      </c>
      <c r="K13">
        <f>IF(_xlfn.XLOOKUP(TableIncome[[#This Row],[Year]],Loop!B:B,Loop!D:D)&lt;70,(K12*(1+$F$3))+IF(TableIncomeCalculations[[#This Row],[SwitchP2]]="Y",K12*$F$4,0),0)</f>
        <v>86243.243495986157</v>
      </c>
      <c r="L13" t="str">
        <f>_xlfn.XLOOKUP(_xlfn.XLOOKUP(TableIncome[[#This Row],[Year]],Loop!B:B,Loop!C:C),'Job Hopping'!A:A,'Job Hopping'!E:E)</f>
        <v>N</v>
      </c>
      <c r="M13" t="str">
        <f>_xlfn.XLOOKUP(_xlfn.XLOOKUP(TableIncome[[#This Row],[Year]],Loop!B:B,Loop!D:D),'Job Hopping'!A:A,'Job Hopping'!F:F)</f>
        <v>N</v>
      </c>
    </row>
    <row r="14" spans="1:13" x14ac:dyDescent="0.25">
      <c r="A14">
        <v>2037</v>
      </c>
      <c r="B14" s="8">
        <f>(TableIncomeCalculations[[#This Row],[GrossMonthlySalaryP1]]*12)</f>
        <v>787444.72910881508</v>
      </c>
      <c r="C14" s="8">
        <f>(TableIncomeCalculations[[#This Row],[GrossMonthlySalaryP2]]*12)</f>
        <v>1045268.1111713522</v>
      </c>
      <c r="J14">
        <f>IF(_xlfn.XLOOKUP(TableIncome[[#This Row],[Year]],Loop!B:B,Loop!C:C)&lt;70,(J13*(1+$F$3))+IF(TableIncomeCalculations[[#This Row],[SwitchP1]]="Y",J13*$F$4,0),0)</f>
        <v>65620.394092401257</v>
      </c>
      <c r="K14">
        <f>IF(_xlfn.XLOOKUP(TableIncome[[#This Row],[Year]],Loop!B:B,Loop!D:D)&lt;70,(K13*(1+$F$3))+IF(TableIncomeCalculations[[#This Row],[SwitchP2]]="Y",K13*$F$4,0),0)</f>
        <v>87105.675930946018</v>
      </c>
      <c r="L14" t="str">
        <f>_xlfn.XLOOKUP(_xlfn.XLOOKUP(TableIncome[[#This Row],[Year]],Loop!B:B,Loop!C:C),'Job Hopping'!A:A,'Job Hopping'!E:E)</f>
        <v>N</v>
      </c>
      <c r="M14" t="str">
        <f>_xlfn.XLOOKUP(_xlfn.XLOOKUP(TableIncome[[#This Row],[Year]],Loop!B:B,Loop!D:D),'Job Hopping'!A:A,'Job Hopping'!F:F)</f>
        <v>N</v>
      </c>
    </row>
    <row r="15" spans="1:13" x14ac:dyDescent="0.25">
      <c r="A15">
        <v>2038</v>
      </c>
      <c r="B15" s="8">
        <f>(TableIncomeCalculations[[#This Row],[GrossMonthlySalaryP1]]*12)</f>
        <v>795319.17639990314</v>
      </c>
      <c r="C15" s="8">
        <f>(TableIncomeCalculations[[#This Row],[GrossMonthlySalaryP2]]*12)</f>
        <v>1055720.7922830656</v>
      </c>
      <c r="J15">
        <f>IF(_xlfn.XLOOKUP(TableIncome[[#This Row],[Year]],Loop!B:B,Loop!C:C)&lt;70,(J14*(1+$F$3))+IF(TableIncomeCalculations[[#This Row],[SwitchP1]]="Y",J14*$F$4,0),0)</f>
        <v>66276.598033325266</v>
      </c>
      <c r="K15">
        <f>IF(_xlfn.XLOOKUP(TableIncome[[#This Row],[Year]],Loop!B:B,Loop!D:D)&lt;70,(K14*(1+$F$3))+IF(TableIncomeCalculations[[#This Row],[SwitchP2]]="Y",K14*$F$4,0),0)</f>
        <v>87976.732690255478</v>
      </c>
      <c r="L15" t="str">
        <f>_xlfn.XLOOKUP(_xlfn.XLOOKUP(TableIncome[[#This Row],[Year]],Loop!B:B,Loop!C:C),'Job Hopping'!A:A,'Job Hopping'!E:E)</f>
        <v>N</v>
      </c>
      <c r="M15" t="str">
        <f>_xlfn.XLOOKUP(_xlfn.XLOOKUP(TableIncome[[#This Row],[Year]],Loop!B:B,Loop!D:D),'Job Hopping'!A:A,'Job Hopping'!F:F)</f>
        <v>N</v>
      </c>
    </row>
    <row r="16" spans="1:13" x14ac:dyDescent="0.25">
      <c r="A16">
        <v>2039</v>
      </c>
      <c r="B16" s="8">
        <f>(TableIncomeCalculations[[#This Row],[GrossMonthlySalaryP1]]*12)</f>
        <v>882804.28580389253</v>
      </c>
      <c r="C16" s="8">
        <f>(TableIncomeCalculations[[#This Row],[GrossMonthlySalaryP2]]*12)</f>
        <v>1066278.0002058963</v>
      </c>
      <c r="J16">
        <f>IF(_xlfn.XLOOKUP(TableIncome[[#This Row],[Year]],Loop!B:B,Loop!C:C)&lt;70,(J15*(1+$F$3))+IF(TableIncomeCalculations[[#This Row],[SwitchP1]]="Y",J15*$F$4,0),0)</f>
        <v>73567.023816991044</v>
      </c>
      <c r="K16">
        <f>IF(_xlfn.XLOOKUP(TableIncome[[#This Row],[Year]],Loop!B:B,Loop!D:D)&lt;70,(K15*(1+$F$3))+IF(TableIncomeCalculations[[#This Row],[SwitchP2]]="Y",K15*$F$4,0),0)</f>
        <v>88856.500017158032</v>
      </c>
      <c r="L16" t="str">
        <f>_xlfn.XLOOKUP(_xlfn.XLOOKUP(TableIncome[[#This Row],[Year]],Loop!B:B,Loop!C:C),'Job Hopping'!A:A,'Job Hopping'!E:E)</f>
        <v>Y</v>
      </c>
      <c r="M16" t="str">
        <f>_xlfn.XLOOKUP(_xlfn.XLOOKUP(TableIncome[[#This Row],[Year]],Loop!B:B,Loop!D:D),'Job Hopping'!A:A,'Job Hopping'!F:F)</f>
        <v>N</v>
      </c>
    </row>
    <row r="17" spans="1:13" x14ac:dyDescent="0.25">
      <c r="A17">
        <v>2040</v>
      </c>
      <c r="B17" s="8">
        <f>(TableIncomeCalculations[[#This Row],[GrossMonthlySalaryP1]]*12)</f>
        <v>891632.32866193145</v>
      </c>
      <c r="C17" s="8">
        <f>(TableIncomeCalculations[[#This Row],[GrossMonthlySalaryP2]]*12)</f>
        <v>1076940.7802079553</v>
      </c>
      <c r="J17">
        <f>IF(_xlfn.XLOOKUP(TableIncome[[#This Row],[Year]],Loop!B:B,Loop!C:C)&lt;70,(J16*(1+$F$3))+IF(TableIncomeCalculations[[#This Row],[SwitchP1]]="Y",J16*$F$4,0),0)</f>
        <v>74302.694055160959</v>
      </c>
      <c r="K17">
        <f>IF(_xlfn.XLOOKUP(TableIncome[[#This Row],[Year]],Loop!B:B,Loop!D:D)&lt;70,(K16*(1+$F$3))+IF(TableIncomeCalculations[[#This Row],[SwitchP2]]="Y",K16*$F$4,0),0)</f>
        <v>89745.065017329616</v>
      </c>
      <c r="L17" t="str">
        <f>_xlfn.XLOOKUP(_xlfn.XLOOKUP(TableIncome[[#This Row],[Year]],Loop!B:B,Loop!C:C),'Job Hopping'!A:A,'Job Hopping'!E:E)</f>
        <v>N</v>
      </c>
      <c r="M17" t="str">
        <f>_xlfn.XLOOKUP(_xlfn.XLOOKUP(TableIncome[[#This Row],[Year]],Loop!B:B,Loop!D:D),'Job Hopping'!A:A,'Job Hopping'!F:F)</f>
        <v>N</v>
      </c>
    </row>
    <row r="18" spans="1:13" x14ac:dyDescent="0.25">
      <c r="A18">
        <v>2041</v>
      </c>
      <c r="B18" s="8">
        <f>(TableIncomeCalculations[[#This Row],[GrossMonthlySalaryP1]]*12)</f>
        <v>900548.65194855095</v>
      </c>
      <c r="C18" s="8">
        <f>(TableIncomeCalculations[[#This Row],[GrossMonthlySalaryP2]]*12)</f>
        <v>1087710.1880100351</v>
      </c>
      <c r="J18">
        <f>IF(_xlfn.XLOOKUP(TableIncome[[#This Row],[Year]],Loop!B:B,Loop!C:C)&lt;70,(J17*(1+$F$3))+IF(TableIncomeCalculations[[#This Row],[SwitchP1]]="Y",J17*$F$4,0),0)</f>
        <v>75045.720995712574</v>
      </c>
      <c r="K18">
        <f>IF(_xlfn.XLOOKUP(TableIncome[[#This Row],[Year]],Loop!B:B,Loop!D:D)&lt;70,(K17*(1+$F$3))+IF(TableIncomeCalculations[[#This Row],[SwitchP2]]="Y",K17*$F$4,0),0)</f>
        <v>90642.515667502914</v>
      </c>
      <c r="L18" t="str">
        <f>_xlfn.XLOOKUP(_xlfn.XLOOKUP(TableIncome[[#This Row],[Year]],Loop!B:B,Loop!C:C),'Job Hopping'!A:A,'Job Hopping'!E:E)</f>
        <v>N</v>
      </c>
      <c r="M18" t="str">
        <f>_xlfn.XLOOKUP(_xlfn.XLOOKUP(TableIncome[[#This Row],[Year]],Loop!B:B,Loop!D:D),'Job Hopping'!A:A,'Job Hopping'!F:F)</f>
        <v>N</v>
      </c>
    </row>
    <row r="19" spans="1:13" x14ac:dyDescent="0.25">
      <c r="A19">
        <v>2042</v>
      </c>
      <c r="B19" s="8">
        <f>(TableIncomeCalculations[[#This Row],[GrossMonthlySalaryP1]]*12)</f>
        <v>909554.13846803643</v>
      </c>
      <c r="C19" s="8">
        <f>(TableIncomeCalculations[[#This Row],[GrossMonthlySalaryP2]]*12)</f>
        <v>1098587.2898901354</v>
      </c>
      <c r="J19">
        <f>IF(_xlfn.XLOOKUP(TableIncome[[#This Row],[Year]],Loop!B:B,Loop!C:C)&lt;70,(J18*(1+$F$3))+IF(TableIncomeCalculations[[#This Row],[SwitchP1]]="Y",J18*$F$4,0),0)</f>
        <v>75796.178205669697</v>
      </c>
      <c r="K19">
        <f>IF(_xlfn.XLOOKUP(TableIncome[[#This Row],[Year]],Loop!B:B,Loop!D:D)&lt;70,(K18*(1+$F$3))+IF(TableIncomeCalculations[[#This Row],[SwitchP2]]="Y",K18*$F$4,0),0)</f>
        <v>91548.940824177946</v>
      </c>
      <c r="L19" t="str">
        <f>_xlfn.XLOOKUP(_xlfn.XLOOKUP(TableIncome[[#This Row],[Year]],Loop!B:B,Loop!C:C),'Job Hopping'!A:A,'Job Hopping'!E:E)</f>
        <v>N</v>
      </c>
      <c r="M19" t="str">
        <f>_xlfn.XLOOKUP(_xlfn.XLOOKUP(TableIncome[[#This Row],[Year]],Loop!B:B,Loop!D:D),'Job Hopping'!A:A,'Job Hopping'!F:F)</f>
        <v>N</v>
      </c>
    </row>
    <row r="20" spans="1:13" x14ac:dyDescent="0.25">
      <c r="A20">
        <v>2043</v>
      </c>
      <c r="B20" s="8">
        <f>(TableIncomeCalculations[[#This Row],[GrossMonthlySalaryP1]]*12)</f>
        <v>1009605.0936995203</v>
      </c>
      <c r="C20" s="8">
        <f>(TableIncomeCalculations[[#This Row],[GrossMonthlySalaryP2]]*12)</f>
        <v>1109573.1627890365</v>
      </c>
      <c r="J20">
        <f>IF(_xlfn.XLOOKUP(TableIncome[[#This Row],[Year]],Loop!B:B,Loop!C:C)&lt;70,(J19*(1+$F$3))+IF(TableIncomeCalculations[[#This Row],[SwitchP1]]="Y",J19*$F$4,0),0)</f>
        <v>84133.757808293361</v>
      </c>
      <c r="K20">
        <f>IF(_xlfn.XLOOKUP(TableIncome[[#This Row],[Year]],Loop!B:B,Loop!D:D)&lt;70,(K19*(1+$F$3))+IF(TableIncomeCalculations[[#This Row],[SwitchP2]]="Y",K19*$F$4,0),0)</f>
        <v>92464.43023241972</v>
      </c>
      <c r="L20" t="str">
        <f>_xlfn.XLOOKUP(_xlfn.XLOOKUP(TableIncome[[#This Row],[Year]],Loop!B:B,Loop!C:C),'Job Hopping'!A:A,'Job Hopping'!E:E)</f>
        <v>Y</v>
      </c>
      <c r="M20" t="str">
        <f>_xlfn.XLOOKUP(_xlfn.XLOOKUP(TableIncome[[#This Row],[Year]],Loop!B:B,Loop!D:D),'Job Hopping'!A:A,'Job Hopping'!F:F)</f>
        <v>N</v>
      </c>
    </row>
    <row r="21" spans="1:13" x14ac:dyDescent="0.25">
      <c r="A21">
        <v>2044</v>
      </c>
      <c r="B21" s="8">
        <f>(TableIncomeCalculations[[#This Row],[GrossMonthlySalaryP1]]*12)</f>
        <v>1019701.1446365155</v>
      </c>
      <c r="C21" s="8">
        <f>(TableIncomeCalculations[[#This Row],[GrossMonthlySalaryP2]]*12)</f>
        <v>1120668.8944169271</v>
      </c>
      <c r="J21">
        <f>IF(_xlfn.XLOOKUP(TableIncome[[#This Row],[Year]],Loop!B:B,Loop!C:C)&lt;70,(J20*(1+$F$3))+IF(TableIncomeCalculations[[#This Row],[SwitchP1]]="Y",J20*$F$4,0),0)</f>
        <v>84975.095386376299</v>
      </c>
      <c r="K21">
        <f>IF(_xlfn.XLOOKUP(TableIncome[[#This Row],[Year]],Loop!B:B,Loop!D:D)&lt;70,(K20*(1+$F$3))+IF(TableIncomeCalculations[[#This Row],[SwitchP2]]="Y",K20*$F$4,0),0)</f>
        <v>93389.074534743922</v>
      </c>
      <c r="L21" t="str">
        <f>_xlfn.XLOOKUP(_xlfn.XLOOKUP(TableIncome[[#This Row],[Year]],Loop!B:B,Loop!C:C),'Job Hopping'!A:A,'Job Hopping'!E:E)</f>
        <v>N</v>
      </c>
      <c r="M21" t="str">
        <f>_xlfn.XLOOKUP(_xlfn.XLOOKUP(TableIncome[[#This Row],[Year]],Loop!B:B,Loop!D:D),'Job Hopping'!A:A,'Job Hopping'!F:F)</f>
        <v>N</v>
      </c>
    </row>
    <row r="22" spans="1:13" x14ac:dyDescent="0.25">
      <c r="A22">
        <v>2045</v>
      </c>
      <c r="B22" s="8">
        <f>(TableIncomeCalculations[[#This Row],[GrossMonthlySalaryP1]]*12)</f>
        <v>1029898.1560828808</v>
      </c>
      <c r="C22" s="8">
        <f>(TableIncomeCalculations[[#This Row],[GrossMonthlySalaryP2]]*12)</f>
        <v>1243942.472802789</v>
      </c>
      <c r="J22">
        <f>IF(_xlfn.XLOOKUP(TableIncome[[#This Row],[Year]],Loop!B:B,Loop!C:C)&lt;70,(J21*(1+$F$3))+IF(TableIncomeCalculations[[#This Row],[SwitchP1]]="Y",J21*$F$4,0),0)</f>
        <v>85824.846340240067</v>
      </c>
      <c r="K22">
        <f>IF(_xlfn.XLOOKUP(TableIncome[[#This Row],[Year]],Loop!B:B,Loop!D:D)&lt;70,(K21*(1+$F$3))+IF(TableIncomeCalculations[[#This Row],[SwitchP2]]="Y",K21*$F$4,0),0)</f>
        <v>103661.87273356575</v>
      </c>
      <c r="L22" t="str">
        <f>_xlfn.XLOOKUP(_xlfn.XLOOKUP(TableIncome[[#This Row],[Year]],Loop!B:B,Loop!C:C),'Job Hopping'!A:A,'Job Hopping'!E:E)</f>
        <v>N</v>
      </c>
      <c r="M22" t="str">
        <f>_xlfn.XLOOKUP(_xlfn.XLOOKUP(TableIncome[[#This Row],[Year]],Loop!B:B,Loop!D:D),'Job Hopping'!A:A,'Job Hopping'!F:F)</f>
        <v>Y</v>
      </c>
    </row>
    <row r="23" spans="1:13" x14ac:dyDescent="0.25">
      <c r="A23">
        <v>2046</v>
      </c>
      <c r="B23" s="8">
        <f>(TableIncomeCalculations[[#This Row],[GrossMonthlySalaryP1]]*12)</f>
        <v>1040197.1376437095</v>
      </c>
      <c r="C23" s="8">
        <f>(TableIncomeCalculations[[#This Row],[GrossMonthlySalaryP2]]*12)</f>
        <v>1256381.897530817</v>
      </c>
      <c r="J23">
        <f>IF(_xlfn.XLOOKUP(TableIncome[[#This Row],[Year]],Loop!B:B,Loop!C:C)&lt;70,(J22*(1+$F$3))+IF(TableIncomeCalculations[[#This Row],[SwitchP1]]="Y",J22*$F$4,0),0)</f>
        <v>86683.094803642467</v>
      </c>
      <c r="K23">
        <f>IF(_xlfn.XLOOKUP(TableIncome[[#This Row],[Year]],Loop!B:B,Loop!D:D)&lt;70,(K22*(1+$F$3))+IF(TableIncomeCalculations[[#This Row],[SwitchP2]]="Y",K22*$F$4,0),0)</f>
        <v>104698.49146090141</v>
      </c>
      <c r="L23" t="str">
        <f>_xlfn.XLOOKUP(_xlfn.XLOOKUP(TableIncome[[#This Row],[Year]],Loop!B:B,Loop!C:C),'Job Hopping'!A:A,'Job Hopping'!E:E)</f>
        <v>N</v>
      </c>
      <c r="M23" t="str">
        <f>_xlfn.XLOOKUP(_xlfn.XLOOKUP(TableIncome[[#This Row],[Year]],Loop!B:B,Loop!D:D),'Job Hopping'!A:A,'Job Hopping'!F:F)</f>
        <v>N</v>
      </c>
    </row>
    <row r="24" spans="1:13" x14ac:dyDescent="0.25">
      <c r="A24">
        <v>2047</v>
      </c>
      <c r="B24" s="8">
        <f>(TableIncomeCalculations[[#This Row],[GrossMonthlySalaryP1]]*12)</f>
        <v>1154618.8227845177</v>
      </c>
      <c r="C24" s="8">
        <f>(TableIncomeCalculations[[#This Row],[GrossMonthlySalaryP2]]*12)</f>
        <v>1268945.7165061249</v>
      </c>
      <c r="J24">
        <f>IF(_xlfn.XLOOKUP(TableIncome[[#This Row],[Year]],Loop!B:B,Loop!C:C)&lt;70,(J23*(1+$F$3))+IF(TableIncomeCalculations[[#This Row],[SwitchP1]]="Y",J23*$F$4,0),0)</f>
        <v>96218.235232043138</v>
      </c>
      <c r="K24">
        <f>IF(_xlfn.XLOOKUP(TableIncome[[#This Row],[Year]],Loop!B:B,Loop!D:D)&lt;70,(K23*(1+$F$3))+IF(TableIncomeCalculations[[#This Row],[SwitchP2]]="Y",K23*$F$4,0),0)</f>
        <v>105745.47637551042</v>
      </c>
      <c r="L24" t="str">
        <f>_xlfn.XLOOKUP(_xlfn.XLOOKUP(TableIncome[[#This Row],[Year]],Loop!B:B,Loop!C:C),'Job Hopping'!A:A,'Job Hopping'!E:E)</f>
        <v>Y</v>
      </c>
      <c r="M24" t="str">
        <f>_xlfn.XLOOKUP(_xlfn.XLOOKUP(TableIncome[[#This Row],[Year]],Loop!B:B,Loop!D:D),'Job Hopping'!A:A,'Job Hopping'!F:F)</f>
        <v>N</v>
      </c>
    </row>
    <row r="25" spans="1:13" x14ac:dyDescent="0.25">
      <c r="A25">
        <v>2048</v>
      </c>
      <c r="B25" s="8">
        <f>(TableIncomeCalculations[[#This Row],[GrossMonthlySalaryP1]]*12)</f>
        <v>1166165.0110123628</v>
      </c>
      <c r="C25" s="8">
        <f>(TableIncomeCalculations[[#This Row],[GrossMonthlySalaryP2]]*12)</f>
        <v>1281635.1736711862</v>
      </c>
      <c r="J25">
        <f>IF(_xlfn.XLOOKUP(TableIncome[[#This Row],[Year]],Loop!B:B,Loop!C:C)&lt;70,(J24*(1+$F$3))+IF(TableIncomeCalculations[[#This Row],[SwitchP1]]="Y",J24*$F$4,0),0)</f>
        <v>97180.417584363575</v>
      </c>
      <c r="K25">
        <f>IF(_xlfn.XLOOKUP(TableIncome[[#This Row],[Year]],Loop!B:B,Loop!D:D)&lt;70,(K24*(1+$F$3))+IF(TableIncomeCalculations[[#This Row],[SwitchP2]]="Y",K24*$F$4,0),0)</f>
        <v>106802.93113926552</v>
      </c>
      <c r="L25" t="str">
        <f>_xlfn.XLOOKUP(_xlfn.XLOOKUP(TableIncome[[#This Row],[Year]],Loop!B:B,Loop!C:C),'Job Hopping'!A:A,'Job Hopping'!E:E)</f>
        <v>N</v>
      </c>
      <c r="M25" t="str">
        <f>_xlfn.XLOOKUP(_xlfn.XLOOKUP(TableIncome[[#This Row],[Year]],Loop!B:B,Loop!D:D),'Job Hopping'!A:A,'Job Hopping'!F:F)</f>
        <v>N</v>
      </c>
    </row>
    <row r="26" spans="1:13" x14ac:dyDescent="0.25">
      <c r="A26">
        <v>2049</v>
      </c>
      <c r="B26" s="8">
        <f>(TableIncomeCalculations[[#This Row],[GrossMonthlySalaryP1]]*12)</f>
        <v>1177826.6611224865</v>
      </c>
      <c r="C26" s="8">
        <f>(TableIncomeCalculations[[#This Row],[GrossMonthlySalaryP2]]*12)</f>
        <v>1294451.5254078982</v>
      </c>
      <c r="J26">
        <f>IF(_xlfn.XLOOKUP(TableIncome[[#This Row],[Year]],Loop!B:B,Loop!C:C)&lt;70,(J25*(1+$F$3))+IF(TableIncomeCalculations[[#This Row],[SwitchP1]]="Y",J25*$F$4,0),0)</f>
        <v>98152.221760207205</v>
      </c>
      <c r="K26">
        <f>IF(_xlfn.XLOOKUP(TableIncome[[#This Row],[Year]],Loop!B:B,Loop!D:D)&lt;70,(K25*(1+$F$3))+IF(TableIncomeCalculations[[#This Row],[SwitchP2]]="Y",K25*$F$4,0),0)</f>
        <v>107870.96045065818</v>
      </c>
      <c r="L26" t="str">
        <f>_xlfn.XLOOKUP(_xlfn.XLOOKUP(TableIncome[[#This Row],[Year]],Loop!B:B,Loop!C:C),'Job Hopping'!A:A,'Job Hopping'!E:E)</f>
        <v>N</v>
      </c>
      <c r="M26" t="str">
        <f>_xlfn.XLOOKUP(_xlfn.XLOOKUP(TableIncome[[#This Row],[Year]],Loop!B:B,Loop!D:D),'Job Hopping'!A:A,'Job Hopping'!F:F)</f>
        <v>N</v>
      </c>
    </row>
    <row r="27" spans="1:13" x14ac:dyDescent="0.25">
      <c r="A27">
        <v>2050</v>
      </c>
      <c r="B27" s="8">
        <f>(TableIncomeCalculations[[#This Row],[GrossMonthlySalaryP1]]*12)</f>
        <v>1189604.9277337114</v>
      </c>
      <c r="C27" s="8">
        <f>(TableIncomeCalculations[[#This Row],[GrossMonthlySalaryP2]]*12)</f>
        <v>1307396.0406619771</v>
      </c>
      <c r="J27">
        <f>IF(_xlfn.XLOOKUP(TableIncome[[#This Row],[Year]],Loop!B:B,Loop!C:C)&lt;70,(J26*(1+$F$3))+IF(TableIncomeCalculations[[#This Row],[SwitchP1]]="Y",J26*$F$4,0),0)</f>
        <v>99133.743977809281</v>
      </c>
      <c r="K27">
        <f>IF(_xlfn.XLOOKUP(TableIncome[[#This Row],[Year]],Loop!B:B,Loop!D:D)&lt;70,(K26*(1+$F$3))+IF(TableIncomeCalculations[[#This Row],[SwitchP2]]="Y",K26*$F$4,0),0)</f>
        <v>108949.67005516477</v>
      </c>
      <c r="L27" t="str">
        <f>_xlfn.XLOOKUP(_xlfn.XLOOKUP(TableIncome[[#This Row],[Year]],Loop!B:B,Loop!C:C),'Job Hopping'!A:A,'Job Hopping'!E:E)</f>
        <v>N</v>
      </c>
      <c r="M27" t="str">
        <f>_xlfn.XLOOKUP(_xlfn.XLOOKUP(TableIncome[[#This Row],[Year]],Loop!B:B,Loop!D:D),'Job Hopping'!A:A,'Job Hopping'!F:F)</f>
        <v>N</v>
      </c>
    </row>
    <row r="28" spans="1:13" x14ac:dyDescent="0.25">
      <c r="A28">
        <v>2051</v>
      </c>
      <c r="B28" s="8">
        <f>(TableIncomeCalculations[[#This Row],[GrossMonthlySalaryP1]]*12)</f>
        <v>1201500.9770110487</v>
      </c>
      <c r="C28" s="8">
        <f>(TableIncomeCalculations[[#This Row],[GrossMonthlySalaryP2]]*12)</f>
        <v>1320470.001068597</v>
      </c>
      <c r="J28">
        <f>IF(_xlfn.XLOOKUP(TableIncome[[#This Row],[Year]],Loop!B:B,Loop!C:C)&lt;70,(J27*(1+$F$3))+IF(TableIncomeCalculations[[#This Row],[SwitchP1]]="Y",J27*$F$4,0),0)</f>
        <v>100125.08141758738</v>
      </c>
      <c r="K28">
        <f>IF(_xlfn.XLOOKUP(TableIncome[[#This Row],[Year]],Loop!B:B,Loop!D:D)&lt;70,(K27*(1+$F$3))+IF(TableIncomeCalculations[[#This Row],[SwitchP2]]="Y",K27*$F$4,0),0)</f>
        <v>110039.16675571642</v>
      </c>
      <c r="L28" t="str">
        <f>_xlfn.XLOOKUP(_xlfn.XLOOKUP(TableIncome[[#This Row],[Year]],Loop!B:B,Loop!C:C),'Job Hopping'!A:A,'Job Hopping'!E:E)</f>
        <v>N</v>
      </c>
      <c r="M28" t="str">
        <f>_xlfn.XLOOKUP(_xlfn.XLOOKUP(TableIncome[[#This Row],[Year]],Loop!B:B,Loop!D:D),'Job Hopping'!A:A,'Job Hopping'!F:F)</f>
        <v>N</v>
      </c>
    </row>
    <row r="29" spans="1:13" x14ac:dyDescent="0.25">
      <c r="A29">
        <v>2052</v>
      </c>
      <c r="B29" s="8">
        <f>(TableIncomeCalculations[[#This Row],[GrossMonthlySalaryP1]]*12)</f>
        <v>1213515.986781159</v>
      </c>
      <c r="C29" s="8">
        <f>(TableIncomeCalculations[[#This Row],[GrossMonthlySalaryP2]]*12)</f>
        <v>1333674.7010792829</v>
      </c>
      <c r="J29">
        <f>IF(_xlfn.XLOOKUP(TableIncome[[#This Row],[Year]],Loop!B:B,Loop!C:C)&lt;70,(J28*(1+$F$3))+IF(TableIncomeCalculations[[#This Row],[SwitchP1]]="Y",J28*$F$4,0),0)</f>
        <v>101126.33223176326</v>
      </c>
      <c r="K29">
        <f>IF(_xlfn.XLOOKUP(TableIncome[[#This Row],[Year]],Loop!B:B,Loop!D:D)&lt;70,(K28*(1+$F$3))+IF(TableIncomeCalculations[[#This Row],[SwitchP2]]="Y",K28*$F$4,0),0)</f>
        <v>111139.55842327359</v>
      </c>
      <c r="L29" t="str">
        <f>_xlfn.XLOOKUP(_xlfn.XLOOKUP(TableIncome[[#This Row],[Year]],Loop!B:B,Loop!C:C),'Job Hopping'!A:A,'Job Hopping'!E:E)</f>
        <v>N</v>
      </c>
      <c r="M29" t="str">
        <f>_xlfn.XLOOKUP(_xlfn.XLOOKUP(TableIncome[[#This Row],[Year]],Loop!B:B,Loop!D:D),'Job Hopping'!A:A,'Job Hopping'!F:F)</f>
        <v>N</v>
      </c>
    </row>
    <row r="30" spans="1:13" x14ac:dyDescent="0.25">
      <c r="A30">
        <v>2053</v>
      </c>
      <c r="B30" s="8">
        <f>(TableIncomeCalculations[[#This Row],[GrossMonthlySalaryP1]]*12)</f>
        <v>1225651.1466489707</v>
      </c>
      <c r="C30" s="8">
        <f>(TableIncomeCalculations[[#This Row],[GrossMonthlySalaryP2]]*12)</f>
        <v>1347011.448090076</v>
      </c>
      <c r="J30">
        <f>IF(_xlfn.XLOOKUP(TableIncome[[#This Row],[Year]],Loop!B:B,Loop!C:C)&lt;70,(J29*(1+$F$3))+IF(TableIncomeCalculations[[#This Row],[SwitchP1]]="Y",J29*$F$4,0),0)</f>
        <v>102137.59555408089</v>
      </c>
      <c r="K30">
        <f>IF(_xlfn.XLOOKUP(TableIncome[[#This Row],[Year]],Loop!B:B,Loop!D:D)&lt;70,(K29*(1+$F$3))+IF(TableIncomeCalculations[[#This Row],[SwitchP2]]="Y",K29*$F$4,0),0)</f>
        <v>112250.95400750633</v>
      </c>
      <c r="L30" t="str">
        <f>_xlfn.XLOOKUP(_xlfn.XLOOKUP(TableIncome[[#This Row],[Year]],Loop!B:B,Loop!C:C),'Job Hopping'!A:A,'Job Hopping'!E:E)</f>
        <v>N</v>
      </c>
      <c r="M30" t="str">
        <f>_xlfn.XLOOKUP(_xlfn.XLOOKUP(TableIncome[[#This Row],[Year]],Loop!B:B,Loop!D:D),'Job Hopping'!A:A,'Job Hopping'!F:F)</f>
        <v>N</v>
      </c>
    </row>
    <row r="31" spans="1:13" x14ac:dyDescent="0.25">
      <c r="A31">
        <v>2054</v>
      </c>
      <c r="B31" s="8">
        <f>(TableIncomeCalculations[[#This Row],[GrossMonthlySalaryP1]]*12)</f>
        <v>1237907.6581154603</v>
      </c>
      <c r="C31" s="8">
        <f>(TableIncomeCalculations[[#This Row],[GrossMonthlySalaryP2]]*12)</f>
        <v>1360481.5625709766</v>
      </c>
      <c r="J31">
        <f>IF(_xlfn.XLOOKUP(TableIncome[[#This Row],[Year]],Loop!B:B,Loop!C:C)&lt;70,(J30*(1+$F$3))+IF(TableIncomeCalculations[[#This Row],[SwitchP1]]="Y",J30*$F$4,0),0)</f>
        <v>103158.9715096217</v>
      </c>
      <c r="K31">
        <f>IF(_xlfn.XLOOKUP(TableIncome[[#This Row],[Year]],Loop!B:B,Loop!D:D)&lt;70,(K30*(1+$F$3))+IF(TableIncomeCalculations[[#This Row],[SwitchP2]]="Y",K30*$F$4,0),0)</f>
        <v>113373.46354758138</v>
      </c>
      <c r="L31" t="str">
        <f>_xlfn.XLOOKUP(_xlfn.XLOOKUP(TableIncome[[#This Row],[Year]],Loop!B:B,Loop!C:C),'Job Hopping'!A:A,'Job Hopping'!E:E)</f>
        <v>N</v>
      </c>
      <c r="M31" t="str">
        <f>_xlfn.XLOOKUP(_xlfn.XLOOKUP(TableIncome[[#This Row],[Year]],Loop!B:B,Loop!D:D),'Job Hopping'!A:A,'Job Hopping'!F:F)</f>
        <v>N</v>
      </c>
    </row>
    <row r="32" spans="1:13" x14ac:dyDescent="0.25">
      <c r="A32">
        <v>2055</v>
      </c>
      <c r="B32" s="8">
        <f>(TableIncomeCalculations[[#This Row],[GrossMonthlySalaryP1]]*12)</f>
        <v>1250286.734696615</v>
      </c>
      <c r="C32" s="8">
        <f>(TableIncomeCalculations[[#This Row],[GrossMonthlySalaryP2]]*12)</f>
        <v>0</v>
      </c>
      <c r="J32">
        <f>IF(_xlfn.XLOOKUP(TableIncome[[#This Row],[Year]],Loop!B:B,Loop!C:C)&lt;70,(J31*(1+$F$3))+IF(TableIncomeCalculations[[#This Row],[SwitchP1]]="Y",J31*$F$4,0),0)</f>
        <v>104190.56122471791</v>
      </c>
      <c r="K32">
        <f>IF(_xlfn.XLOOKUP(TableIncome[[#This Row],[Year]],Loop!B:B,Loop!D:D)&lt;70,(K31*(1+$F$3))+IF(TableIncomeCalculations[[#This Row],[SwitchP2]]="Y",K31*$F$4,0),0)</f>
        <v>0</v>
      </c>
      <c r="L32" t="str">
        <f>_xlfn.XLOOKUP(_xlfn.XLOOKUP(TableIncome[[#This Row],[Year]],Loop!B:B,Loop!C:C),'Job Hopping'!A:A,'Job Hopping'!E:E)</f>
        <v>N</v>
      </c>
      <c r="M32" t="str">
        <f>_xlfn.XLOOKUP(_xlfn.XLOOKUP(TableIncome[[#This Row],[Year]],Loop!B:B,Loop!D:D),'Job Hopping'!A:A,'Job Hopping'!F:F)</f>
        <v>N</v>
      </c>
    </row>
    <row r="33" spans="1:13" x14ac:dyDescent="0.25">
      <c r="A33">
        <v>2056</v>
      </c>
      <c r="B33" s="8">
        <f>(TableIncomeCalculations[[#This Row],[GrossMonthlySalaryP1]]*12)</f>
        <v>1262789.6020435812</v>
      </c>
      <c r="C33" s="8">
        <f>(TableIncomeCalculations[[#This Row],[GrossMonthlySalaryP2]]*12)</f>
        <v>0</v>
      </c>
      <c r="J33">
        <f>IF(_xlfn.XLOOKUP(TableIncome[[#This Row],[Year]],Loop!B:B,Loop!C:C)&lt;70,(J32*(1+$F$3))+IF(TableIncomeCalculations[[#This Row],[SwitchP1]]="Y",J32*$F$4,0),0)</f>
        <v>105232.46683696509</v>
      </c>
      <c r="K33">
        <f>IF(_xlfn.XLOOKUP(TableIncome[[#This Row],[Year]],Loop!B:B,Loop!D:D)&lt;70,(K32*(1+$F$3))+IF(TableIncomeCalculations[[#This Row],[SwitchP2]]="Y",K32*$F$4,0),0)</f>
        <v>0</v>
      </c>
      <c r="L33" t="str">
        <f>_xlfn.XLOOKUP(_xlfn.XLOOKUP(TableIncome[[#This Row],[Year]],Loop!B:B,Loop!C:C),'Job Hopping'!A:A,'Job Hopping'!E:E)</f>
        <v>N</v>
      </c>
      <c r="M33" t="str">
        <f>_xlfn.XLOOKUP(_xlfn.XLOOKUP(TableIncome[[#This Row],[Year]],Loop!B:B,Loop!D:D),'Job Hopping'!A:A,'Job Hopping'!F:F)</f>
        <v>N</v>
      </c>
    </row>
    <row r="34" spans="1:13" x14ac:dyDescent="0.25">
      <c r="A34">
        <v>2057</v>
      </c>
      <c r="B34" s="8">
        <f>(TableIncomeCalculations[[#This Row],[GrossMonthlySalaryP1]]*12)</f>
        <v>1275417.4980640169</v>
      </c>
      <c r="C34" s="8">
        <f>(TableIncomeCalculations[[#This Row],[GrossMonthlySalaryP2]]*12)</f>
        <v>0</v>
      </c>
      <c r="J34">
        <f>IF(_xlfn.XLOOKUP(TableIncome[[#This Row],[Year]],Loop!B:B,Loop!C:C)&lt;70,(J33*(1+$F$3))+IF(TableIncomeCalculations[[#This Row],[SwitchP1]]="Y",J33*$F$4,0),0)</f>
        <v>106284.79150533474</v>
      </c>
      <c r="K34">
        <f>IF(_xlfn.XLOOKUP(TableIncome[[#This Row],[Year]],Loop!B:B,Loop!D:D)&lt;70,(K33*(1+$F$3))+IF(TableIncomeCalculations[[#This Row],[SwitchP2]]="Y",K33*$F$4,0),0)</f>
        <v>0</v>
      </c>
      <c r="L34" t="str">
        <f>_xlfn.XLOOKUP(_xlfn.XLOOKUP(TableIncome[[#This Row],[Year]],Loop!B:B,Loop!C:C),'Job Hopping'!A:A,'Job Hopping'!E:E)</f>
        <v>N</v>
      </c>
      <c r="M34" t="str">
        <f>_xlfn.XLOOKUP(_xlfn.XLOOKUP(TableIncome[[#This Row],[Year]],Loop!B:B,Loop!D:D),'Job Hopping'!A:A,'Job Hopping'!F:F)</f>
        <v>N</v>
      </c>
    </row>
    <row r="35" spans="1:13" x14ac:dyDescent="0.25">
      <c r="A35">
        <v>2058</v>
      </c>
      <c r="B35" s="8">
        <f>(TableIncomeCalculations[[#This Row],[GrossMonthlySalaryP1]]*12)</f>
        <v>1288171.6730446571</v>
      </c>
      <c r="C35" s="8">
        <f>(TableIncomeCalculations[[#This Row],[GrossMonthlySalaryP2]]*12)</f>
        <v>0</v>
      </c>
      <c r="J35">
        <f>IF(_xlfn.XLOOKUP(TableIncome[[#This Row],[Year]],Loop!B:B,Loop!C:C)&lt;70,(J34*(1+$F$3))+IF(TableIncomeCalculations[[#This Row],[SwitchP1]]="Y",J34*$F$4,0),0)</f>
        <v>107347.63942038809</v>
      </c>
      <c r="K35">
        <f>IF(_xlfn.XLOOKUP(TableIncome[[#This Row],[Year]],Loop!B:B,Loop!D:D)&lt;70,(K34*(1+$F$3))+IF(TableIncomeCalculations[[#This Row],[SwitchP2]]="Y",K34*$F$4,0),0)</f>
        <v>0</v>
      </c>
      <c r="L35" t="str">
        <f>_xlfn.XLOOKUP(_xlfn.XLOOKUP(TableIncome[[#This Row],[Year]],Loop!B:B,Loop!C:C),'Job Hopping'!A:A,'Job Hopping'!E:E)</f>
        <v>N</v>
      </c>
      <c r="M35" t="str">
        <f>_xlfn.XLOOKUP(_xlfn.XLOOKUP(TableIncome[[#This Row],[Year]],Loop!B:B,Loop!D:D),'Job Hopping'!A:A,'Job Hopping'!F:F)</f>
        <v>N</v>
      </c>
    </row>
    <row r="36" spans="1:13" x14ac:dyDescent="0.25">
      <c r="A36">
        <v>2059</v>
      </c>
      <c r="B36" s="8">
        <f>(TableIncomeCalculations[[#This Row],[GrossMonthlySalaryP1]]*12)</f>
        <v>1301053.3897751037</v>
      </c>
      <c r="C36" s="8">
        <f>(TableIncomeCalculations[[#This Row],[GrossMonthlySalaryP2]]*12)</f>
        <v>0</v>
      </c>
      <c r="J36">
        <f>IF(_xlfn.XLOOKUP(TableIncome[[#This Row],[Year]],Loop!B:B,Loop!C:C)&lt;70,(J35*(1+$F$3))+IF(TableIncomeCalculations[[#This Row],[SwitchP1]]="Y",J35*$F$4,0),0)</f>
        <v>108421.11581459198</v>
      </c>
      <c r="K36">
        <f>IF(_xlfn.XLOOKUP(TableIncome[[#This Row],[Year]],Loop!B:B,Loop!D:D)&lt;70,(K35*(1+$F$3))+IF(TableIncomeCalculations[[#This Row],[SwitchP2]]="Y",K35*$F$4,0),0)</f>
        <v>0</v>
      </c>
      <c r="L36" t="str">
        <f>_xlfn.XLOOKUP(_xlfn.XLOOKUP(TableIncome[[#This Row],[Year]],Loop!B:B,Loop!C:C),'Job Hopping'!A:A,'Job Hopping'!E:E)</f>
        <v>N</v>
      </c>
      <c r="M36" t="str">
        <f>_xlfn.XLOOKUP(_xlfn.XLOOKUP(TableIncome[[#This Row],[Year]],Loop!B:B,Loop!D:D),'Job Hopping'!A:A,'Job Hopping'!F:F)</f>
        <v>N</v>
      </c>
    </row>
    <row r="37" spans="1:13" x14ac:dyDescent="0.25">
      <c r="A37">
        <v>2060</v>
      </c>
      <c r="B37" s="8">
        <f>(TableIncomeCalculations[[#This Row],[GrossMonthlySalaryP1]]*12)</f>
        <v>1444169.262650365</v>
      </c>
      <c r="C37" s="8">
        <f>(TableIncomeCalculations[[#This Row],[GrossMonthlySalaryP2]]*12)</f>
        <v>0</v>
      </c>
      <c r="J37">
        <f>IF(_xlfn.XLOOKUP(TableIncome[[#This Row],[Year]],Loop!B:B,Loop!C:C)&lt;70,(J36*(1+$F$3))+IF(TableIncomeCalculations[[#This Row],[SwitchP1]]="Y",J36*$F$4,0),0)</f>
        <v>120347.43855419708</v>
      </c>
      <c r="K37">
        <f>IF(_xlfn.XLOOKUP(TableIncome[[#This Row],[Year]],Loop!B:B,Loop!D:D)&lt;70,(K36*(1+$F$3))+IF(TableIncomeCalculations[[#This Row],[SwitchP2]]="Y",K36*$F$4,0),0)</f>
        <v>0</v>
      </c>
      <c r="L37" t="str">
        <f>_xlfn.XLOOKUP(_xlfn.XLOOKUP(TableIncome[[#This Row],[Year]],Loop!B:B,Loop!C:C),'Job Hopping'!A:A,'Job Hopping'!E:E)</f>
        <v>Y</v>
      </c>
      <c r="M37" t="str">
        <f>_xlfn.XLOOKUP(_xlfn.XLOOKUP(TableIncome[[#This Row],[Year]],Loop!B:B,Loop!D:D),'Job Hopping'!A:A,'Job Hopping'!F:F)</f>
        <v>N</v>
      </c>
    </row>
    <row r="38" spans="1:13" x14ac:dyDescent="0.25">
      <c r="A38">
        <v>2061</v>
      </c>
      <c r="B38" s="8">
        <f>(TableIncomeCalculations[[#This Row],[GrossMonthlySalaryP1]]*12)</f>
        <v>1458610.9552768685</v>
      </c>
      <c r="C38" s="8">
        <f>(TableIncomeCalculations[[#This Row],[GrossMonthlySalaryP2]]*12)</f>
        <v>0</v>
      </c>
      <c r="J38">
        <f>IF(_xlfn.XLOOKUP(TableIncome[[#This Row],[Year]],Loop!B:B,Loop!C:C)&lt;70,(J37*(1+$F$3))+IF(TableIncomeCalculations[[#This Row],[SwitchP1]]="Y",J37*$F$4,0),0)</f>
        <v>121550.91293973905</v>
      </c>
      <c r="K38">
        <f>IF(_xlfn.XLOOKUP(TableIncome[[#This Row],[Year]],Loop!B:B,Loop!D:D)&lt;70,(K37*(1+$F$3))+IF(TableIncomeCalculations[[#This Row],[SwitchP2]]="Y",K37*$F$4,0),0)</f>
        <v>0</v>
      </c>
      <c r="L38" t="str">
        <f>_xlfn.XLOOKUP(_xlfn.XLOOKUP(TableIncome[[#This Row],[Year]],Loop!B:B,Loop!C:C),'Job Hopping'!A:A,'Job Hopping'!E:E)</f>
        <v>N</v>
      </c>
      <c r="M38" t="str">
        <f>_xlfn.XLOOKUP(_xlfn.XLOOKUP(TableIncome[[#This Row],[Year]],Loop!B:B,Loop!D:D),'Job Hopping'!A:A,'Job Hopping'!F:F)</f>
        <v>N</v>
      </c>
    </row>
    <row r="39" spans="1:13" x14ac:dyDescent="0.25">
      <c r="A39">
        <v>2062</v>
      </c>
      <c r="B39" s="8">
        <f>(TableIncomeCalculations[[#This Row],[GrossMonthlySalaryP1]]*12)</f>
        <v>1473197.0648296373</v>
      </c>
      <c r="C39" s="8">
        <f>(TableIncomeCalculations[[#This Row],[GrossMonthlySalaryP2]]*12)</f>
        <v>0</v>
      </c>
      <c r="J39">
        <f>IF(_xlfn.XLOOKUP(TableIncome[[#This Row],[Year]],Loop!B:B,Loop!C:C)&lt;70,(J38*(1+$F$3))+IF(TableIncomeCalculations[[#This Row],[SwitchP1]]="Y",J38*$F$4,0),0)</f>
        <v>122766.42206913645</v>
      </c>
      <c r="K39">
        <f>IF(_xlfn.XLOOKUP(TableIncome[[#This Row],[Year]],Loop!B:B,Loop!D:D)&lt;70,(K38*(1+$F$3))+IF(TableIncomeCalculations[[#This Row],[SwitchP2]]="Y",K38*$F$4,0),0)</f>
        <v>0</v>
      </c>
      <c r="L39" t="str">
        <f>_xlfn.XLOOKUP(_xlfn.XLOOKUP(TableIncome[[#This Row],[Year]],Loop!B:B,Loop!C:C),'Job Hopping'!A:A,'Job Hopping'!E:E)</f>
        <v>N</v>
      </c>
      <c r="M39" t="str">
        <f>_xlfn.XLOOKUP(_xlfn.XLOOKUP(TableIncome[[#This Row],[Year]],Loop!B:B,Loop!D:D),'Job Hopping'!A:A,'Job Hopping'!F:F)</f>
        <v>N</v>
      </c>
    </row>
    <row r="40" spans="1:13" x14ac:dyDescent="0.25">
      <c r="A40">
        <v>2063</v>
      </c>
      <c r="B40" s="8">
        <f>(TableIncomeCalculations[[#This Row],[GrossMonthlySalaryP1]]*12)</f>
        <v>1487929.0354779337</v>
      </c>
      <c r="C40" s="8">
        <f>(TableIncomeCalculations[[#This Row],[GrossMonthlySalaryP2]]*12)</f>
        <v>0</v>
      </c>
      <c r="J40">
        <f>IF(_xlfn.XLOOKUP(TableIncome[[#This Row],[Year]],Loop!B:B,Loop!C:C)&lt;70,(J39*(1+$F$3))+IF(TableIncomeCalculations[[#This Row],[SwitchP1]]="Y",J39*$F$4,0),0)</f>
        <v>123994.08628982781</v>
      </c>
      <c r="K40">
        <f>IF(_xlfn.XLOOKUP(TableIncome[[#This Row],[Year]],Loop!B:B,Loop!D:D)&lt;70,(K39*(1+$F$3))+IF(TableIncomeCalculations[[#This Row],[SwitchP2]]="Y",K39*$F$4,0),0)</f>
        <v>0</v>
      </c>
      <c r="L40" t="str">
        <f>_xlfn.XLOOKUP(_xlfn.XLOOKUP(TableIncome[[#This Row],[Year]],Loop!B:B,Loop!C:C),'Job Hopping'!A:A,'Job Hopping'!E:E)</f>
        <v>N</v>
      </c>
      <c r="M40" t="str">
        <f>_xlfn.XLOOKUP(_xlfn.XLOOKUP(TableIncome[[#This Row],[Year]],Loop!B:B,Loop!D:D),'Job Hopping'!A:A,'Job Hopping'!F:F)</f>
        <v>N</v>
      </c>
    </row>
    <row r="41" spans="1:13" x14ac:dyDescent="0.25">
      <c r="A41">
        <v>2064</v>
      </c>
      <c r="B41" s="8">
        <f>(TableIncomeCalculations[[#This Row],[GrossMonthlySalaryP1]]*12)</f>
        <v>1502808.3258327132</v>
      </c>
      <c r="C41" s="8">
        <f>(TableIncomeCalculations[[#This Row],[GrossMonthlySalaryP2]]*12)</f>
        <v>0</v>
      </c>
      <c r="J41">
        <f>IF(_xlfn.XLOOKUP(TableIncome[[#This Row],[Year]],Loop!B:B,Loop!C:C)&lt;70,(J40*(1+$F$3))+IF(TableIncomeCalculations[[#This Row],[SwitchP1]]="Y",J40*$F$4,0),0)</f>
        <v>125234.02715272609</v>
      </c>
      <c r="K41">
        <f>IF(_xlfn.XLOOKUP(TableIncome[[#This Row],[Year]],Loop!B:B,Loop!D:D)&lt;70,(K40*(1+$F$3))+IF(TableIncomeCalculations[[#This Row],[SwitchP2]]="Y",K40*$F$4,0),0)</f>
        <v>0</v>
      </c>
      <c r="L41" t="str">
        <f>_xlfn.XLOOKUP(_xlfn.XLOOKUP(TableIncome[[#This Row],[Year]],Loop!B:B,Loop!C:C),'Job Hopping'!A:A,'Job Hopping'!E:E)</f>
        <v>N</v>
      </c>
      <c r="M41" t="str">
        <f>_xlfn.XLOOKUP(_xlfn.XLOOKUP(TableIncome[[#This Row],[Year]],Loop!B:B,Loop!D:D),'Job Hopping'!A:A,'Job Hopping'!F:F)</f>
        <v>N</v>
      </c>
    </row>
    <row r="42" spans="1:13" x14ac:dyDescent="0.25">
      <c r="A42">
        <v>2065</v>
      </c>
      <c r="B42" s="8">
        <f>(TableIncomeCalculations[[#This Row],[GrossMonthlySalaryP1]]*12)</f>
        <v>1517836.4090910403</v>
      </c>
      <c r="C42" s="8">
        <f>(TableIncomeCalculations[[#This Row],[GrossMonthlySalaryP2]]*12)</f>
        <v>0</v>
      </c>
      <c r="J42">
        <f>IF(_xlfn.XLOOKUP(TableIncome[[#This Row],[Year]],Loop!B:B,Loop!C:C)&lt;70,(J41*(1+$F$3))+IF(TableIncomeCalculations[[#This Row],[SwitchP1]]="Y",J41*$F$4,0),0)</f>
        <v>126486.36742425336</v>
      </c>
      <c r="K42">
        <f>IF(_xlfn.XLOOKUP(TableIncome[[#This Row],[Year]],Loop!B:B,Loop!D:D)&lt;70,(K41*(1+$F$3))+IF(TableIncomeCalculations[[#This Row],[SwitchP2]]="Y",K41*$F$4,0),0)</f>
        <v>0</v>
      </c>
      <c r="L42" t="str">
        <f>_xlfn.XLOOKUP(_xlfn.XLOOKUP(TableIncome[[#This Row],[Year]],Loop!B:B,Loop!C:C),'Job Hopping'!A:A,'Job Hopping'!E:E)</f>
        <v>N</v>
      </c>
      <c r="M42" t="str">
        <f>_xlfn.XLOOKUP(_xlfn.XLOOKUP(TableIncome[[#This Row],[Year]],Loop!B:B,Loop!D:D),'Job Hopping'!A:A,'Job Hopping'!F:F)</f>
        <v>N</v>
      </c>
    </row>
    <row r="43" spans="1:13" x14ac:dyDescent="0.25">
      <c r="A43">
        <v>2066</v>
      </c>
      <c r="B43" s="8">
        <f>(TableIncomeCalculations[[#This Row],[GrossMonthlySalaryP1]]*12)</f>
        <v>1533014.7731819507</v>
      </c>
      <c r="C43" s="8">
        <f>(TableIncomeCalculations[[#This Row],[GrossMonthlySalaryP2]]*12)</f>
        <v>0</v>
      </c>
      <c r="J43">
        <f>IF(_xlfn.XLOOKUP(TableIncome[[#This Row],[Year]],Loop!B:B,Loop!C:C)&lt;70,(J42*(1+$F$3))+IF(TableIncomeCalculations[[#This Row],[SwitchP1]]="Y",J42*$F$4,0),0)</f>
        <v>127751.23109849589</v>
      </c>
      <c r="K43">
        <f>IF(_xlfn.XLOOKUP(TableIncome[[#This Row],[Year]],Loop!B:B,Loop!D:D)&lt;70,(K42*(1+$F$3))+IF(TableIncomeCalculations[[#This Row],[SwitchP2]]="Y",K42*$F$4,0),0)</f>
        <v>0</v>
      </c>
      <c r="L43" t="str">
        <f>_xlfn.XLOOKUP(_xlfn.XLOOKUP(TableIncome[[#This Row],[Year]],Loop!B:B,Loop!C:C),'Job Hopping'!A:A,'Job Hopping'!E:E)</f>
        <v>N</v>
      </c>
      <c r="M43" t="str">
        <f>_xlfn.XLOOKUP(_xlfn.XLOOKUP(TableIncome[[#This Row],[Year]],Loop!B:B,Loop!D:D),'Job Hopping'!A:A,'Job Hopping'!F:F)</f>
        <v>N</v>
      </c>
    </row>
    <row r="44" spans="1:13" x14ac:dyDescent="0.25">
      <c r="A44">
        <v>2067</v>
      </c>
      <c r="B44" s="8">
        <f>(TableIncomeCalculations[[#This Row],[GrossMonthlySalaryP1]]*12)</f>
        <v>1548344.9209137703</v>
      </c>
      <c r="C44" s="8">
        <f>(TableIncomeCalculations[[#This Row],[GrossMonthlySalaryP2]]*12)</f>
        <v>0</v>
      </c>
      <c r="J44">
        <f>IF(_xlfn.XLOOKUP(TableIncome[[#This Row],[Year]],Loop!B:B,Loop!C:C)&lt;70,(J43*(1+$F$3))+IF(TableIncomeCalculations[[#This Row],[SwitchP1]]="Y",J43*$F$4,0),0)</f>
        <v>129028.74340948086</v>
      </c>
      <c r="K44">
        <f>IF(_xlfn.XLOOKUP(TableIncome[[#This Row],[Year]],Loop!B:B,Loop!D:D)&lt;70,(K43*(1+$F$3))+IF(TableIncomeCalculations[[#This Row],[SwitchP2]]="Y",K43*$F$4,0),0)</f>
        <v>0</v>
      </c>
      <c r="L44" t="str">
        <f>_xlfn.XLOOKUP(_xlfn.XLOOKUP(TableIncome[[#This Row],[Year]],Loop!B:B,Loop!C:C),'Job Hopping'!A:A,'Job Hopping'!E:E)</f>
        <v>N</v>
      </c>
      <c r="M44" t="str">
        <f>_xlfn.XLOOKUP(_xlfn.XLOOKUP(TableIncome[[#This Row],[Year]],Loop!B:B,Loop!D:D),'Job Hopping'!A:A,'Job Hopping'!F:F)</f>
        <v>N</v>
      </c>
    </row>
    <row r="45" spans="1:13" x14ac:dyDescent="0.25">
      <c r="A45">
        <v>2068</v>
      </c>
      <c r="B45" s="8">
        <f>(TableIncomeCalculations[[#This Row],[GrossMonthlySalaryP1]]*12)</f>
        <v>1563828.3701229079</v>
      </c>
      <c r="C45" s="8">
        <f>(TableIncomeCalculations[[#This Row],[GrossMonthlySalaryP2]]*12)</f>
        <v>0</v>
      </c>
      <c r="J45">
        <f>IF(_xlfn.XLOOKUP(TableIncome[[#This Row],[Year]],Loop!B:B,Loop!C:C)&lt;70,(J44*(1+$F$3))+IF(TableIncomeCalculations[[#This Row],[SwitchP1]]="Y",J44*$F$4,0),0)</f>
        <v>130319.03084357566</v>
      </c>
      <c r="K45">
        <f>IF(_xlfn.XLOOKUP(TableIncome[[#This Row],[Year]],Loop!B:B,Loop!D:D)&lt;70,(K44*(1+$F$3))+IF(TableIncomeCalculations[[#This Row],[SwitchP2]]="Y",K44*$F$4,0),0)</f>
        <v>0</v>
      </c>
      <c r="L45" t="str">
        <f>_xlfn.XLOOKUP(_xlfn.XLOOKUP(TableIncome[[#This Row],[Year]],Loop!B:B,Loop!C:C),'Job Hopping'!A:A,'Job Hopping'!E:E)</f>
        <v>N</v>
      </c>
      <c r="M45" t="str">
        <f>_xlfn.XLOOKUP(_xlfn.XLOOKUP(TableIncome[[#This Row],[Year]],Loop!B:B,Loop!D:D),'Job Hopping'!A:A,'Job Hopping'!F:F)</f>
        <v>N</v>
      </c>
    </row>
    <row r="46" spans="1:13" x14ac:dyDescent="0.25">
      <c r="A46">
        <v>2069</v>
      </c>
      <c r="B46" s="8">
        <f>(TableIncomeCalculations[[#This Row],[GrossMonthlySalaryP1]]*12)</f>
        <v>1579466.6538241371</v>
      </c>
      <c r="C46" s="8">
        <f>(TableIncomeCalculations[[#This Row],[GrossMonthlySalaryP2]]*12)</f>
        <v>0</v>
      </c>
      <c r="J46">
        <f>IF(_xlfn.XLOOKUP(TableIncome[[#This Row],[Year]],Loop!B:B,Loop!C:C)&lt;70,(J45*(1+$F$3))+IF(TableIncomeCalculations[[#This Row],[SwitchP1]]="Y",J45*$F$4,0),0)</f>
        <v>131622.22115201142</v>
      </c>
      <c r="K46">
        <f>IF(_xlfn.XLOOKUP(TableIncome[[#This Row],[Year]],Loop!B:B,Loop!D:D)&lt;70,(K45*(1+$F$3))+IF(TableIncomeCalculations[[#This Row],[SwitchP2]]="Y",K45*$F$4,0),0)</f>
        <v>0</v>
      </c>
      <c r="L46" t="str">
        <f>_xlfn.XLOOKUP(_xlfn.XLOOKUP(TableIncome[[#This Row],[Year]],Loop!B:B,Loop!C:C),'Job Hopping'!A:A,'Job Hopping'!E:E)</f>
        <v>N</v>
      </c>
      <c r="M46" t="str">
        <f>_xlfn.XLOOKUP(_xlfn.XLOOKUP(TableIncome[[#This Row],[Year]],Loop!B:B,Loop!D:D),'Job Hopping'!A:A,'Job Hopping'!F:F)</f>
        <v>N</v>
      </c>
    </row>
    <row r="47" spans="1:13" x14ac:dyDescent="0.25">
      <c r="A47">
        <v>2070</v>
      </c>
      <c r="B47" s="8">
        <f>(TableIncomeCalculations[[#This Row],[GrossMonthlySalaryP1]]*12)</f>
        <v>0</v>
      </c>
      <c r="C47" s="8">
        <f>(TableIncomeCalculations[[#This Row],[GrossMonthlySalaryP2]]*12)</f>
        <v>0</v>
      </c>
      <c r="J47">
        <f>IF(_xlfn.XLOOKUP(TableIncome[[#This Row],[Year]],Loop!B:B,Loop!C:C)&lt;70,(J46*(1+$F$3))+IF(TableIncomeCalculations[[#This Row],[SwitchP1]]="Y",J46*$F$4,0),0)</f>
        <v>0</v>
      </c>
      <c r="K47">
        <f>IF(_xlfn.XLOOKUP(TableIncome[[#This Row],[Year]],Loop!B:B,Loop!D:D)&lt;70,(K46*(1+$F$3))+IF(TableIncomeCalculations[[#This Row],[SwitchP2]]="Y",K46*$F$4,0),0)</f>
        <v>0</v>
      </c>
      <c r="L47" t="str">
        <f>_xlfn.XLOOKUP(_xlfn.XLOOKUP(TableIncome[[#This Row],[Year]],Loop!B:B,Loop!C:C),'Job Hopping'!A:A,'Job Hopping'!E:E)</f>
        <v>N</v>
      </c>
      <c r="M47" t="str">
        <f>_xlfn.XLOOKUP(_xlfn.XLOOKUP(TableIncome[[#This Row],[Year]],Loop!B:B,Loop!D:D),'Job Hopping'!A:A,'Job Hopping'!F:F)</f>
        <v>N</v>
      </c>
    </row>
  </sheetData>
  <phoneticPr fontId="3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4D0F5-8E8A-4958-9371-73201FAFFCDD}">
  <sheetPr>
    <tabColor theme="4" tint="0.79998168889431442"/>
  </sheetPr>
  <dimension ref="A1:S100"/>
  <sheetViews>
    <sheetView zoomScaleNormal="100" workbookViewId="0">
      <selection activeCell="C2" sqref="C2"/>
    </sheetView>
  </sheetViews>
  <sheetFormatPr defaultColWidth="8.7109375" defaultRowHeight="15" x14ac:dyDescent="0.25"/>
  <cols>
    <col min="1" max="1" width="8.85546875" bestFit="1" customWidth="1"/>
    <col min="2" max="2" width="14.85546875" bestFit="1" customWidth="1"/>
    <col min="3" max="4" width="11.5703125" bestFit="1" customWidth="1"/>
    <col min="5" max="6" width="19" bestFit="1" customWidth="1"/>
    <col min="12" max="12" width="9.5703125" bestFit="1" customWidth="1"/>
    <col min="13" max="13" width="14.85546875" bestFit="1" customWidth="1"/>
    <col min="14" max="14" width="20.7109375" bestFit="1" customWidth="1"/>
    <col min="15" max="15" width="20.85546875" bestFit="1" customWidth="1"/>
    <col min="16" max="16" width="11.5703125" bestFit="1" customWidth="1"/>
    <col min="18" max="18" width="14.85546875" bestFit="1" customWidth="1"/>
    <col min="19" max="19" width="12" bestFit="1" customWidth="1"/>
  </cols>
  <sheetData>
    <row r="1" spans="1:19" x14ac:dyDescent="0.25">
      <c r="A1" t="s">
        <v>54</v>
      </c>
      <c r="B1" t="s">
        <v>55</v>
      </c>
      <c r="C1" t="s">
        <v>58</v>
      </c>
      <c r="D1" t="s">
        <v>67</v>
      </c>
      <c r="E1" t="s">
        <v>65</v>
      </c>
      <c r="F1" t="s">
        <v>66</v>
      </c>
      <c r="L1" t="s">
        <v>1</v>
      </c>
      <c r="M1" t="s">
        <v>55</v>
      </c>
      <c r="N1" t="s">
        <v>56</v>
      </c>
      <c r="O1" t="s">
        <v>57</v>
      </c>
      <c r="P1" t="s">
        <v>58</v>
      </c>
      <c r="R1" t="s">
        <v>55</v>
      </c>
      <c r="S1" t="s">
        <v>59</v>
      </c>
    </row>
    <row r="2" spans="1:19" x14ac:dyDescent="0.25">
      <c r="A2">
        <v>25</v>
      </c>
      <c r="B2" t="str">
        <f>IF(A2&lt;30, "25-29 år", IF(A2&lt;35, "30-34 år", IF(A2&lt;40, "35-39 år", IF(A2&lt;45, "40-44 år", IF(A2&lt;50, "45-49 år", IF(A2&lt;55, "50-54 år", IF(A2&lt;60, "55-59 år", IF(A2&lt;65, "60-64 år", "65+ år"))))))))</f>
        <v>25-29 år</v>
      </c>
      <c r="C2">
        <f t="shared" ref="C2:C33" si="0">_xlfn.XLOOKUP(B2,R:R,S:S)</f>
        <v>0.51651947969596046</v>
      </c>
      <c r="D2" t="str">
        <f ca="1">IF(OR(JobHopping[[#This Row],[Age]]=25,JobHopping[[#This Row],[Age]]&gt;69),"N",IF(AND(#REF!="N",D1="N", RAND()&lt;=C2), "Y", "N"))</f>
        <v>N</v>
      </c>
      <c r="E2" t="s">
        <v>0</v>
      </c>
      <c r="F2" t="str">
        <f>IF(JobHopping[[#This Row],[Age]]&lt;40,"",JobHopping[[#This Row],[SwitchP1Static]])</f>
        <v/>
      </c>
      <c r="L2">
        <v>2013</v>
      </c>
      <c r="M2" t="s">
        <v>16</v>
      </c>
      <c r="N2">
        <f>_xlfn.XLOOKUP(L2&amp;"-"&amp;M2,'Djøf Finance Workers'!D:D,'Djøf Finance Workers'!C:C,0,1)</f>
        <v>6202</v>
      </c>
      <c r="O2">
        <f>_xlfn.XLOOKUP(L2&amp;"-"&amp;M2,'Djøf Finance Hoppers'!D:D,'Djøf Finance Hoppers'!C:C,0,1)</f>
        <v>2524</v>
      </c>
      <c r="P2">
        <f t="shared" ref="P2:P65" si="1">IF(N2&gt;0, O2/N2, 0)</f>
        <v>0.40696549500161239</v>
      </c>
      <c r="R2" t="s">
        <v>16</v>
      </c>
      <c r="S2">
        <f t="shared" ref="S2:S10" si="2">SUMIFS(P:P,M:M,R2)/(MAX($L$2:$L$100)-MIN($L$2:$L$100))</f>
        <v>0.51651947969596046</v>
      </c>
    </row>
    <row r="3" spans="1:19" x14ac:dyDescent="0.25">
      <c r="A3">
        <v>26</v>
      </c>
      <c r="B3" t="str">
        <f>IF(A3&lt;30, "25-29 år", IF(A3&lt;35, "30-34 år", IF(A3&lt;40, "35-39 år", IF(A3&lt;45, "40-44 år", IF(A3&lt;50, "45-49 år", IF(A3&lt;55, "50-54 år", IF(A3&lt;60, "55-59 år", IF(A3&lt;65, "60-64 år", "65+ år"))))))))</f>
        <v>25-29 år</v>
      </c>
      <c r="C3">
        <f t="shared" si="0"/>
        <v>0.51651947969596046</v>
      </c>
      <c r="D3" t="str">
        <f ca="1">IF(OR(JobHopping[[#This Row],[Age]]=25,JobHopping[[#This Row],[Age]]&gt;69),"N",IF(AND(D1="N",D2="N", RAND()&lt;=C3), "Y", "N"))</f>
        <v>N</v>
      </c>
      <c r="E3" t="s">
        <v>0</v>
      </c>
      <c r="F3" t="str">
        <f>IF(JobHopping[[#This Row],[Age]]&lt;40,"",JobHopping[[#This Row],[SwitchP1Static]])</f>
        <v/>
      </c>
      <c r="L3">
        <v>2013</v>
      </c>
      <c r="M3" t="s">
        <v>17</v>
      </c>
      <c r="N3">
        <f>_xlfn.XLOOKUP(L3&amp;"-"&amp;M3,'Djøf Finance Workers'!D:D,'Djøf Finance Workers'!C:C,0,1)</f>
        <v>8560</v>
      </c>
      <c r="O3">
        <f>_xlfn.XLOOKUP(L3&amp;"-"&amp;M3,'Djøf Finance Hoppers'!D:D,'Djøf Finance Hoppers'!C:C,0,1)</f>
        <v>2176</v>
      </c>
      <c r="P3">
        <f t="shared" si="1"/>
        <v>0.25420560747663551</v>
      </c>
      <c r="R3" t="s">
        <v>17</v>
      </c>
      <c r="S3">
        <f t="shared" si="2"/>
        <v>0.33908020385851029</v>
      </c>
    </row>
    <row r="4" spans="1:19" x14ac:dyDescent="0.25">
      <c r="A4">
        <v>27</v>
      </c>
      <c r="B4" t="str">
        <f>IF(A4&lt;30, "25-29 år", IF(A4&lt;35, "30-34 år", IF(A4&lt;40, "35-39 år", IF(A4&lt;45, "40-44 år", IF(A4&lt;50, "45-49 år", IF(A4&lt;55, "50-54 år", IF(A4&lt;60, "55-59 år", IF(A4&lt;65, "60-64 år", "65+ år"))))))))</f>
        <v>25-29 år</v>
      </c>
      <c r="C4">
        <f t="shared" si="0"/>
        <v>0.51651947969596046</v>
      </c>
      <c r="D4" t="str">
        <f ca="1">IF(OR(JobHopping[[#This Row],[Age]]=25,JobHopping[[#This Row],[Age]]&gt;69),"N",IF(AND(D2="N",D3="N", RAND()&lt;=C4), "Y", "N"))</f>
        <v>Y</v>
      </c>
      <c r="E4" t="s">
        <v>64</v>
      </c>
      <c r="F4" t="str">
        <f>IF(JobHopping[[#This Row],[Age]]&lt;40,"",JobHopping[[#This Row],[SwitchP1Static]])</f>
        <v/>
      </c>
      <c r="L4">
        <v>2013</v>
      </c>
      <c r="M4" t="s">
        <v>18</v>
      </c>
      <c r="N4">
        <f>_xlfn.XLOOKUP(L4&amp;"-"&amp;M4,'Djøf Finance Workers'!D:D,'Djøf Finance Workers'!C:C,0,1)</f>
        <v>9790</v>
      </c>
      <c r="O4">
        <f>_xlfn.XLOOKUP(L4&amp;"-"&amp;M4,'Djøf Finance Hoppers'!D:D,'Djøf Finance Hoppers'!C:C,0,1)</f>
        <v>1896</v>
      </c>
      <c r="P4">
        <f t="shared" si="1"/>
        <v>0.19366700715015323</v>
      </c>
      <c r="R4" t="s">
        <v>18</v>
      </c>
      <c r="S4">
        <f t="shared" si="2"/>
        <v>0.2624026948424838</v>
      </c>
    </row>
    <row r="5" spans="1:19" x14ac:dyDescent="0.25">
      <c r="A5">
        <v>28</v>
      </c>
      <c r="B5" t="str">
        <f t="shared" ref="B5:B47" si="3">IF(A5&lt;30, "25-29 år", IF(A5&lt;35, "30-34 år", IF(A5&lt;40, "35-39 år", IF(A5&lt;45, "40-44 år", IF(A5&lt;50, "45-49 år", IF(A5&lt;55, "50-54 år", IF(A5&lt;60, "55-59 år", IF(A5&lt;65, "60-64 år", "65+ år"))))))))</f>
        <v>25-29 år</v>
      </c>
      <c r="C5">
        <f t="shared" si="0"/>
        <v>0.51651947969596046</v>
      </c>
      <c r="D5" t="str">
        <f ca="1">IF(OR(JobHopping[[#This Row],[Age]]=25,JobHopping[[#This Row],[Age]]&gt;69),"N",IF(AND(D3="N",D4="N", RAND()&lt;=C5), "Y", "N"))</f>
        <v>N</v>
      </c>
      <c r="E5" t="s">
        <v>0</v>
      </c>
      <c r="F5" t="str">
        <f>IF(JobHopping[[#This Row],[Age]]&lt;40,"",JobHopping[[#This Row],[SwitchP1Static]])</f>
        <v/>
      </c>
      <c r="L5">
        <v>2013</v>
      </c>
      <c r="M5" t="s">
        <v>19</v>
      </c>
      <c r="N5">
        <f>_xlfn.XLOOKUP(L5&amp;"-"&amp;M5,'Djøf Finance Workers'!D:D,'Djøf Finance Workers'!C:C,0,1)</f>
        <v>9383</v>
      </c>
      <c r="O5">
        <f>_xlfn.XLOOKUP(L5&amp;"-"&amp;M5,'Djøf Finance Hoppers'!D:D,'Djøf Finance Hoppers'!C:C,0,1)</f>
        <v>1579</v>
      </c>
      <c r="P5">
        <f t="shared" si="1"/>
        <v>0.16828306511776617</v>
      </c>
      <c r="R5" t="s">
        <v>19</v>
      </c>
      <c r="S5">
        <f t="shared" si="2"/>
        <v>0.2213187304833609</v>
      </c>
    </row>
    <row r="6" spans="1:19" x14ac:dyDescent="0.25">
      <c r="A6">
        <v>29</v>
      </c>
      <c r="B6" t="str">
        <f t="shared" si="3"/>
        <v>25-29 år</v>
      </c>
      <c r="C6">
        <f t="shared" si="0"/>
        <v>0.51651947969596046</v>
      </c>
      <c r="D6" t="str">
        <f ca="1">IF(OR(JobHopping[[#This Row],[Age]]=25,JobHopping[[#This Row],[Age]]&gt;69),"N",IF(AND(D4="N",D5="N", RAND()&lt;=C6), "Y", "N"))</f>
        <v>N</v>
      </c>
      <c r="E6" t="s">
        <v>0</v>
      </c>
      <c r="F6" t="str">
        <f>IF(JobHopping[[#This Row],[Age]]&lt;40,"",JobHopping[[#This Row],[SwitchP1Static]])</f>
        <v/>
      </c>
      <c r="L6">
        <v>2013</v>
      </c>
      <c r="M6" t="s">
        <v>20</v>
      </c>
      <c r="N6">
        <f>_xlfn.XLOOKUP(L6&amp;"-"&amp;M6,'Djøf Finance Workers'!D:D,'Djøf Finance Workers'!C:C,0,1)</f>
        <v>12762</v>
      </c>
      <c r="O6">
        <f>_xlfn.XLOOKUP(L6&amp;"-"&amp;M6,'Djøf Finance Hoppers'!D:D,'Djøf Finance Hoppers'!C:C,0,1)</f>
        <v>1915</v>
      </c>
      <c r="P6">
        <f t="shared" si="1"/>
        <v>0.15005485033693777</v>
      </c>
      <c r="R6" t="s">
        <v>20</v>
      </c>
      <c r="S6">
        <f t="shared" si="2"/>
        <v>0.19929479981866399</v>
      </c>
    </row>
    <row r="7" spans="1:19" x14ac:dyDescent="0.25">
      <c r="A7">
        <v>30</v>
      </c>
      <c r="B7" t="str">
        <f t="shared" si="3"/>
        <v>30-34 år</v>
      </c>
      <c r="C7">
        <f t="shared" si="0"/>
        <v>0.33908020385851029</v>
      </c>
      <c r="D7" t="str">
        <f ca="1">IF(OR(JobHopping[[#This Row],[Age]]=25,JobHopping[[#This Row],[Age]]&gt;69),"N",IF(AND(D5="N",D6="N", RAND()&lt;=C7), "Y", "N"))</f>
        <v>Y</v>
      </c>
      <c r="E7" t="s">
        <v>0</v>
      </c>
      <c r="F7" t="str">
        <f>IF(JobHopping[[#This Row],[Age]]&lt;40,"",JobHopping[[#This Row],[SwitchP1Static]])</f>
        <v/>
      </c>
      <c r="L7">
        <v>2013</v>
      </c>
      <c r="M7" t="s">
        <v>21</v>
      </c>
      <c r="N7">
        <f>_xlfn.XLOOKUP(L7&amp;"-"&amp;M7,'Djøf Finance Workers'!D:D,'Djøf Finance Workers'!C:C,0,1)</f>
        <v>10587</v>
      </c>
      <c r="O7">
        <f>_xlfn.XLOOKUP(L7&amp;"-"&amp;M7,'Djøf Finance Hoppers'!D:D,'Djøf Finance Hoppers'!C:C,0,1)</f>
        <v>1462</v>
      </c>
      <c r="P7">
        <f t="shared" si="1"/>
        <v>0.13809388873146311</v>
      </c>
      <c r="R7" t="s">
        <v>21</v>
      </c>
      <c r="S7">
        <f t="shared" si="2"/>
        <v>0.17668929185764676</v>
      </c>
    </row>
    <row r="8" spans="1:19" x14ac:dyDescent="0.25">
      <c r="A8">
        <v>31</v>
      </c>
      <c r="B8" t="str">
        <f t="shared" si="3"/>
        <v>30-34 år</v>
      </c>
      <c r="C8">
        <f t="shared" si="0"/>
        <v>0.33908020385851029</v>
      </c>
      <c r="D8" t="str">
        <f ca="1">IF(OR(JobHopping[[#This Row],[Age]]=25,JobHopping[[#This Row],[Age]]&gt;69),"N",IF(AND(D6="N",D7="N", RAND()&lt;=C8), "Y", "N"))</f>
        <v>N</v>
      </c>
      <c r="E8" t="s">
        <v>64</v>
      </c>
      <c r="F8" t="str">
        <f>IF(JobHopping[[#This Row],[Age]]&lt;40,"",JobHopping[[#This Row],[SwitchP1Static]])</f>
        <v/>
      </c>
      <c r="L8">
        <v>2013</v>
      </c>
      <c r="M8" t="s">
        <v>22</v>
      </c>
      <c r="N8">
        <f>_xlfn.XLOOKUP(L8&amp;"-"&amp;M8,'Djøf Finance Workers'!D:D,'Djøf Finance Workers'!C:C,0,1)</f>
        <v>8811</v>
      </c>
      <c r="O8">
        <f>_xlfn.XLOOKUP(L8&amp;"-"&amp;M8,'Djøf Finance Hoppers'!D:D,'Djøf Finance Hoppers'!C:C,0,1)</f>
        <v>1227</v>
      </c>
      <c r="P8">
        <f t="shared" si="1"/>
        <v>0.13925774599931903</v>
      </c>
      <c r="R8" t="s">
        <v>22</v>
      </c>
      <c r="S8">
        <f t="shared" si="2"/>
        <v>0.15515674597479437</v>
      </c>
    </row>
    <row r="9" spans="1:19" x14ac:dyDescent="0.25">
      <c r="A9">
        <v>32</v>
      </c>
      <c r="B9" t="str">
        <f t="shared" si="3"/>
        <v>30-34 år</v>
      </c>
      <c r="C9">
        <f t="shared" si="0"/>
        <v>0.33908020385851029</v>
      </c>
      <c r="D9" t="str">
        <f ca="1">IF(OR(JobHopping[[#This Row],[Age]]=25,JobHopping[[#This Row],[Age]]&gt;69),"N",IF(AND(D7="N",D8="N", RAND()&lt;=C9), "Y", "N"))</f>
        <v>N</v>
      </c>
      <c r="E9" t="s">
        <v>0</v>
      </c>
      <c r="F9" t="str">
        <f>IF(JobHopping[[#This Row],[Age]]&lt;40,"",JobHopping[[#This Row],[SwitchP1Static]])</f>
        <v/>
      </c>
      <c r="L9">
        <v>2013</v>
      </c>
      <c r="M9" t="s">
        <v>23</v>
      </c>
      <c r="N9">
        <f>_xlfn.XLOOKUP(L9&amp;"-"&amp;M9,'Djøf Finance Workers'!D:D,'Djøf Finance Workers'!C:C,0,1)</f>
        <v>5072</v>
      </c>
      <c r="O9">
        <f>_xlfn.XLOOKUP(L9&amp;"-"&amp;M9,'Djøf Finance Hoppers'!D:D,'Djøf Finance Hoppers'!C:C,0,1)</f>
        <v>667</v>
      </c>
      <c r="P9">
        <f t="shared" si="1"/>
        <v>0.13150630914826497</v>
      </c>
      <c r="R9" t="s">
        <v>23</v>
      </c>
      <c r="S9">
        <f t="shared" si="2"/>
        <v>0.13997311637990331</v>
      </c>
    </row>
    <row r="10" spans="1:19" x14ac:dyDescent="0.25">
      <c r="A10">
        <v>33</v>
      </c>
      <c r="B10" t="str">
        <f t="shared" si="3"/>
        <v>30-34 år</v>
      </c>
      <c r="C10">
        <f t="shared" si="0"/>
        <v>0.33908020385851029</v>
      </c>
      <c r="D10" t="str">
        <f ca="1">IF(OR(JobHopping[[#This Row],[Age]]=25,JobHopping[[#This Row],[Age]]&gt;69),"N",IF(AND(D8="N",D9="N", RAND()&lt;=C10), "Y", "N"))</f>
        <v>N</v>
      </c>
      <c r="E10" t="s">
        <v>0</v>
      </c>
      <c r="F10" t="str">
        <f>IF(JobHopping[[#This Row],[Age]]&lt;40,"",JobHopping[[#This Row],[SwitchP1Static]])</f>
        <v/>
      </c>
      <c r="L10">
        <v>2013</v>
      </c>
      <c r="M10" t="s">
        <v>24</v>
      </c>
      <c r="N10">
        <f>_xlfn.XLOOKUP(L10&amp;"-"&amp;M10,'Djøf Finance Workers'!D:D,'Djøf Finance Workers'!C:C,0,1)</f>
        <v>1539</v>
      </c>
      <c r="O10">
        <f>_xlfn.XLOOKUP(L10&amp;"-"&amp;M10,'Djøf Finance Hoppers'!D:D,'Djøf Finance Hoppers'!C:C,0,1)</f>
        <v>224</v>
      </c>
      <c r="P10">
        <f t="shared" si="1"/>
        <v>0.14554905782975958</v>
      </c>
      <c r="R10" t="s">
        <v>24</v>
      </c>
      <c r="S10">
        <f t="shared" si="2"/>
        <v>0.11691873000664299</v>
      </c>
    </row>
    <row r="11" spans="1:19" x14ac:dyDescent="0.25">
      <c r="A11">
        <v>34</v>
      </c>
      <c r="B11" t="str">
        <f t="shared" si="3"/>
        <v>30-34 år</v>
      </c>
      <c r="C11">
        <f t="shared" si="0"/>
        <v>0.33908020385851029</v>
      </c>
      <c r="D11" t="str">
        <f ca="1">IF(OR(JobHopping[[#This Row],[Age]]=25,JobHopping[[#This Row],[Age]]&gt;69),"N",IF(AND(D9="N",D10="N", RAND()&lt;=C11), "Y", "N"))</f>
        <v>Y</v>
      </c>
      <c r="E11" t="s">
        <v>0</v>
      </c>
      <c r="F11" t="str">
        <f>IF(JobHopping[[#This Row],[Age]]&lt;40,"",JobHopping[[#This Row],[SwitchP1Static]])</f>
        <v/>
      </c>
      <c r="L11">
        <v>2014</v>
      </c>
      <c r="M11" t="s">
        <v>16</v>
      </c>
      <c r="N11">
        <f>_xlfn.XLOOKUP(L11&amp;"-"&amp;M11,'Djøf Finance Workers'!D:D,'Djøf Finance Workers'!C:C,0,1)</f>
        <v>6041</v>
      </c>
      <c r="O11">
        <f>_xlfn.XLOOKUP(L11&amp;"-"&amp;M11,'Djøf Finance Hoppers'!D:D,'Djøf Finance Hoppers'!C:C,0,1)</f>
        <v>2521</v>
      </c>
      <c r="P11">
        <f t="shared" si="1"/>
        <v>0.41731501407051813</v>
      </c>
    </row>
    <row r="12" spans="1:19" x14ac:dyDescent="0.25">
      <c r="A12">
        <v>35</v>
      </c>
      <c r="B12" t="str">
        <f t="shared" si="3"/>
        <v>35-39 år</v>
      </c>
      <c r="C12">
        <f t="shared" si="0"/>
        <v>0.2624026948424838</v>
      </c>
      <c r="D12" t="str">
        <f ca="1">IF(OR(JobHopping[[#This Row],[Age]]=25,JobHopping[[#This Row],[Age]]&gt;69),"N",IF(AND(D10="N",D11="N", RAND()&lt;=C12), "Y", "N"))</f>
        <v>N</v>
      </c>
      <c r="E12" t="s">
        <v>64</v>
      </c>
      <c r="F12" t="str">
        <f>IF(JobHopping[[#This Row],[Age]]&lt;40,"",JobHopping[[#This Row],[SwitchP1Static]])</f>
        <v/>
      </c>
      <c r="L12">
        <v>2014</v>
      </c>
      <c r="M12" t="s">
        <v>17</v>
      </c>
      <c r="N12">
        <f>_xlfn.XLOOKUP(L12&amp;"-"&amp;M12,'Djøf Finance Workers'!D:D,'Djøf Finance Workers'!C:C,0,1)</f>
        <v>8203</v>
      </c>
      <c r="O12">
        <f>_xlfn.XLOOKUP(L12&amp;"-"&amp;M12,'Djøf Finance Hoppers'!D:D,'Djøf Finance Hoppers'!C:C,0,1)</f>
        <v>2178</v>
      </c>
      <c r="P12">
        <f t="shared" si="1"/>
        <v>0.26551261733512127</v>
      </c>
    </row>
    <row r="13" spans="1:19" x14ac:dyDescent="0.25">
      <c r="A13">
        <v>36</v>
      </c>
      <c r="B13" t="str">
        <f t="shared" si="3"/>
        <v>35-39 år</v>
      </c>
      <c r="C13">
        <f t="shared" si="0"/>
        <v>0.2624026948424838</v>
      </c>
      <c r="D13" t="str">
        <f ca="1">IF(OR(JobHopping[[#This Row],[Age]]=25,JobHopping[[#This Row],[Age]]&gt;69),"N",IF(AND(D11="N",D12="N", RAND()&lt;=C13), "Y", "N"))</f>
        <v>N</v>
      </c>
      <c r="E13" t="s">
        <v>0</v>
      </c>
      <c r="F13" t="str">
        <f>IF(JobHopping[[#This Row],[Age]]&lt;40,"",JobHopping[[#This Row],[SwitchP1Static]])</f>
        <v/>
      </c>
      <c r="L13">
        <v>2014</v>
      </c>
      <c r="M13" t="s">
        <v>18</v>
      </c>
      <c r="N13">
        <f>_xlfn.XLOOKUP(L13&amp;"-"&amp;M13,'Djøf Finance Workers'!D:D,'Djøf Finance Workers'!C:C,0,1)</f>
        <v>9972</v>
      </c>
      <c r="O13">
        <f>_xlfn.XLOOKUP(L13&amp;"-"&amp;M13,'Djøf Finance Hoppers'!D:D,'Djøf Finance Hoppers'!C:C,0,1)</f>
        <v>2066</v>
      </c>
      <c r="P13">
        <f t="shared" si="1"/>
        <v>0.20718010429201764</v>
      </c>
    </row>
    <row r="14" spans="1:19" x14ac:dyDescent="0.25">
      <c r="A14">
        <v>37</v>
      </c>
      <c r="B14" t="str">
        <f t="shared" si="3"/>
        <v>35-39 år</v>
      </c>
      <c r="C14">
        <f t="shared" si="0"/>
        <v>0.2624026948424838</v>
      </c>
      <c r="D14" t="str">
        <f ca="1">IF(OR(JobHopping[[#This Row],[Age]]=25,JobHopping[[#This Row],[Age]]&gt;69),"N",IF(AND(D12="N",D13="N", RAND()&lt;=C14), "Y", "N"))</f>
        <v>N</v>
      </c>
      <c r="E14" t="s">
        <v>0</v>
      </c>
      <c r="F14" t="str">
        <f>IF(JobHopping[[#This Row],[Age]]&lt;40,"",JobHopping[[#This Row],[SwitchP1Static]])</f>
        <v/>
      </c>
      <c r="L14">
        <v>2014</v>
      </c>
      <c r="M14" t="s">
        <v>19</v>
      </c>
      <c r="N14">
        <f>_xlfn.XLOOKUP(L14&amp;"-"&amp;M14,'Djøf Finance Workers'!D:D,'Djøf Finance Workers'!C:C,0,1)</f>
        <v>9409</v>
      </c>
      <c r="O14">
        <f>_xlfn.XLOOKUP(L14&amp;"-"&amp;M14,'Djøf Finance Hoppers'!D:D,'Djøf Finance Hoppers'!C:C,0,1)</f>
        <v>1647</v>
      </c>
      <c r="P14">
        <f t="shared" si="1"/>
        <v>0.17504516951854607</v>
      </c>
    </row>
    <row r="15" spans="1:19" x14ac:dyDescent="0.25">
      <c r="A15">
        <v>38</v>
      </c>
      <c r="B15" t="str">
        <f t="shared" si="3"/>
        <v>35-39 år</v>
      </c>
      <c r="C15">
        <f t="shared" si="0"/>
        <v>0.2624026948424838</v>
      </c>
      <c r="D15" t="str">
        <f ca="1">IF(OR(JobHopping[[#This Row],[Age]]=25,JobHopping[[#This Row],[Age]]&gt;69),"N",IF(AND(D13="N",D14="N", RAND()&lt;=C15), "Y", "N"))</f>
        <v>Y</v>
      </c>
      <c r="E15" t="s">
        <v>0</v>
      </c>
      <c r="F15" t="str">
        <f>IF(JobHopping[[#This Row],[Age]]&lt;40,"",JobHopping[[#This Row],[SwitchP1Static]])</f>
        <v/>
      </c>
      <c r="L15">
        <v>2014</v>
      </c>
      <c r="M15" t="s">
        <v>20</v>
      </c>
      <c r="N15">
        <f>_xlfn.XLOOKUP(L15&amp;"-"&amp;M15,'Djøf Finance Workers'!D:D,'Djøf Finance Workers'!C:C,0,1)</f>
        <v>12377</v>
      </c>
      <c r="O15">
        <f>_xlfn.XLOOKUP(L15&amp;"-"&amp;M15,'Djøf Finance Hoppers'!D:D,'Djøf Finance Hoppers'!C:C,0,1)</f>
        <v>1953</v>
      </c>
      <c r="P15">
        <f t="shared" si="1"/>
        <v>0.15779267997091379</v>
      </c>
    </row>
    <row r="16" spans="1:19" x14ac:dyDescent="0.25">
      <c r="A16">
        <v>39</v>
      </c>
      <c r="B16" t="str">
        <f t="shared" si="3"/>
        <v>35-39 år</v>
      </c>
      <c r="C16">
        <f t="shared" si="0"/>
        <v>0.2624026948424838</v>
      </c>
      <c r="D16" t="str">
        <f ca="1">IF(OR(JobHopping[[#This Row],[Age]]=25,JobHopping[[#This Row],[Age]]&gt;69),"N",IF(AND(D14="N",D15="N", RAND()&lt;=C16), "Y", "N"))</f>
        <v>N</v>
      </c>
      <c r="E16" t="s">
        <v>64</v>
      </c>
      <c r="F16" t="str">
        <f>IF(JobHopping[[#This Row],[Age]]&lt;40,"",JobHopping[[#This Row],[SwitchP1Static]])</f>
        <v/>
      </c>
      <c r="L16">
        <v>2014</v>
      </c>
      <c r="M16" t="s">
        <v>21</v>
      </c>
      <c r="N16">
        <f>_xlfn.XLOOKUP(L16&amp;"-"&amp;M16,'Djøf Finance Workers'!D:D,'Djøf Finance Workers'!C:C,0,1)</f>
        <v>10828</v>
      </c>
      <c r="O16">
        <f>_xlfn.XLOOKUP(L16&amp;"-"&amp;M16,'Djøf Finance Hoppers'!D:D,'Djøf Finance Hoppers'!C:C,0,1)</f>
        <v>1636</v>
      </c>
      <c r="P16">
        <f t="shared" si="1"/>
        <v>0.15108976727004064</v>
      </c>
    </row>
    <row r="17" spans="1:16" x14ac:dyDescent="0.25">
      <c r="A17">
        <v>40</v>
      </c>
      <c r="B17" t="str">
        <f t="shared" si="3"/>
        <v>40-44 år</v>
      </c>
      <c r="C17">
        <f t="shared" si="0"/>
        <v>0.2213187304833609</v>
      </c>
      <c r="D17" t="str">
        <f ca="1">IF(OR(JobHopping[[#This Row],[Age]]=25,JobHopping[[#This Row],[Age]]&gt;69),"N",IF(AND(D15="N",D16="N", RAND()&lt;=C17), "Y", "N"))</f>
        <v>N</v>
      </c>
      <c r="E17" t="s">
        <v>0</v>
      </c>
      <c r="F17" t="str">
        <f>IF(JobHopping[[#This Row],[Age]]&lt;40,"",JobHopping[[#This Row],[SwitchP1Static]])</f>
        <v>N</v>
      </c>
      <c r="L17">
        <v>2014</v>
      </c>
      <c r="M17" t="s">
        <v>22</v>
      </c>
      <c r="N17">
        <f>_xlfn.XLOOKUP(L17&amp;"-"&amp;M17,'Djøf Finance Workers'!D:D,'Djøf Finance Workers'!C:C,0,1)</f>
        <v>8888</v>
      </c>
      <c r="O17">
        <f>_xlfn.XLOOKUP(L17&amp;"-"&amp;M17,'Djøf Finance Hoppers'!D:D,'Djøf Finance Hoppers'!C:C,0,1)</f>
        <v>1231</v>
      </c>
      <c r="P17">
        <f t="shared" si="1"/>
        <v>0.1385013501350135</v>
      </c>
    </row>
    <row r="18" spans="1:16" x14ac:dyDescent="0.25">
      <c r="A18">
        <v>41</v>
      </c>
      <c r="B18" t="str">
        <f t="shared" si="3"/>
        <v>40-44 år</v>
      </c>
      <c r="C18">
        <f t="shared" si="0"/>
        <v>0.2213187304833609</v>
      </c>
      <c r="D18" t="str">
        <f ca="1">IF(OR(JobHopping[[#This Row],[Age]]=25,JobHopping[[#This Row],[Age]]&gt;69),"N",IF(AND(D16="N",D17="N", RAND()&lt;=C18), "Y", "N"))</f>
        <v>N</v>
      </c>
      <c r="E18" t="s">
        <v>0</v>
      </c>
      <c r="F18" t="str">
        <f>IF(JobHopping[[#This Row],[Age]]&lt;40,"",JobHopping[[#This Row],[SwitchP1Static]])</f>
        <v>N</v>
      </c>
      <c r="L18">
        <v>2014</v>
      </c>
      <c r="M18" t="s">
        <v>23</v>
      </c>
      <c r="N18">
        <f>_xlfn.XLOOKUP(L18&amp;"-"&amp;M18,'Djøf Finance Workers'!D:D,'Djøf Finance Workers'!C:C,0,1)</f>
        <v>5141</v>
      </c>
      <c r="O18">
        <f>_xlfn.XLOOKUP(L18&amp;"-"&amp;M18,'Djøf Finance Hoppers'!D:D,'Djøf Finance Hoppers'!C:C,0,1)</f>
        <v>706</v>
      </c>
      <c r="P18">
        <f t="shared" si="1"/>
        <v>0.13732736821630034</v>
      </c>
    </row>
    <row r="19" spans="1:16" x14ac:dyDescent="0.25">
      <c r="A19">
        <v>42</v>
      </c>
      <c r="B19" t="str">
        <f t="shared" si="3"/>
        <v>40-44 år</v>
      </c>
      <c r="C19">
        <f t="shared" si="0"/>
        <v>0.2213187304833609</v>
      </c>
      <c r="D19" t="str">
        <f ca="1">IF(OR(JobHopping[[#This Row],[Age]]=25,JobHopping[[#This Row],[Age]]&gt;69),"N",IF(AND(D17="N",D18="N", RAND()&lt;=C19), "Y", "N"))</f>
        <v>N</v>
      </c>
      <c r="E19" t="s">
        <v>0</v>
      </c>
      <c r="F19" t="str">
        <f>IF(JobHopping[[#This Row],[Age]]&lt;40,"",JobHopping[[#This Row],[SwitchP1Static]])</f>
        <v>N</v>
      </c>
      <c r="L19">
        <v>2014</v>
      </c>
      <c r="M19" t="s">
        <v>24</v>
      </c>
      <c r="N19">
        <f>_xlfn.XLOOKUP(L19&amp;"-"&amp;M19,'Djøf Finance Workers'!D:D,'Djøf Finance Workers'!C:C,0,1)</f>
        <v>1600</v>
      </c>
      <c r="O19">
        <f>_xlfn.XLOOKUP(L19&amp;"-"&amp;M19,'Djøf Finance Hoppers'!D:D,'Djøf Finance Hoppers'!C:C,0,1)</f>
        <v>204</v>
      </c>
      <c r="P19">
        <f t="shared" si="1"/>
        <v>0.1275</v>
      </c>
    </row>
    <row r="20" spans="1:16" x14ac:dyDescent="0.25">
      <c r="A20">
        <v>43</v>
      </c>
      <c r="B20" t="str">
        <f t="shared" si="3"/>
        <v>40-44 år</v>
      </c>
      <c r="C20">
        <f t="shared" si="0"/>
        <v>0.2213187304833609</v>
      </c>
      <c r="D20" t="str">
        <f ca="1">IF(OR(JobHopping[[#This Row],[Age]]=25,JobHopping[[#This Row],[Age]]&gt;69),"N",IF(AND(D18="N",D19="N", RAND()&lt;=C20), "Y", "N"))</f>
        <v>N</v>
      </c>
      <c r="E20" t="s">
        <v>64</v>
      </c>
      <c r="F20" t="str">
        <f>IF(JobHopping[[#This Row],[Age]]&lt;40,"",JobHopping[[#This Row],[SwitchP1Static]])</f>
        <v>Y</v>
      </c>
      <c r="L20">
        <v>2015</v>
      </c>
      <c r="M20" t="s">
        <v>16</v>
      </c>
      <c r="N20">
        <f>_xlfn.XLOOKUP(L20&amp;"-"&amp;M20,'Djøf Finance Workers'!D:D,'Djøf Finance Workers'!C:C,0,1)</f>
        <v>5834</v>
      </c>
      <c r="O20">
        <f>_xlfn.XLOOKUP(L20&amp;"-"&amp;M20,'Djøf Finance Hoppers'!D:D,'Djøf Finance Hoppers'!C:C,0,1)</f>
        <v>2715</v>
      </c>
      <c r="P20">
        <f t="shared" si="1"/>
        <v>0.46537538567020914</v>
      </c>
    </row>
    <row r="21" spans="1:16" x14ac:dyDescent="0.25">
      <c r="A21">
        <v>44</v>
      </c>
      <c r="B21" t="str">
        <f t="shared" si="3"/>
        <v>40-44 år</v>
      </c>
      <c r="C21">
        <f t="shared" si="0"/>
        <v>0.2213187304833609</v>
      </c>
      <c r="D21" t="str">
        <f ca="1">IF(OR(JobHopping[[#This Row],[Age]]=25,JobHopping[[#This Row],[Age]]&gt;69),"N",IF(AND(D19="N",D20="N", RAND()&lt;=C21), "Y", "N"))</f>
        <v>N</v>
      </c>
      <c r="E21" t="s">
        <v>0</v>
      </c>
      <c r="F21" t="str">
        <f>IF(JobHopping[[#This Row],[Age]]&lt;40,"",JobHopping[[#This Row],[SwitchP1Static]])</f>
        <v>N</v>
      </c>
      <c r="L21">
        <v>2015</v>
      </c>
      <c r="M21" t="s">
        <v>17</v>
      </c>
      <c r="N21">
        <f>_xlfn.XLOOKUP(L21&amp;"-"&amp;M21,'Djøf Finance Workers'!D:D,'Djøf Finance Workers'!C:C,0,1)</f>
        <v>7834</v>
      </c>
      <c r="O21">
        <f>_xlfn.XLOOKUP(L21&amp;"-"&amp;M21,'Djøf Finance Hoppers'!D:D,'Djøf Finance Hoppers'!C:C,0,1)</f>
        <v>2473</v>
      </c>
      <c r="P21">
        <f t="shared" si="1"/>
        <v>0.31567526167985704</v>
      </c>
    </row>
    <row r="22" spans="1:16" x14ac:dyDescent="0.25">
      <c r="A22">
        <v>45</v>
      </c>
      <c r="B22" t="str">
        <f t="shared" si="3"/>
        <v>45-49 år</v>
      </c>
      <c r="C22">
        <f t="shared" si="0"/>
        <v>0.19929479981866399</v>
      </c>
      <c r="D22" t="str">
        <f ca="1">IF(OR(JobHopping[[#This Row],[Age]]=25,JobHopping[[#This Row],[Age]]&gt;69),"N",IF(AND(D20="N",D21="N", RAND()&lt;=C22), "Y", "N"))</f>
        <v>N</v>
      </c>
      <c r="E22" t="s">
        <v>0</v>
      </c>
      <c r="F22" t="str">
        <f>IF(JobHopping[[#This Row],[Age]]&lt;40,"",JobHopping[[#This Row],[SwitchP1Static]])</f>
        <v>N</v>
      </c>
      <c r="L22">
        <v>2015</v>
      </c>
      <c r="M22" t="s">
        <v>18</v>
      </c>
      <c r="N22">
        <f>_xlfn.XLOOKUP(L22&amp;"-"&amp;M22,'Djøf Finance Workers'!D:D,'Djøf Finance Workers'!C:C,0,1)</f>
        <v>9897</v>
      </c>
      <c r="O22">
        <f>_xlfn.XLOOKUP(L22&amp;"-"&amp;M22,'Djøf Finance Hoppers'!D:D,'Djøf Finance Hoppers'!C:C,0,1)</f>
        <v>2378</v>
      </c>
      <c r="P22">
        <f t="shared" si="1"/>
        <v>0.24027483075679498</v>
      </c>
    </row>
    <row r="23" spans="1:16" x14ac:dyDescent="0.25">
      <c r="A23">
        <v>46</v>
      </c>
      <c r="B23" t="str">
        <f t="shared" si="3"/>
        <v>45-49 år</v>
      </c>
      <c r="C23">
        <f t="shared" si="0"/>
        <v>0.19929479981866399</v>
      </c>
      <c r="D23" t="str">
        <f ca="1">IF(OR(JobHopping[[#This Row],[Age]]=25,JobHopping[[#This Row],[Age]]&gt;69),"N",IF(AND(D21="N",D22="N", RAND()&lt;=C23), "Y", "N"))</f>
        <v>Y</v>
      </c>
      <c r="E23" t="s">
        <v>0</v>
      </c>
      <c r="F23" t="str">
        <f>IF(JobHopping[[#This Row],[Age]]&lt;40,"",JobHopping[[#This Row],[SwitchP1Static]])</f>
        <v>N</v>
      </c>
      <c r="L23">
        <v>2015</v>
      </c>
      <c r="M23" t="s">
        <v>19</v>
      </c>
      <c r="N23">
        <f>_xlfn.XLOOKUP(L23&amp;"-"&amp;M23,'Djøf Finance Workers'!D:D,'Djøf Finance Workers'!C:C,0,1)</f>
        <v>9571</v>
      </c>
      <c r="O23">
        <f>_xlfn.XLOOKUP(L23&amp;"-"&amp;M23,'Djøf Finance Hoppers'!D:D,'Djøf Finance Hoppers'!C:C,0,1)</f>
        <v>1902</v>
      </c>
      <c r="P23">
        <f t="shared" si="1"/>
        <v>0.19872531605892801</v>
      </c>
    </row>
    <row r="24" spans="1:16" x14ac:dyDescent="0.25">
      <c r="A24">
        <v>47</v>
      </c>
      <c r="B24" t="str">
        <f t="shared" si="3"/>
        <v>45-49 år</v>
      </c>
      <c r="C24">
        <f t="shared" si="0"/>
        <v>0.19929479981866399</v>
      </c>
      <c r="D24" t="str">
        <f ca="1">IF(OR(JobHopping[[#This Row],[Age]]=25,JobHopping[[#This Row],[Age]]&gt;69),"N",IF(AND(D22="N",D23="N", RAND()&lt;=C24), "Y", "N"))</f>
        <v>N</v>
      </c>
      <c r="E24" t="s">
        <v>64</v>
      </c>
      <c r="F24" t="str">
        <f>IF(JobHopping[[#This Row],[Age]]&lt;40,"",JobHopping[[#This Row],[SwitchP1Static]])</f>
        <v>Y</v>
      </c>
      <c r="L24">
        <v>2015</v>
      </c>
      <c r="M24" t="s">
        <v>20</v>
      </c>
      <c r="N24">
        <f>_xlfn.XLOOKUP(L24&amp;"-"&amp;M24,'Djøf Finance Workers'!D:D,'Djøf Finance Workers'!C:C,0,1)</f>
        <v>11603</v>
      </c>
      <c r="O24">
        <f>_xlfn.XLOOKUP(L24&amp;"-"&amp;M24,'Djøf Finance Hoppers'!D:D,'Djøf Finance Hoppers'!C:C,0,1)</f>
        <v>2085</v>
      </c>
      <c r="P24">
        <f t="shared" si="1"/>
        <v>0.17969490648970093</v>
      </c>
    </row>
    <row r="25" spans="1:16" x14ac:dyDescent="0.25">
      <c r="A25">
        <v>48</v>
      </c>
      <c r="B25" t="str">
        <f t="shared" si="3"/>
        <v>45-49 år</v>
      </c>
      <c r="C25">
        <f t="shared" si="0"/>
        <v>0.19929479981866399</v>
      </c>
      <c r="D25" t="str">
        <f ca="1">IF(OR(JobHopping[[#This Row],[Age]]=25,JobHopping[[#This Row],[Age]]&gt;69),"N",IF(AND(D23="N",D24="N", RAND()&lt;=C25), "Y", "N"))</f>
        <v>N</v>
      </c>
      <c r="E25" t="s">
        <v>0</v>
      </c>
      <c r="F25" t="str">
        <f>IF(JobHopping[[#This Row],[Age]]&lt;40,"",JobHopping[[#This Row],[SwitchP1Static]])</f>
        <v>N</v>
      </c>
      <c r="L25">
        <v>2015</v>
      </c>
      <c r="M25" t="s">
        <v>21</v>
      </c>
      <c r="N25">
        <f>_xlfn.XLOOKUP(L25&amp;"-"&amp;M25,'Djøf Finance Workers'!D:D,'Djøf Finance Workers'!C:C,0,1)</f>
        <v>11160</v>
      </c>
      <c r="O25">
        <f>_xlfn.XLOOKUP(L25&amp;"-"&amp;M25,'Djøf Finance Hoppers'!D:D,'Djøf Finance Hoppers'!C:C,0,1)</f>
        <v>1717</v>
      </c>
      <c r="P25">
        <f t="shared" si="1"/>
        <v>0.15385304659498208</v>
      </c>
    </row>
    <row r="26" spans="1:16" x14ac:dyDescent="0.25">
      <c r="A26">
        <v>49</v>
      </c>
      <c r="B26" t="str">
        <f t="shared" si="3"/>
        <v>45-49 år</v>
      </c>
      <c r="C26">
        <f t="shared" si="0"/>
        <v>0.19929479981866399</v>
      </c>
      <c r="D26" t="str">
        <f ca="1">IF(OR(JobHopping[[#This Row],[Age]]=25,JobHopping[[#This Row],[Age]]&gt;69),"N",IF(AND(D24="N",D25="N", RAND()&lt;=C26), "Y", "N"))</f>
        <v>N</v>
      </c>
      <c r="E26" t="s">
        <v>0</v>
      </c>
      <c r="F26" t="str">
        <f>IF(JobHopping[[#This Row],[Age]]&lt;40,"",JobHopping[[#This Row],[SwitchP1Static]])</f>
        <v>N</v>
      </c>
      <c r="L26">
        <v>2015</v>
      </c>
      <c r="M26" t="s">
        <v>22</v>
      </c>
      <c r="N26">
        <f>_xlfn.XLOOKUP(L26&amp;"-"&amp;M26,'Djøf Finance Workers'!D:D,'Djøf Finance Workers'!C:C,0,1)</f>
        <v>8969</v>
      </c>
      <c r="O26">
        <f>_xlfn.XLOOKUP(L26&amp;"-"&amp;M26,'Djøf Finance Hoppers'!D:D,'Djøf Finance Hoppers'!C:C,0,1)</f>
        <v>1226</v>
      </c>
      <c r="P26">
        <f t="shared" si="1"/>
        <v>0.13669305385215744</v>
      </c>
    </row>
    <row r="27" spans="1:16" x14ac:dyDescent="0.25">
      <c r="A27">
        <v>50</v>
      </c>
      <c r="B27" t="str">
        <f t="shared" si="3"/>
        <v>50-54 år</v>
      </c>
      <c r="C27">
        <f t="shared" si="0"/>
        <v>0.17668929185764676</v>
      </c>
      <c r="D27" t="str">
        <f ca="1">IF(OR(JobHopping[[#This Row],[Age]]=25,JobHopping[[#This Row],[Age]]&gt;69),"N",IF(AND(D25="N",D26="N", RAND()&lt;=C27), "Y", "N"))</f>
        <v>N</v>
      </c>
      <c r="E27" t="s">
        <v>0</v>
      </c>
      <c r="F27" t="str">
        <f>IF(JobHopping[[#This Row],[Age]]&lt;40,"",JobHopping[[#This Row],[SwitchP1Static]])</f>
        <v>N</v>
      </c>
      <c r="L27">
        <v>2015</v>
      </c>
      <c r="M27" t="s">
        <v>23</v>
      </c>
      <c r="N27">
        <f>_xlfn.XLOOKUP(L27&amp;"-"&amp;M27,'Djøf Finance Workers'!D:D,'Djøf Finance Workers'!C:C,0,1)</f>
        <v>5167</v>
      </c>
      <c r="O27">
        <f>_xlfn.XLOOKUP(L27&amp;"-"&amp;M27,'Djøf Finance Hoppers'!D:D,'Djøf Finance Hoppers'!C:C,0,1)</f>
        <v>583</v>
      </c>
      <c r="P27">
        <f t="shared" si="1"/>
        <v>0.11283143023030773</v>
      </c>
    </row>
    <row r="28" spans="1:16" x14ac:dyDescent="0.25">
      <c r="A28">
        <v>51</v>
      </c>
      <c r="B28" t="str">
        <f t="shared" si="3"/>
        <v>50-54 år</v>
      </c>
      <c r="C28">
        <f t="shared" si="0"/>
        <v>0.17668929185764676</v>
      </c>
      <c r="D28" t="str">
        <f ca="1">IF(OR(JobHopping[[#This Row],[Age]]=25,JobHopping[[#This Row],[Age]]&gt;69),"N",IF(AND(D26="N",D27="N", RAND()&lt;=C28), "Y", "N"))</f>
        <v>N</v>
      </c>
      <c r="E28" t="s">
        <v>0</v>
      </c>
      <c r="F28" t="str">
        <f>IF(JobHopping[[#This Row],[Age]]&lt;40,"",JobHopping[[#This Row],[SwitchP1Static]])</f>
        <v>N</v>
      </c>
      <c r="L28">
        <v>2015</v>
      </c>
      <c r="M28" t="s">
        <v>24</v>
      </c>
      <c r="N28">
        <f>_xlfn.XLOOKUP(L28&amp;"-"&amp;M28,'Djøf Finance Workers'!D:D,'Djøf Finance Workers'!C:C,0,1)</f>
        <v>1642</v>
      </c>
      <c r="O28">
        <f>_xlfn.XLOOKUP(L28&amp;"-"&amp;M28,'Djøf Finance Hoppers'!D:D,'Djøf Finance Hoppers'!C:C,0,1)</f>
        <v>211</v>
      </c>
      <c r="P28">
        <f t="shared" si="1"/>
        <v>0.12850182704019489</v>
      </c>
    </row>
    <row r="29" spans="1:16" x14ac:dyDescent="0.25">
      <c r="A29">
        <v>52</v>
      </c>
      <c r="B29" t="str">
        <f t="shared" si="3"/>
        <v>50-54 år</v>
      </c>
      <c r="C29">
        <f t="shared" si="0"/>
        <v>0.17668929185764676</v>
      </c>
      <c r="D29" t="str">
        <f ca="1">IF(OR(JobHopping[[#This Row],[Age]]=25,JobHopping[[#This Row],[Age]]&gt;69),"N",IF(AND(D27="N",D28="N", RAND()&lt;=C29), "Y", "N"))</f>
        <v>N</v>
      </c>
      <c r="E29" t="s">
        <v>0</v>
      </c>
      <c r="F29" t="str">
        <f>IF(JobHopping[[#This Row],[Age]]&lt;40,"",JobHopping[[#This Row],[SwitchP1Static]])</f>
        <v>N</v>
      </c>
      <c r="L29">
        <v>2016</v>
      </c>
      <c r="M29" t="s">
        <v>16</v>
      </c>
      <c r="N29">
        <f>_xlfn.XLOOKUP(L29&amp;"-"&amp;M29,'Djøf Finance Workers'!D:D,'Djøf Finance Workers'!C:C,0,1)</f>
        <v>5701</v>
      </c>
      <c r="O29">
        <f>_xlfn.XLOOKUP(L29&amp;"-"&amp;M29,'Djøf Finance Hoppers'!D:D,'Djøf Finance Hoppers'!C:C,0,1)</f>
        <v>3005</v>
      </c>
      <c r="P29">
        <f t="shared" si="1"/>
        <v>0.52710050868268721</v>
      </c>
    </row>
    <row r="30" spans="1:16" x14ac:dyDescent="0.25">
      <c r="A30">
        <v>53</v>
      </c>
      <c r="B30" t="str">
        <f t="shared" si="3"/>
        <v>50-54 år</v>
      </c>
      <c r="C30">
        <f t="shared" si="0"/>
        <v>0.17668929185764676</v>
      </c>
      <c r="D30" t="str">
        <f ca="1">IF(OR(JobHopping[[#This Row],[Age]]=25,JobHopping[[#This Row],[Age]]&gt;69),"N",IF(AND(D28="N",D29="N", RAND()&lt;=C30), "Y", "N"))</f>
        <v>N</v>
      </c>
      <c r="E30" t="s">
        <v>0</v>
      </c>
      <c r="F30" t="str">
        <f>IF(JobHopping[[#This Row],[Age]]&lt;40,"",JobHopping[[#This Row],[SwitchP1Static]])</f>
        <v>N</v>
      </c>
      <c r="L30">
        <v>2016</v>
      </c>
      <c r="M30" t="s">
        <v>17</v>
      </c>
      <c r="N30">
        <f>_xlfn.XLOOKUP(L30&amp;"-"&amp;M30,'Djøf Finance Workers'!D:D,'Djøf Finance Workers'!C:C,0,1)</f>
        <v>7831</v>
      </c>
      <c r="O30">
        <f>_xlfn.XLOOKUP(L30&amp;"-"&amp;M30,'Djøf Finance Hoppers'!D:D,'Djøf Finance Hoppers'!C:C,0,1)</f>
        <v>2584</v>
      </c>
      <c r="P30">
        <f t="shared" si="1"/>
        <v>0.32997062954922746</v>
      </c>
    </row>
    <row r="31" spans="1:16" x14ac:dyDescent="0.25">
      <c r="A31">
        <v>54</v>
      </c>
      <c r="B31" t="str">
        <f t="shared" si="3"/>
        <v>50-54 år</v>
      </c>
      <c r="C31">
        <f t="shared" si="0"/>
        <v>0.17668929185764676</v>
      </c>
      <c r="D31" t="str">
        <f ca="1">IF(OR(JobHopping[[#This Row],[Age]]=25,JobHopping[[#This Row],[Age]]&gt;69),"N",IF(AND(D29="N",D30="N", RAND()&lt;=C31), "Y", "N"))</f>
        <v>Y</v>
      </c>
      <c r="E31" t="s">
        <v>0</v>
      </c>
      <c r="F31" t="str">
        <f>IF(JobHopping[[#This Row],[Age]]&lt;40,"",JobHopping[[#This Row],[SwitchP1Static]])</f>
        <v>N</v>
      </c>
      <c r="L31">
        <v>2016</v>
      </c>
      <c r="M31" t="s">
        <v>18</v>
      </c>
      <c r="N31">
        <f>_xlfn.XLOOKUP(L31&amp;"-"&amp;M31,'Djøf Finance Workers'!D:D,'Djøf Finance Workers'!C:C,0,1)</f>
        <v>9564</v>
      </c>
      <c r="O31">
        <f>_xlfn.XLOOKUP(L31&amp;"-"&amp;M31,'Djøf Finance Hoppers'!D:D,'Djøf Finance Hoppers'!C:C,0,1)</f>
        <v>2311</v>
      </c>
      <c r="P31">
        <f t="shared" si="1"/>
        <v>0.24163529903805939</v>
      </c>
    </row>
    <row r="32" spans="1:16" x14ac:dyDescent="0.25">
      <c r="A32">
        <v>55</v>
      </c>
      <c r="B32" t="str">
        <f t="shared" si="3"/>
        <v>55-59 år</v>
      </c>
      <c r="C32">
        <f t="shared" si="0"/>
        <v>0.15515674597479437</v>
      </c>
      <c r="D32" t="str">
        <f ca="1">IF(OR(JobHopping[[#This Row],[Age]]=25,JobHopping[[#This Row],[Age]]&gt;69),"N",IF(AND(D30="N",D31="N", RAND()&lt;=C32), "Y", "N"))</f>
        <v>N</v>
      </c>
      <c r="E32" t="s">
        <v>0</v>
      </c>
      <c r="F32" t="str">
        <f>IF(JobHopping[[#This Row],[Age]]&lt;40,"",JobHopping[[#This Row],[SwitchP1Static]])</f>
        <v>N</v>
      </c>
      <c r="L32">
        <v>2016</v>
      </c>
      <c r="M32" t="s">
        <v>19</v>
      </c>
      <c r="N32">
        <f>_xlfn.XLOOKUP(L32&amp;"-"&amp;M32,'Djøf Finance Workers'!D:D,'Djøf Finance Workers'!C:C,0,1)</f>
        <v>9711</v>
      </c>
      <c r="O32">
        <f>_xlfn.XLOOKUP(L32&amp;"-"&amp;M32,'Djøf Finance Hoppers'!D:D,'Djøf Finance Hoppers'!C:C,0,1)</f>
        <v>2111</v>
      </c>
      <c r="P32">
        <f t="shared" si="1"/>
        <v>0.21738234991247041</v>
      </c>
    </row>
    <row r="33" spans="1:16" x14ac:dyDescent="0.25">
      <c r="A33">
        <v>56</v>
      </c>
      <c r="B33" t="str">
        <f t="shared" si="3"/>
        <v>55-59 år</v>
      </c>
      <c r="C33">
        <f t="shared" si="0"/>
        <v>0.15515674597479437</v>
      </c>
      <c r="D33" t="str">
        <f ca="1">IF(OR(JobHopping[[#This Row],[Age]]=25,JobHopping[[#This Row],[Age]]&gt;69),"N",IF(AND(D31="N",D32="N", RAND()&lt;=C33), "Y", "N"))</f>
        <v>N</v>
      </c>
      <c r="E33" t="s">
        <v>0</v>
      </c>
      <c r="F33" t="str">
        <f>IF(JobHopping[[#This Row],[Age]]&lt;40,"",JobHopping[[#This Row],[SwitchP1Static]])</f>
        <v>N</v>
      </c>
      <c r="L33">
        <v>2016</v>
      </c>
      <c r="M33" t="s">
        <v>20</v>
      </c>
      <c r="N33">
        <f>_xlfn.XLOOKUP(L33&amp;"-"&amp;M33,'Djøf Finance Workers'!D:D,'Djøf Finance Workers'!C:C,0,1)</f>
        <v>10533</v>
      </c>
      <c r="O33">
        <f>_xlfn.XLOOKUP(L33&amp;"-"&amp;M33,'Djøf Finance Hoppers'!D:D,'Djøf Finance Hoppers'!C:C,0,1)</f>
        <v>2000</v>
      </c>
      <c r="P33">
        <f t="shared" si="1"/>
        <v>0.18987942656413179</v>
      </c>
    </row>
    <row r="34" spans="1:16" x14ac:dyDescent="0.25">
      <c r="A34">
        <v>57</v>
      </c>
      <c r="B34" t="str">
        <f t="shared" si="3"/>
        <v>55-59 år</v>
      </c>
      <c r="C34">
        <f t="shared" ref="C34:C65" si="4">_xlfn.XLOOKUP(B34,R:R,S:S)</f>
        <v>0.15515674597479437</v>
      </c>
      <c r="D34" t="str">
        <f ca="1">IF(OR(JobHopping[[#This Row],[Age]]=25,JobHopping[[#This Row],[Age]]&gt;69),"N",IF(AND(D32="N",D33="N", RAND()&lt;=C34), "Y", "N"))</f>
        <v>Y</v>
      </c>
      <c r="E34" t="s">
        <v>0</v>
      </c>
      <c r="F34" t="str">
        <f>IF(JobHopping[[#This Row],[Age]]&lt;40,"",JobHopping[[#This Row],[SwitchP1Static]])</f>
        <v>N</v>
      </c>
      <c r="L34">
        <v>2016</v>
      </c>
      <c r="M34" t="s">
        <v>21</v>
      </c>
      <c r="N34">
        <f>_xlfn.XLOOKUP(L34&amp;"-"&amp;M34,'Djøf Finance Workers'!D:D,'Djøf Finance Workers'!C:C,0,1)</f>
        <v>11490</v>
      </c>
      <c r="O34">
        <f>_xlfn.XLOOKUP(L34&amp;"-"&amp;M34,'Djøf Finance Hoppers'!D:D,'Djøf Finance Hoppers'!C:C,0,1)</f>
        <v>1808</v>
      </c>
      <c r="P34">
        <f t="shared" si="1"/>
        <v>0.15735422106179286</v>
      </c>
    </row>
    <row r="35" spans="1:16" x14ac:dyDescent="0.25">
      <c r="A35">
        <v>58</v>
      </c>
      <c r="B35" t="str">
        <f t="shared" si="3"/>
        <v>55-59 år</v>
      </c>
      <c r="C35">
        <f t="shared" si="4"/>
        <v>0.15515674597479437</v>
      </c>
      <c r="D35" t="str">
        <f ca="1">IF(OR(JobHopping[[#This Row],[Age]]=25,JobHopping[[#This Row],[Age]]&gt;69),"N",IF(AND(D33="N",D34="N", RAND()&lt;=C35), "Y", "N"))</f>
        <v>N</v>
      </c>
      <c r="E35" t="s">
        <v>0</v>
      </c>
      <c r="F35" t="str">
        <f>IF(JobHopping[[#This Row],[Age]]&lt;40,"",JobHopping[[#This Row],[SwitchP1Static]])</f>
        <v>N</v>
      </c>
      <c r="L35">
        <v>2016</v>
      </c>
      <c r="M35" t="s">
        <v>22</v>
      </c>
      <c r="N35">
        <f>_xlfn.XLOOKUP(L35&amp;"-"&amp;M35,'Djøf Finance Workers'!D:D,'Djøf Finance Workers'!C:C,0,1)</f>
        <v>9121</v>
      </c>
      <c r="O35">
        <f>_xlfn.XLOOKUP(L35&amp;"-"&amp;M35,'Djøf Finance Hoppers'!D:D,'Djøf Finance Hoppers'!C:C,0,1)</f>
        <v>1301</v>
      </c>
      <c r="P35">
        <f t="shared" si="1"/>
        <v>0.14263786865475278</v>
      </c>
    </row>
    <row r="36" spans="1:16" x14ac:dyDescent="0.25">
      <c r="A36">
        <v>59</v>
      </c>
      <c r="B36" t="str">
        <f t="shared" si="3"/>
        <v>55-59 år</v>
      </c>
      <c r="C36">
        <f t="shared" si="4"/>
        <v>0.15515674597479437</v>
      </c>
      <c r="D36" t="str">
        <f ca="1">IF(OR(JobHopping[[#This Row],[Age]]=25,JobHopping[[#This Row],[Age]]&gt;69),"N",IF(AND(D34="N",D35="N", RAND()&lt;=C36), "Y", "N"))</f>
        <v>N</v>
      </c>
      <c r="E36" t="s">
        <v>0</v>
      </c>
      <c r="F36" t="str">
        <f>IF(JobHopping[[#This Row],[Age]]&lt;40,"",JobHopping[[#This Row],[SwitchP1Static]])</f>
        <v>N</v>
      </c>
      <c r="L36">
        <v>2016</v>
      </c>
      <c r="M36" t="s">
        <v>23</v>
      </c>
      <c r="N36">
        <f>_xlfn.XLOOKUP(L36&amp;"-"&amp;M36,'Djøf Finance Workers'!D:D,'Djøf Finance Workers'!C:C,0,1)</f>
        <v>5304</v>
      </c>
      <c r="O36">
        <f>_xlfn.XLOOKUP(L36&amp;"-"&amp;M36,'Djøf Finance Hoppers'!D:D,'Djøf Finance Hoppers'!C:C,0,1)</f>
        <v>708</v>
      </c>
      <c r="P36">
        <f t="shared" si="1"/>
        <v>0.1334841628959276</v>
      </c>
    </row>
    <row r="37" spans="1:16" x14ac:dyDescent="0.25">
      <c r="A37">
        <v>60</v>
      </c>
      <c r="B37" t="str">
        <f t="shared" si="3"/>
        <v>60-64 år</v>
      </c>
      <c r="C37">
        <f t="shared" si="4"/>
        <v>0.13997311637990331</v>
      </c>
      <c r="D37" t="str">
        <f ca="1">IF(OR(JobHopping[[#This Row],[Age]]=25,JobHopping[[#This Row],[Age]]&gt;69),"N",IF(AND(D35="N",D36="N", RAND()&lt;=C37), "Y", "N"))</f>
        <v>N</v>
      </c>
      <c r="E37" t="s">
        <v>64</v>
      </c>
      <c r="F37" t="str">
        <f>IF(JobHopping[[#This Row],[Age]]&lt;40,"",JobHopping[[#This Row],[SwitchP1Static]])</f>
        <v>Y</v>
      </c>
      <c r="L37">
        <v>2016</v>
      </c>
      <c r="M37" t="s">
        <v>24</v>
      </c>
      <c r="N37">
        <f>_xlfn.XLOOKUP(L37&amp;"-"&amp;M37,'Djøf Finance Workers'!D:D,'Djøf Finance Workers'!C:C,0,1)</f>
        <v>1680</v>
      </c>
      <c r="O37">
        <f>_xlfn.XLOOKUP(L37&amp;"-"&amp;M37,'Djøf Finance Hoppers'!D:D,'Djøf Finance Hoppers'!C:C,0,1)</f>
        <v>183</v>
      </c>
      <c r="P37">
        <f t="shared" si="1"/>
        <v>0.10892857142857143</v>
      </c>
    </row>
    <row r="38" spans="1:16" x14ac:dyDescent="0.25">
      <c r="A38">
        <v>61</v>
      </c>
      <c r="B38" t="str">
        <f t="shared" si="3"/>
        <v>60-64 år</v>
      </c>
      <c r="C38">
        <f t="shared" si="4"/>
        <v>0.13997311637990331</v>
      </c>
      <c r="D38" t="str">
        <f ca="1">IF(OR(JobHopping[[#This Row],[Age]]=25,JobHopping[[#This Row],[Age]]&gt;69),"N",IF(AND(D36="N",D37="N", RAND()&lt;=C38), "Y", "N"))</f>
        <v>N</v>
      </c>
      <c r="E38" t="s">
        <v>0</v>
      </c>
      <c r="F38" t="str">
        <f>IF(JobHopping[[#This Row],[Age]]&lt;40,"",JobHopping[[#This Row],[SwitchP1Static]])</f>
        <v>N</v>
      </c>
      <c r="L38">
        <v>2017</v>
      </c>
      <c r="M38" t="s">
        <v>16</v>
      </c>
      <c r="N38">
        <f>_xlfn.XLOOKUP(L38&amp;"-"&amp;M38,'Djøf Finance Workers'!D:D,'Djøf Finance Workers'!C:C,0,1)</f>
        <v>5951</v>
      </c>
      <c r="O38">
        <f>_xlfn.XLOOKUP(L38&amp;"-"&amp;M38,'Djøf Finance Hoppers'!D:D,'Djøf Finance Hoppers'!C:C,0,1)</f>
        <v>3106</v>
      </c>
      <c r="P38">
        <f t="shared" si="1"/>
        <v>0.52192908754831124</v>
      </c>
    </row>
    <row r="39" spans="1:16" x14ac:dyDescent="0.25">
      <c r="A39">
        <v>62</v>
      </c>
      <c r="B39" t="str">
        <f t="shared" si="3"/>
        <v>60-64 år</v>
      </c>
      <c r="C39">
        <f t="shared" si="4"/>
        <v>0.13997311637990331</v>
      </c>
      <c r="D39" t="str">
        <f ca="1">IF(OR(JobHopping[[#This Row],[Age]]=25,JobHopping[[#This Row],[Age]]&gt;69),"N",IF(AND(D37="N",D38="N", RAND()&lt;=C39), "Y", "N"))</f>
        <v>N</v>
      </c>
      <c r="E39" t="s">
        <v>0</v>
      </c>
      <c r="F39" t="str">
        <f>IF(JobHopping[[#This Row],[Age]]&lt;40,"",JobHopping[[#This Row],[SwitchP1Static]])</f>
        <v>N</v>
      </c>
      <c r="L39">
        <v>2017</v>
      </c>
      <c r="M39" t="s">
        <v>17</v>
      </c>
      <c r="N39">
        <f>_xlfn.XLOOKUP(L39&amp;"-"&amp;M39,'Djøf Finance Workers'!D:D,'Djøf Finance Workers'!C:C,0,1)</f>
        <v>8016</v>
      </c>
      <c r="O39">
        <f>_xlfn.XLOOKUP(L39&amp;"-"&amp;M39,'Djøf Finance Hoppers'!D:D,'Djøf Finance Hoppers'!C:C,0,1)</f>
        <v>2692</v>
      </c>
      <c r="P39">
        <f t="shared" si="1"/>
        <v>0.33582834331337325</v>
      </c>
    </row>
    <row r="40" spans="1:16" x14ac:dyDescent="0.25">
      <c r="A40">
        <v>63</v>
      </c>
      <c r="B40" t="str">
        <f t="shared" si="3"/>
        <v>60-64 år</v>
      </c>
      <c r="C40">
        <f t="shared" si="4"/>
        <v>0.13997311637990331</v>
      </c>
      <c r="D40" t="str">
        <f ca="1">IF(OR(JobHopping[[#This Row],[Age]]=25,JobHopping[[#This Row],[Age]]&gt;69),"N",IF(AND(D38="N",D39="N", RAND()&lt;=C40), "Y", "N"))</f>
        <v>N</v>
      </c>
      <c r="E40" t="s">
        <v>0</v>
      </c>
      <c r="F40" t="str">
        <f>IF(JobHopping[[#This Row],[Age]]&lt;40,"",JobHopping[[#This Row],[SwitchP1Static]])</f>
        <v>N</v>
      </c>
      <c r="L40">
        <v>2017</v>
      </c>
      <c r="M40" t="s">
        <v>18</v>
      </c>
      <c r="N40">
        <f>_xlfn.XLOOKUP(L40&amp;"-"&amp;M40,'Djøf Finance Workers'!D:D,'Djøf Finance Workers'!C:C,0,1)</f>
        <v>9344</v>
      </c>
      <c r="O40">
        <f>_xlfn.XLOOKUP(L40&amp;"-"&amp;M40,'Djøf Finance Hoppers'!D:D,'Djøf Finance Hoppers'!C:C,0,1)</f>
        <v>2452</v>
      </c>
      <c r="P40">
        <f t="shared" si="1"/>
        <v>0.26241438356164382</v>
      </c>
    </row>
    <row r="41" spans="1:16" x14ac:dyDescent="0.25">
      <c r="A41">
        <v>64</v>
      </c>
      <c r="B41" t="str">
        <f t="shared" si="3"/>
        <v>60-64 år</v>
      </c>
      <c r="C41">
        <f t="shared" si="4"/>
        <v>0.13997311637990331</v>
      </c>
      <c r="D41" t="str">
        <f ca="1">IF(OR(JobHopping[[#This Row],[Age]]=25,JobHopping[[#This Row],[Age]]&gt;69),"N",IF(AND(D39="N",D40="N", RAND()&lt;=C41), "Y", "N"))</f>
        <v>Y</v>
      </c>
      <c r="E41" t="s">
        <v>0</v>
      </c>
      <c r="F41" t="str">
        <f>IF(JobHopping[[#This Row],[Age]]&lt;40,"",JobHopping[[#This Row],[SwitchP1Static]])</f>
        <v>N</v>
      </c>
      <c r="L41">
        <v>2017</v>
      </c>
      <c r="M41" t="s">
        <v>19</v>
      </c>
      <c r="N41">
        <f>_xlfn.XLOOKUP(L41&amp;"-"&amp;M41,'Djøf Finance Workers'!D:D,'Djøf Finance Workers'!C:C,0,1)</f>
        <v>9699</v>
      </c>
      <c r="O41">
        <f>_xlfn.XLOOKUP(L41&amp;"-"&amp;M41,'Djøf Finance Hoppers'!D:D,'Djøf Finance Hoppers'!C:C,0,1)</f>
        <v>2105</v>
      </c>
      <c r="P41">
        <f t="shared" si="1"/>
        <v>0.21703268378183319</v>
      </c>
    </row>
    <row r="42" spans="1:16" x14ac:dyDescent="0.25">
      <c r="A42">
        <v>65</v>
      </c>
      <c r="B42" t="str">
        <f t="shared" si="3"/>
        <v>65+ år</v>
      </c>
      <c r="C42">
        <f t="shared" si="4"/>
        <v>0.11691873000664299</v>
      </c>
      <c r="D42" t="str">
        <f ca="1">IF(OR(JobHopping[[#This Row],[Age]]=25,JobHopping[[#This Row],[Age]]&gt;69),"N",IF(AND(D40="N",D41="N", RAND()&lt;=C42), "Y", "N"))</f>
        <v>N</v>
      </c>
      <c r="E42" t="s">
        <v>0</v>
      </c>
      <c r="F42" t="str">
        <f>IF(JobHopping[[#This Row],[Age]]&lt;40,"",JobHopping[[#This Row],[SwitchP1Static]])</f>
        <v>N</v>
      </c>
      <c r="L42">
        <v>2017</v>
      </c>
      <c r="M42" t="s">
        <v>20</v>
      </c>
      <c r="N42">
        <f>_xlfn.XLOOKUP(L42&amp;"-"&amp;M42,'Djøf Finance Workers'!D:D,'Djøf Finance Workers'!C:C,0,1)</f>
        <v>9778</v>
      </c>
      <c r="O42">
        <f>_xlfn.XLOOKUP(L42&amp;"-"&amp;M42,'Djøf Finance Hoppers'!D:D,'Djøf Finance Hoppers'!C:C,0,1)</f>
        <v>1892</v>
      </c>
      <c r="P42">
        <f t="shared" si="1"/>
        <v>0.19349560237267335</v>
      </c>
    </row>
    <row r="43" spans="1:16" x14ac:dyDescent="0.25">
      <c r="A43">
        <v>66</v>
      </c>
      <c r="B43" t="str">
        <f t="shared" si="3"/>
        <v>65+ år</v>
      </c>
      <c r="C43">
        <f t="shared" si="4"/>
        <v>0.11691873000664299</v>
      </c>
      <c r="D43" t="str">
        <f ca="1">IF(OR(JobHopping[[#This Row],[Age]]=25,JobHopping[[#This Row],[Age]]&gt;69),"N",IF(AND(D41="N",D42="N", RAND()&lt;=C43), "Y", "N"))</f>
        <v>N</v>
      </c>
      <c r="E43" t="s">
        <v>0</v>
      </c>
      <c r="F43" t="str">
        <f>IF(JobHopping[[#This Row],[Age]]&lt;40,"",JobHopping[[#This Row],[SwitchP1Static]])</f>
        <v>N</v>
      </c>
      <c r="L43">
        <v>2017</v>
      </c>
      <c r="M43" t="s">
        <v>21</v>
      </c>
      <c r="N43">
        <f>_xlfn.XLOOKUP(L43&amp;"-"&amp;M43,'Djøf Finance Workers'!D:D,'Djøf Finance Workers'!C:C,0,1)</f>
        <v>11940</v>
      </c>
      <c r="O43">
        <f>_xlfn.XLOOKUP(L43&amp;"-"&amp;M43,'Djøf Finance Hoppers'!D:D,'Djøf Finance Hoppers'!C:C,0,1)</f>
        <v>2042</v>
      </c>
      <c r="P43">
        <f t="shared" si="1"/>
        <v>0.1710217755443886</v>
      </c>
    </row>
    <row r="44" spans="1:16" x14ac:dyDescent="0.25">
      <c r="A44">
        <v>67</v>
      </c>
      <c r="B44" t="str">
        <f t="shared" si="3"/>
        <v>65+ år</v>
      </c>
      <c r="C44">
        <f t="shared" si="4"/>
        <v>0.11691873000664299</v>
      </c>
      <c r="D44" t="str">
        <f ca="1">IF(OR(JobHopping[[#This Row],[Age]]=25,JobHopping[[#This Row],[Age]]&gt;69),"N",IF(AND(D42="N",D43="N", RAND()&lt;=C44), "Y", "N"))</f>
        <v>N</v>
      </c>
      <c r="E44" t="s">
        <v>0</v>
      </c>
      <c r="F44" t="str">
        <f>IF(JobHopping[[#This Row],[Age]]&lt;40,"",JobHopping[[#This Row],[SwitchP1Static]])</f>
        <v>N</v>
      </c>
      <c r="L44">
        <v>2017</v>
      </c>
      <c r="M44" t="s">
        <v>22</v>
      </c>
      <c r="N44">
        <f>_xlfn.XLOOKUP(L44&amp;"-"&amp;M44,'Djøf Finance Workers'!D:D,'Djøf Finance Workers'!C:C,0,1)</f>
        <v>9231</v>
      </c>
      <c r="O44">
        <f>_xlfn.XLOOKUP(L44&amp;"-"&amp;M44,'Djøf Finance Hoppers'!D:D,'Djøf Finance Hoppers'!C:C,0,1)</f>
        <v>1410</v>
      </c>
      <c r="P44">
        <f t="shared" si="1"/>
        <v>0.15274618134546636</v>
      </c>
    </row>
    <row r="45" spans="1:16" x14ac:dyDescent="0.25">
      <c r="A45">
        <v>68</v>
      </c>
      <c r="B45" t="str">
        <f t="shared" si="3"/>
        <v>65+ år</v>
      </c>
      <c r="C45">
        <f t="shared" si="4"/>
        <v>0.11691873000664299</v>
      </c>
      <c r="D45" t="str">
        <f ca="1">IF(OR(JobHopping[[#This Row],[Age]]=25,JobHopping[[#This Row],[Age]]&gt;69),"N",IF(AND(D43="N",D44="N", RAND()&lt;=C45), "Y", "N"))</f>
        <v>N</v>
      </c>
      <c r="E45" t="s">
        <v>0</v>
      </c>
      <c r="F45" t="str">
        <f>IF(JobHopping[[#This Row],[Age]]&lt;40,"",JobHopping[[#This Row],[SwitchP1Static]])</f>
        <v>N</v>
      </c>
      <c r="L45">
        <v>2017</v>
      </c>
      <c r="M45" t="s">
        <v>23</v>
      </c>
      <c r="N45">
        <f>_xlfn.XLOOKUP(L45&amp;"-"&amp;M45,'Djøf Finance Workers'!D:D,'Djøf Finance Workers'!C:C,0,1)</f>
        <v>5403</v>
      </c>
      <c r="O45">
        <f>_xlfn.XLOOKUP(L45&amp;"-"&amp;M45,'Djøf Finance Hoppers'!D:D,'Djøf Finance Hoppers'!C:C,0,1)</f>
        <v>757</v>
      </c>
      <c r="P45">
        <f t="shared" si="1"/>
        <v>0.14010734776975753</v>
      </c>
    </row>
    <row r="46" spans="1:16" x14ac:dyDescent="0.25">
      <c r="A46">
        <v>69</v>
      </c>
      <c r="B46" t="str">
        <f t="shared" si="3"/>
        <v>65+ år</v>
      </c>
      <c r="C46">
        <f t="shared" si="4"/>
        <v>0.11691873000664299</v>
      </c>
      <c r="D46" t="str">
        <f ca="1">IF(OR(JobHopping[[#This Row],[Age]]=25,JobHopping[[#This Row],[Age]]&gt;69),"N",IF(AND(D44="N",D45="N", RAND()&lt;=C46), "Y", "N"))</f>
        <v>N</v>
      </c>
      <c r="E46" t="s">
        <v>0</v>
      </c>
      <c r="F46" t="str">
        <f>IF(JobHopping[[#This Row],[Age]]&lt;40,"",JobHopping[[#This Row],[SwitchP1Static]])</f>
        <v>N</v>
      </c>
      <c r="L46">
        <v>2017</v>
      </c>
      <c r="M46" t="s">
        <v>24</v>
      </c>
      <c r="N46">
        <f>_xlfn.XLOOKUP(L46&amp;"-"&amp;M46,'Djøf Finance Workers'!D:D,'Djøf Finance Workers'!C:C,0,1)</f>
        <v>1775</v>
      </c>
      <c r="O46">
        <f>_xlfn.XLOOKUP(L46&amp;"-"&amp;M46,'Djøf Finance Hoppers'!D:D,'Djøf Finance Hoppers'!C:C,0,1)</f>
        <v>194</v>
      </c>
      <c r="P46">
        <f t="shared" si="1"/>
        <v>0.10929577464788733</v>
      </c>
    </row>
    <row r="47" spans="1:16" x14ac:dyDescent="0.25">
      <c r="A47">
        <v>70</v>
      </c>
      <c r="B47" t="str">
        <f t="shared" si="3"/>
        <v>65+ år</v>
      </c>
      <c r="C47">
        <f t="shared" si="4"/>
        <v>0.11691873000664299</v>
      </c>
      <c r="D47" t="str">
        <f ca="1">IF(OR(JobHopping[[#This Row],[Age]]=25,JobHopping[[#This Row],[Age]]&gt;69),"N",IF(AND(D45="N",D46="N", RAND()&lt;=C47), "Y", "N"))</f>
        <v>N</v>
      </c>
      <c r="E47" t="s">
        <v>0</v>
      </c>
      <c r="F47" t="str">
        <f>IF(JobHopping[[#This Row],[Age]]&lt;40,"",JobHopping[[#This Row],[SwitchP1Static]])</f>
        <v>N</v>
      </c>
      <c r="L47">
        <v>2018</v>
      </c>
      <c r="M47" t="s">
        <v>16</v>
      </c>
      <c r="N47">
        <f>_xlfn.XLOOKUP(L47&amp;"-"&amp;M47,'Djøf Finance Workers'!D:D,'Djøf Finance Workers'!C:C,0,1)</f>
        <v>6353</v>
      </c>
      <c r="O47">
        <f>_xlfn.XLOOKUP(L47&amp;"-"&amp;M47,'Djøf Finance Hoppers'!D:D,'Djøf Finance Hoppers'!C:C,0,1)</f>
        <v>3149</v>
      </c>
      <c r="P47">
        <f t="shared" si="1"/>
        <v>0.49567133637651506</v>
      </c>
    </row>
    <row r="48" spans="1:16" x14ac:dyDescent="0.25">
      <c r="A48">
        <v>71</v>
      </c>
      <c r="B48" t="str">
        <f t="shared" ref="B48:B53" si="5">IF(A48&lt;30, "25-29 år", IF(A48&lt;35, "30-34 år", IF(A48&lt;40, "35-39 år", IF(A48&lt;45, "40-44 år", IF(A48&lt;50, "45-49 år", IF(A48&lt;55, "50-54 år", IF(A48&lt;60, "55-59 år", IF(A48&lt;65, "60-64 år", "65+ år"))))))))</f>
        <v>65+ år</v>
      </c>
      <c r="C48">
        <f t="shared" si="4"/>
        <v>0.11691873000664299</v>
      </c>
      <c r="D48" t="str">
        <f ca="1">IF(OR(JobHopping[[#This Row],[Age]]=25,JobHopping[[#This Row],[Age]]&gt;69),"N",IF(AND(D46="N",D47="N", RAND()&lt;=C48), "Y", "N"))</f>
        <v>N</v>
      </c>
      <c r="E48" t="s">
        <v>0</v>
      </c>
      <c r="F48" t="str">
        <f>IF(JobHopping[[#This Row],[Age]]&lt;40,"",JobHopping[[#This Row],[SwitchP1Static]])</f>
        <v>N</v>
      </c>
      <c r="L48">
        <v>2018</v>
      </c>
      <c r="M48" t="s">
        <v>17</v>
      </c>
      <c r="N48">
        <f>_xlfn.XLOOKUP(L48&amp;"-"&amp;M48,'Djøf Finance Workers'!D:D,'Djøf Finance Workers'!C:C,0,1)</f>
        <v>8276</v>
      </c>
      <c r="O48">
        <f>_xlfn.XLOOKUP(L48&amp;"-"&amp;M48,'Djøf Finance Hoppers'!D:D,'Djøf Finance Hoppers'!C:C,0,1)</f>
        <v>2658</v>
      </c>
      <c r="P48">
        <f t="shared" si="1"/>
        <v>0.32116964717254715</v>
      </c>
    </row>
    <row r="49" spans="1:16" x14ac:dyDescent="0.25">
      <c r="A49">
        <v>72</v>
      </c>
      <c r="B49" t="str">
        <f t="shared" si="5"/>
        <v>65+ år</v>
      </c>
      <c r="C49">
        <f t="shared" si="4"/>
        <v>0.11691873000664299</v>
      </c>
      <c r="D49" t="str">
        <f ca="1">IF(OR(JobHopping[[#This Row],[Age]]=25,JobHopping[[#This Row],[Age]]&gt;69),"N",IF(AND(D47="N",D48="N", RAND()&lt;=C49), "Y", "N"))</f>
        <v>N</v>
      </c>
      <c r="E49" t="s">
        <v>0</v>
      </c>
      <c r="F49" t="str">
        <f>IF(JobHopping[[#This Row],[Age]]&lt;40,"",JobHopping[[#This Row],[SwitchP1Static]])</f>
        <v>N</v>
      </c>
      <c r="L49">
        <v>2018</v>
      </c>
      <c r="M49" t="s">
        <v>18</v>
      </c>
      <c r="N49">
        <f>_xlfn.XLOOKUP(L49&amp;"-"&amp;M49,'Djøf Finance Workers'!D:D,'Djøf Finance Workers'!C:C,0,1)</f>
        <v>9245</v>
      </c>
      <c r="O49">
        <f>_xlfn.XLOOKUP(L49&amp;"-"&amp;M49,'Djøf Finance Hoppers'!D:D,'Djøf Finance Hoppers'!C:C,0,1)</f>
        <v>2333</v>
      </c>
      <c r="P49">
        <f t="shared" si="1"/>
        <v>0.25235262303948081</v>
      </c>
    </row>
    <row r="50" spans="1:16" x14ac:dyDescent="0.25">
      <c r="A50">
        <v>73</v>
      </c>
      <c r="B50" t="str">
        <f t="shared" si="5"/>
        <v>65+ år</v>
      </c>
      <c r="C50">
        <f t="shared" si="4"/>
        <v>0.11691873000664299</v>
      </c>
      <c r="D50" t="str">
        <f ca="1">IF(OR(JobHopping[[#This Row],[Age]]=25,JobHopping[[#This Row],[Age]]&gt;69),"N",IF(AND(D48="N",D49="N", RAND()&lt;=C50), "Y", "N"))</f>
        <v>N</v>
      </c>
      <c r="E50" t="s">
        <v>0</v>
      </c>
      <c r="F50" t="str">
        <f>IF(JobHopping[[#This Row],[Age]]&lt;40,"",JobHopping[[#This Row],[SwitchP1Static]])</f>
        <v>N</v>
      </c>
      <c r="L50">
        <v>2018</v>
      </c>
      <c r="M50" t="s">
        <v>19</v>
      </c>
      <c r="N50">
        <f>_xlfn.XLOOKUP(L50&amp;"-"&amp;M50,'Djøf Finance Workers'!D:D,'Djøf Finance Workers'!C:C,0,1)</f>
        <v>9937</v>
      </c>
      <c r="O50">
        <f>_xlfn.XLOOKUP(L50&amp;"-"&amp;M50,'Djøf Finance Hoppers'!D:D,'Djøf Finance Hoppers'!C:C,0,1)</f>
        <v>2068</v>
      </c>
      <c r="P50">
        <f t="shared" si="1"/>
        <v>0.2081110999295562</v>
      </c>
    </row>
    <row r="51" spans="1:16" x14ac:dyDescent="0.25">
      <c r="A51">
        <v>74</v>
      </c>
      <c r="B51" t="str">
        <f t="shared" si="5"/>
        <v>65+ år</v>
      </c>
      <c r="C51">
        <f t="shared" si="4"/>
        <v>0.11691873000664299</v>
      </c>
      <c r="D51" t="str">
        <f ca="1">IF(OR(JobHopping[[#This Row],[Age]]=25,JobHopping[[#This Row],[Age]]&gt;69),"N",IF(AND(D49="N",D50="N", RAND()&lt;=C51), "Y", "N"))</f>
        <v>N</v>
      </c>
      <c r="E51" t="s">
        <v>0</v>
      </c>
      <c r="F51" t="str">
        <f>IF(JobHopping[[#This Row],[Age]]&lt;40,"",JobHopping[[#This Row],[SwitchP1Static]])</f>
        <v>N</v>
      </c>
      <c r="L51">
        <v>2018</v>
      </c>
      <c r="M51" t="s">
        <v>20</v>
      </c>
      <c r="N51">
        <f>_xlfn.XLOOKUP(L51&amp;"-"&amp;M51,'Djøf Finance Workers'!D:D,'Djøf Finance Workers'!C:C,0,1)</f>
        <v>9488</v>
      </c>
      <c r="O51">
        <f>_xlfn.XLOOKUP(L51&amp;"-"&amp;M51,'Djøf Finance Hoppers'!D:D,'Djøf Finance Hoppers'!C:C,0,1)</f>
        <v>1770</v>
      </c>
      <c r="P51">
        <f t="shared" si="1"/>
        <v>0.18655143338954469</v>
      </c>
    </row>
    <row r="52" spans="1:16" x14ac:dyDescent="0.25">
      <c r="A52">
        <v>75</v>
      </c>
      <c r="B52" t="str">
        <f t="shared" si="5"/>
        <v>65+ år</v>
      </c>
      <c r="C52">
        <f t="shared" si="4"/>
        <v>0.11691873000664299</v>
      </c>
      <c r="D52" t="str">
        <f ca="1">IF(OR(JobHopping[[#This Row],[Age]]=25,JobHopping[[#This Row],[Age]]&gt;69),"N",IF(AND(D50="N",D51="N", RAND()&lt;=C52), "Y", "N"))</f>
        <v>N</v>
      </c>
      <c r="E52" t="s">
        <v>0</v>
      </c>
      <c r="F52" t="str">
        <f>IF(JobHopping[[#This Row],[Age]]&lt;40,"",JobHopping[[#This Row],[SwitchP1Static]])</f>
        <v>N</v>
      </c>
      <c r="L52">
        <v>2018</v>
      </c>
      <c r="M52" t="s">
        <v>21</v>
      </c>
      <c r="N52">
        <f>_xlfn.XLOOKUP(L52&amp;"-"&amp;M52,'Djøf Finance Workers'!D:D,'Djøf Finance Workers'!C:C,0,1)</f>
        <v>12171</v>
      </c>
      <c r="O52">
        <f>_xlfn.XLOOKUP(L52&amp;"-"&amp;M52,'Djøf Finance Hoppers'!D:D,'Djøf Finance Hoppers'!C:C,0,1)</f>
        <v>2055</v>
      </c>
      <c r="P52">
        <f t="shared" si="1"/>
        <v>0.16884397337934434</v>
      </c>
    </row>
    <row r="53" spans="1:16" x14ac:dyDescent="0.25">
      <c r="A53">
        <v>76</v>
      </c>
      <c r="B53" t="str">
        <f t="shared" si="5"/>
        <v>65+ år</v>
      </c>
      <c r="C53">
        <f t="shared" si="4"/>
        <v>0.11691873000664299</v>
      </c>
      <c r="D53" t="str">
        <f ca="1">IF(OR(JobHopping[[#This Row],[Age]]=25,JobHopping[[#This Row],[Age]]&gt;69),"N",IF(AND(D51="N",D52="N", RAND()&lt;=C53), "Y", "N"))</f>
        <v>N</v>
      </c>
      <c r="E53" t="s">
        <v>0</v>
      </c>
      <c r="F53" t="str">
        <f>IF(JobHopping[[#This Row],[Age]]&lt;40,"",JobHopping[[#This Row],[SwitchP1Static]])</f>
        <v>N</v>
      </c>
      <c r="L53">
        <v>2018</v>
      </c>
      <c r="M53" t="s">
        <v>22</v>
      </c>
      <c r="N53">
        <f>_xlfn.XLOOKUP(L53&amp;"-"&amp;M53,'Djøf Finance Workers'!D:D,'Djøf Finance Workers'!C:C,0,1)</f>
        <v>9537</v>
      </c>
      <c r="O53">
        <f>_xlfn.XLOOKUP(L53&amp;"-"&amp;M53,'Djøf Finance Hoppers'!D:D,'Djøf Finance Hoppers'!C:C,0,1)</f>
        <v>1415</v>
      </c>
      <c r="P53">
        <f t="shared" si="1"/>
        <v>0.14836950823109993</v>
      </c>
    </row>
    <row r="54" spans="1:16" x14ac:dyDescent="0.25">
      <c r="A54">
        <v>77</v>
      </c>
      <c r="B54" t="str">
        <f t="shared" ref="B54:B68" si="6">IF(A54&lt;30, "25-29 år", IF(A54&lt;35, "30-34 år", IF(A54&lt;40, "35-39 år", IF(A54&lt;45, "40-44 år", IF(A54&lt;50, "45-49 år", IF(A54&lt;55, "50-54 år", IF(A54&lt;60, "55-59 år", IF(A54&lt;65, "60-64 år", "65+ år"))))))))</f>
        <v>65+ år</v>
      </c>
      <c r="C54">
        <f t="shared" si="4"/>
        <v>0.11691873000664299</v>
      </c>
      <c r="D54" t="str">
        <f ca="1">IF(OR(JobHopping[[#This Row],[Age]]=25,JobHopping[[#This Row],[Age]]&gt;69),"N",IF(AND(D52="N",D53="N", RAND()&lt;=C54), "Y", "N"))</f>
        <v>N</v>
      </c>
      <c r="E54" t="s">
        <v>0</v>
      </c>
      <c r="F54" t="str">
        <f>IF(JobHopping[[#This Row],[Age]]&lt;40,"",JobHopping[[#This Row],[SwitchP1Static]])</f>
        <v>N</v>
      </c>
      <c r="L54">
        <v>2018</v>
      </c>
      <c r="M54" t="s">
        <v>23</v>
      </c>
      <c r="N54">
        <f>_xlfn.XLOOKUP(L54&amp;"-"&amp;M54,'Djøf Finance Workers'!D:D,'Djøf Finance Workers'!C:C,0,1)</f>
        <v>5638</v>
      </c>
      <c r="O54">
        <f>_xlfn.XLOOKUP(L54&amp;"-"&amp;M54,'Djøf Finance Hoppers'!D:D,'Djøf Finance Hoppers'!C:C,0,1)</f>
        <v>681</v>
      </c>
      <c r="P54">
        <f t="shared" si="1"/>
        <v>0.12078751330258958</v>
      </c>
    </row>
    <row r="55" spans="1:16" x14ac:dyDescent="0.25">
      <c r="A55">
        <v>78</v>
      </c>
      <c r="B55" t="str">
        <f t="shared" si="6"/>
        <v>65+ år</v>
      </c>
      <c r="C55">
        <f t="shared" si="4"/>
        <v>0.11691873000664299</v>
      </c>
      <c r="D55" t="str">
        <f ca="1">IF(OR(JobHopping[[#This Row],[Age]]=25,JobHopping[[#This Row],[Age]]&gt;69),"N",IF(AND(D53="N",D54="N", RAND()&lt;=C55), "Y", "N"))</f>
        <v>N</v>
      </c>
      <c r="E55" t="s">
        <v>0</v>
      </c>
      <c r="F55" t="str">
        <f>IF(JobHopping[[#This Row],[Age]]&lt;40,"",JobHopping[[#This Row],[SwitchP1Static]])</f>
        <v>N</v>
      </c>
      <c r="L55">
        <v>2018</v>
      </c>
      <c r="M55" t="s">
        <v>24</v>
      </c>
      <c r="N55">
        <f>_xlfn.XLOOKUP(L55&amp;"-"&amp;M55,'Djøf Finance Workers'!D:D,'Djøf Finance Workers'!C:C,0,1)</f>
        <v>1897</v>
      </c>
      <c r="O55">
        <f>_xlfn.XLOOKUP(L55&amp;"-"&amp;M55,'Djøf Finance Hoppers'!D:D,'Djøf Finance Hoppers'!C:C,0,1)</f>
        <v>174</v>
      </c>
      <c r="P55">
        <f t="shared" si="1"/>
        <v>9.1723774380600948E-2</v>
      </c>
    </row>
    <row r="56" spans="1:16" x14ac:dyDescent="0.25">
      <c r="A56">
        <v>79</v>
      </c>
      <c r="B56" t="str">
        <f t="shared" si="6"/>
        <v>65+ år</v>
      </c>
      <c r="C56">
        <f t="shared" si="4"/>
        <v>0.11691873000664299</v>
      </c>
      <c r="D56" t="str">
        <f ca="1">IF(OR(JobHopping[[#This Row],[Age]]=25,JobHopping[[#This Row],[Age]]&gt;69),"N",IF(AND(D54="N",D55="N", RAND()&lt;=C56), "Y", "N"))</f>
        <v>N</v>
      </c>
      <c r="E56" t="s">
        <v>0</v>
      </c>
      <c r="F56" t="str">
        <f>IF(JobHopping[[#This Row],[Age]]&lt;40,"",JobHopping[[#This Row],[SwitchP1Static]])</f>
        <v>N</v>
      </c>
      <c r="L56">
        <v>2019</v>
      </c>
      <c r="M56" t="s">
        <v>16</v>
      </c>
      <c r="N56">
        <f>_xlfn.XLOOKUP(L56&amp;"-"&amp;M56,'Djøf Finance Workers'!D:D,'Djøf Finance Workers'!C:C,0,1)</f>
        <v>6883</v>
      </c>
      <c r="O56">
        <f>_xlfn.XLOOKUP(L56&amp;"-"&amp;M56,'Djøf Finance Hoppers'!D:D,'Djøf Finance Hoppers'!C:C,0,1)</f>
        <v>3477</v>
      </c>
      <c r="P56">
        <f t="shared" si="1"/>
        <v>0.50515763475228825</v>
      </c>
    </row>
    <row r="57" spans="1:16" x14ac:dyDescent="0.25">
      <c r="A57">
        <v>80</v>
      </c>
      <c r="B57" t="str">
        <f t="shared" si="6"/>
        <v>65+ år</v>
      </c>
      <c r="C57">
        <f t="shared" si="4"/>
        <v>0.11691873000664299</v>
      </c>
      <c r="D57" t="str">
        <f ca="1">IF(OR(JobHopping[[#This Row],[Age]]=25,JobHopping[[#This Row],[Age]]&gt;69),"N",IF(AND(D55="N",D56="N", RAND()&lt;=C57), "Y", "N"))</f>
        <v>N</v>
      </c>
      <c r="E57" t="s">
        <v>0</v>
      </c>
      <c r="F57" t="str">
        <f>IF(JobHopping[[#This Row],[Age]]&lt;40,"",JobHopping[[#This Row],[SwitchP1Static]])</f>
        <v>N</v>
      </c>
      <c r="L57">
        <v>2019</v>
      </c>
      <c r="M57" t="s">
        <v>17</v>
      </c>
      <c r="N57">
        <f>_xlfn.XLOOKUP(L57&amp;"-"&amp;M57,'Djøf Finance Workers'!D:D,'Djøf Finance Workers'!C:C,0,1)</f>
        <v>8461</v>
      </c>
      <c r="O57">
        <f>_xlfn.XLOOKUP(L57&amp;"-"&amp;M57,'Djøf Finance Hoppers'!D:D,'Djøf Finance Hoppers'!C:C,0,1)</f>
        <v>2839</v>
      </c>
      <c r="P57">
        <f t="shared" si="1"/>
        <v>0.33553953433400308</v>
      </c>
    </row>
    <row r="58" spans="1:16" x14ac:dyDescent="0.25">
      <c r="A58">
        <v>81</v>
      </c>
      <c r="B58" t="str">
        <f t="shared" si="6"/>
        <v>65+ år</v>
      </c>
      <c r="C58">
        <f t="shared" si="4"/>
        <v>0.11691873000664299</v>
      </c>
      <c r="D58" t="str">
        <f ca="1">IF(OR(JobHopping[[#This Row],[Age]]=25,JobHopping[[#This Row],[Age]]&gt;69),"N",IF(AND(D56="N",D57="N", RAND()&lt;=C58), "Y", "N"))</f>
        <v>N</v>
      </c>
      <c r="E58" t="s">
        <v>0</v>
      </c>
      <c r="F58" t="str">
        <f>IF(JobHopping[[#This Row],[Age]]&lt;40,"",JobHopping[[#This Row],[SwitchP1Static]])</f>
        <v>N</v>
      </c>
      <c r="L58">
        <v>2019</v>
      </c>
      <c r="M58" t="s">
        <v>18</v>
      </c>
      <c r="N58">
        <f>_xlfn.XLOOKUP(L58&amp;"-"&amp;M58,'Djøf Finance Workers'!D:D,'Djøf Finance Workers'!C:C,0,1)</f>
        <v>9057</v>
      </c>
      <c r="O58">
        <f>_xlfn.XLOOKUP(L58&amp;"-"&amp;M58,'Djøf Finance Hoppers'!D:D,'Djøf Finance Hoppers'!C:C,0,1)</f>
        <v>2298</v>
      </c>
      <c r="P58">
        <f t="shared" si="1"/>
        <v>0.25372639947002318</v>
      </c>
    </row>
    <row r="59" spans="1:16" x14ac:dyDescent="0.25">
      <c r="A59">
        <v>82</v>
      </c>
      <c r="B59" t="str">
        <f t="shared" si="6"/>
        <v>65+ år</v>
      </c>
      <c r="C59">
        <f t="shared" si="4"/>
        <v>0.11691873000664299</v>
      </c>
      <c r="D59" t="str">
        <f ca="1">IF(OR(JobHopping[[#This Row],[Age]]=25,JobHopping[[#This Row],[Age]]&gt;69),"N",IF(AND(D57="N",D58="N", RAND()&lt;=C59), "Y", "N"))</f>
        <v>N</v>
      </c>
      <c r="E59" t="s">
        <v>0</v>
      </c>
      <c r="F59" t="str">
        <f>IF(JobHopping[[#This Row],[Age]]&lt;40,"",JobHopping[[#This Row],[SwitchP1Static]])</f>
        <v>N</v>
      </c>
      <c r="L59">
        <v>2019</v>
      </c>
      <c r="M59" t="s">
        <v>19</v>
      </c>
      <c r="N59">
        <f>_xlfn.XLOOKUP(L59&amp;"-"&amp;M59,'Djøf Finance Workers'!D:D,'Djøf Finance Workers'!C:C,0,1)</f>
        <v>10158</v>
      </c>
      <c r="O59">
        <f>_xlfn.XLOOKUP(L59&amp;"-"&amp;M59,'Djøf Finance Hoppers'!D:D,'Djøf Finance Hoppers'!C:C,0,1)</f>
        <v>2100</v>
      </c>
      <c r="P59">
        <f t="shared" si="1"/>
        <v>0.2067336089781453</v>
      </c>
    </row>
    <row r="60" spans="1:16" x14ac:dyDescent="0.25">
      <c r="A60">
        <v>83</v>
      </c>
      <c r="B60" t="str">
        <f t="shared" si="6"/>
        <v>65+ år</v>
      </c>
      <c r="C60">
        <f t="shared" si="4"/>
        <v>0.11691873000664299</v>
      </c>
      <c r="D60" t="str">
        <f ca="1">IF(OR(JobHopping[[#This Row],[Age]]=25,JobHopping[[#This Row],[Age]]&gt;69),"N",IF(AND(D58="N",D59="N", RAND()&lt;=C60), "Y", "N"))</f>
        <v>N</v>
      </c>
      <c r="E60" t="s">
        <v>0</v>
      </c>
      <c r="F60" t="str">
        <f>IF(JobHopping[[#This Row],[Age]]&lt;40,"",JobHopping[[#This Row],[SwitchP1Static]])</f>
        <v>N</v>
      </c>
      <c r="L60">
        <v>2019</v>
      </c>
      <c r="M60" t="s">
        <v>20</v>
      </c>
      <c r="N60">
        <f>_xlfn.XLOOKUP(L60&amp;"-"&amp;M60,'Djøf Finance Workers'!D:D,'Djøf Finance Workers'!C:C,0,1)</f>
        <v>9482</v>
      </c>
      <c r="O60">
        <f>_xlfn.XLOOKUP(L60&amp;"-"&amp;M60,'Djøf Finance Hoppers'!D:D,'Djøf Finance Hoppers'!C:C,0,1)</f>
        <v>1802</v>
      </c>
      <c r="P60">
        <f t="shared" si="1"/>
        <v>0.19004429445264712</v>
      </c>
    </row>
    <row r="61" spans="1:16" x14ac:dyDescent="0.25">
      <c r="A61">
        <v>84</v>
      </c>
      <c r="B61" t="str">
        <f t="shared" si="6"/>
        <v>65+ år</v>
      </c>
      <c r="C61">
        <f t="shared" si="4"/>
        <v>0.11691873000664299</v>
      </c>
      <c r="D61" t="str">
        <f ca="1">IF(OR(JobHopping[[#This Row],[Age]]=25,JobHopping[[#This Row],[Age]]&gt;69),"N",IF(AND(D59="N",D60="N", RAND()&lt;=C61), "Y", "N"))</f>
        <v>N</v>
      </c>
      <c r="E61" t="s">
        <v>0</v>
      </c>
      <c r="F61" t="str">
        <f>IF(JobHopping[[#This Row],[Age]]&lt;40,"",JobHopping[[#This Row],[SwitchP1Static]])</f>
        <v>N</v>
      </c>
      <c r="L61">
        <v>2019</v>
      </c>
      <c r="M61" t="s">
        <v>21</v>
      </c>
      <c r="N61">
        <f>_xlfn.XLOOKUP(L61&amp;"-"&amp;M61,'Djøf Finance Workers'!D:D,'Djøf Finance Workers'!C:C,0,1)</f>
        <v>11866</v>
      </c>
      <c r="O61">
        <f>_xlfn.XLOOKUP(L61&amp;"-"&amp;M61,'Djøf Finance Hoppers'!D:D,'Djøf Finance Hoppers'!C:C,0,1)</f>
        <v>2054</v>
      </c>
      <c r="P61">
        <f t="shared" si="1"/>
        <v>0.1730996123377718</v>
      </c>
    </row>
    <row r="62" spans="1:16" x14ac:dyDescent="0.25">
      <c r="A62">
        <v>85</v>
      </c>
      <c r="B62" t="str">
        <f t="shared" si="6"/>
        <v>65+ år</v>
      </c>
      <c r="C62">
        <f t="shared" si="4"/>
        <v>0.11691873000664299</v>
      </c>
      <c r="D62" t="str">
        <f ca="1">IF(OR(JobHopping[[#This Row],[Age]]=25,JobHopping[[#This Row],[Age]]&gt;69),"N",IF(AND(D60="N",D61="N", RAND()&lt;=C62), "Y", "N"))</f>
        <v>N</v>
      </c>
      <c r="E62" t="s">
        <v>0</v>
      </c>
      <c r="F62" t="str">
        <f>IF(JobHopping[[#This Row],[Age]]&lt;40,"",JobHopping[[#This Row],[SwitchP1Static]])</f>
        <v>N</v>
      </c>
      <c r="L62">
        <v>2019</v>
      </c>
      <c r="M62" t="s">
        <v>22</v>
      </c>
      <c r="N62">
        <f>_xlfn.XLOOKUP(L62&amp;"-"&amp;M62,'Djøf Finance Workers'!D:D,'Djøf Finance Workers'!C:C,0,1)</f>
        <v>9811</v>
      </c>
      <c r="O62">
        <f>_xlfn.XLOOKUP(L62&amp;"-"&amp;M62,'Djøf Finance Hoppers'!D:D,'Djøf Finance Hoppers'!C:C,0,1)</f>
        <v>1383</v>
      </c>
      <c r="P62">
        <f t="shared" si="1"/>
        <v>0.14096422383039445</v>
      </c>
    </row>
    <row r="63" spans="1:16" x14ac:dyDescent="0.25">
      <c r="A63">
        <v>86</v>
      </c>
      <c r="B63" t="str">
        <f t="shared" si="6"/>
        <v>65+ år</v>
      </c>
      <c r="C63">
        <f t="shared" si="4"/>
        <v>0.11691873000664299</v>
      </c>
      <c r="D63" t="str">
        <f ca="1">IF(OR(JobHopping[[#This Row],[Age]]=25,JobHopping[[#This Row],[Age]]&gt;69),"N",IF(AND(D61="N",D62="N", RAND()&lt;=C63), "Y", "N"))</f>
        <v>N</v>
      </c>
      <c r="E63" t="s">
        <v>0</v>
      </c>
      <c r="F63" t="str">
        <f>IF(JobHopping[[#This Row],[Age]]&lt;40,"",JobHopping[[#This Row],[SwitchP1Static]])</f>
        <v>N</v>
      </c>
      <c r="L63">
        <v>2019</v>
      </c>
      <c r="M63" t="s">
        <v>23</v>
      </c>
      <c r="N63">
        <f>_xlfn.XLOOKUP(L63&amp;"-"&amp;M63,'Djøf Finance Workers'!D:D,'Djøf Finance Workers'!C:C,0,1)</f>
        <v>5907</v>
      </c>
      <c r="O63">
        <f>_xlfn.XLOOKUP(L63&amp;"-"&amp;M63,'Djøf Finance Hoppers'!D:D,'Djøf Finance Hoppers'!C:C,0,1)</f>
        <v>791</v>
      </c>
      <c r="P63">
        <f t="shared" si="1"/>
        <v>0.13390892161841883</v>
      </c>
    </row>
    <row r="64" spans="1:16" x14ac:dyDescent="0.25">
      <c r="A64">
        <v>87</v>
      </c>
      <c r="B64" t="str">
        <f t="shared" si="6"/>
        <v>65+ år</v>
      </c>
      <c r="C64">
        <f t="shared" si="4"/>
        <v>0.11691873000664299</v>
      </c>
      <c r="D64" t="str">
        <f ca="1">IF(OR(JobHopping[[#This Row],[Age]]=25,JobHopping[[#This Row],[Age]]&gt;69),"N",IF(AND(D62="N",D63="N", RAND()&lt;=C64), "Y", "N"))</f>
        <v>N</v>
      </c>
      <c r="E64" t="s">
        <v>0</v>
      </c>
      <c r="F64" t="str">
        <f>IF(JobHopping[[#This Row],[Age]]&lt;40,"",JobHopping[[#This Row],[SwitchP1Static]])</f>
        <v>N</v>
      </c>
      <c r="L64">
        <v>2019</v>
      </c>
      <c r="M64" t="s">
        <v>24</v>
      </c>
      <c r="N64">
        <f>_xlfn.XLOOKUP(L64&amp;"-"&amp;M64,'Djøf Finance Workers'!D:D,'Djøf Finance Workers'!C:C,0,1)</f>
        <v>2030</v>
      </c>
      <c r="O64">
        <f>_xlfn.XLOOKUP(L64&amp;"-"&amp;M64,'Djøf Finance Hoppers'!D:D,'Djøf Finance Hoppers'!C:C,0,1)</f>
        <v>188</v>
      </c>
      <c r="P64">
        <f t="shared" si="1"/>
        <v>9.2610837438423646E-2</v>
      </c>
    </row>
    <row r="65" spans="1:16" x14ac:dyDescent="0.25">
      <c r="A65">
        <v>88</v>
      </c>
      <c r="B65" t="str">
        <f t="shared" si="6"/>
        <v>65+ år</v>
      </c>
      <c r="C65">
        <f t="shared" si="4"/>
        <v>0.11691873000664299</v>
      </c>
      <c r="D65" t="str">
        <f ca="1">IF(OR(JobHopping[[#This Row],[Age]]=25,JobHopping[[#This Row],[Age]]&gt;69),"N",IF(AND(D63="N",D64="N", RAND()&lt;=C65), "Y", "N"))</f>
        <v>N</v>
      </c>
      <c r="E65" t="s">
        <v>0</v>
      </c>
      <c r="F65" t="str">
        <f>IF(JobHopping[[#This Row],[Age]]&lt;40,"",JobHopping[[#This Row],[SwitchP1Static]])</f>
        <v>N</v>
      </c>
      <c r="L65">
        <v>2020</v>
      </c>
      <c r="M65" t="s">
        <v>16</v>
      </c>
      <c r="N65">
        <f>_xlfn.XLOOKUP(L65&amp;"-"&amp;M65,'Djøf Finance Workers'!D:D,'Djøf Finance Workers'!C:C,0,1)</f>
        <v>7337</v>
      </c>
      <c r="O65">
        <f>_xlfn.XLOOKUP(L65&amp;"-"&amp;M65,'Djøf Finance Hoppers'!D:D,'Djøf Finance Hoppers'!C:C,0,1)</f>
        <v>3028</v>
      </c>
      <c r="P65">
        <f t="shared" si="1"/>
        <v>0.41270273953932124</v>
      </c>
    </row>
    <row r="66" spans="1:16" x14ac:dyDescent="0.25">
      <c r="A66">
        <v>89</v>
      </c>
      <c r="B66" t="str">
        <f t="shared" si="6"/>
        <v>65+ år</v>
      </c>
      <c r="C66">
        <f t="shared" ref="C66:C97" si="7">_xlfn.XLOOKUP(B66,R:R,S:S)</f>
        <v>0.11691873000664299</v>
      </c>
      <c r="D66" t="str">
        <f ca="1">IF(OR(JobHopping[[#This Row],[Age]]=25,JobHopping[[#This Row],[Age]]&gt;69),"N",IF(AND(D64="N",D65="N", RAND()&lt;=C66), "Y", "N"))</f>
        <v>N</v>
      </c>
      <c r="E66" t="s">
        <v>0</v>
      </c>
      <c r="F66" t="str">
        <f>IF(JobHopping[[#This Row],[Age]]&lt;40,"",JobHopping[[#This Row],[SwitchP1Static]])</f>
        <v>N</v>
      </c>
      <c r="L66">
        <v>2020</v>
      </c>
      <c r="M66" t="s">
        <v>17</v>
      </c>
      <c r="N66">
        <f>_xlfn.XLOOKUP(L66&amp;"-"&amp;M66,'Djøf Finance Workers'!D:D,'Djøf Finance Workers'!C:C,0,1)</f>
        <v>8658</v>
      </c>
      <c r="O66">
        <f>_xlfn.XLOOKUP(L66&amp;"-"&amp;M66,'Djøf Finance Hoppers'!D:D,'Djøf Finance Hoppers'!C:C,0,1)</f>
        <v>2339</v>
      </c>
      <c r="P66">
        <f t="shared" ref="P66:P99" si="8">IF(N66&gt;0, O66/N66, 0)</f>
        <v>0.27015477015477013</v>
      </c>
    </row>
    <row r="67" spans="1:16" x14ac:dyDescent="0.25">
      <c r="A67">
        <v>90</v>
      </c>
      <c r="B67" t="str">
        <f t="shared" si="6"/>
        <v>65+ år</v>
      </c>
      <c r="C67">
        <f t="shared" si="7"/>
        <v>0.11691873000664299</v>
      </c>
      <c r="D67" t="str">
        <f ca="1">IF(OR(JobHopping[[#This Row],[Age]]=25,JobHopping[[#This Row],[Age]]&gt;69),"N",IF(AND(D65="N",D66="N", RAND()&lt;=C67), "Y", "N"))</f>
        <v>N</v>
      </c>
      <c r="E67" t="s">
        <v>0</v>
      </c>
      <c r="F67" t="str">
        <f>IF(JobHopping[[#This Row],[Age]]&lt;40,"",JobHopping[[#This Row],[SwitchP1Static]])</f>
        <v>N</v>
      </c>
      <c r="L67">
        <v>2020</v>
      </c>
      <c r="M67" t="s">
        <v>18</v>
      </c>
      <c r="N67">
        <f>_xlfn.XLOOKUP(L67&amp;"-"&amp;M67,'Djøf Finance Workers'!D:D,'Djøf Finance Workers'!C:C,0,1)</f>
        <v>8798</v>
      </c>
      <c r="O67">
        <f>_xlfn.XLOOKUP(L67&amp;"-"&amp;M67,'Djøf Finance Hoppers'!D:D,'Djøf Finance Hoppers'!C:C,0,1)</f>
        <v>1929</v>
      </c>
      <c r="P67">
        <f t="shared" si="8"/>
        <v>0.21925437599454423</v>
      </c>
    </row>
    <row r="68" spans="1:16" x14ac:dyDescent="0.25">
      <c r="A68">
        <v>91</v>
      </c>
      <c r="B68" t="str">
        <f t="shared" si="6"/>
        <v>65+ år</v>
      </c>
      <c r="C68">
        <f t="shared" si="7"/>
        <v>0.11691873000664299</v>
      </c>
      <c r="D68" t="str">
        <f ca="1">IF(OR(JobHopping[[#This Row],[Age]]=25,JobHopping[[#This Row],[Age]]&gt;69),"N",IF(AND(D66="N",D67="N", RAND()&lt;=C68), "Y", "N"))</f>
        <v>N</v>
      </c>
      <c r="E68" t="s">
        <v>0</v>
      </c>
      <c r="F68" t="str">
        <f>IF(JobHopping[[#This Row],[Age]]&lt;40,"",JobHopping[[#This Row],[SwitchP1Static]])</f>
        <v>N</v>
      </c>
      <c r="L68">
        <v>2020</v>
      </c>
      <c r="M68" t="s">
        <v>19</v>
      </c>
      <c r="N68">
        <f>_xlfn.XLOOKUP(L68&amp;"-"&amp;M68,'Djøf Finance Workers'!D:D,'Djøf Finance Workers'!C:C,0,1)</f>
        <v>10129</v>
      </c>
      <c r="O68">
        <f>_xlfn.XLOOKUP(L68&amp;"-"&amp;M68,'Djøf Finance Hoppers'!D:D,'Djøf Finance Hoppers'!C:C,0,1)</f>
        <v>1758</v>
      </c>
      <c r="P68">
        <f t="shared" si="8"/>
        <v>0.17356106229637674</v>
      </c>
    </row>
    <row r="69" spans="1:16" x14ac:dyDescent="0.25">
      <c r="A69">
        <v>92</v>
      </c>
      <c r="B69" t="str">
        <f t="shared" ref="B69:B77" si="9">IF(A69&lt;30, "25-29 år", IF(A69&lt;35, "30-34 år", IF(A69&lt;40, "35-39 år", IF(A69&lt;45, "40-44 år", IF(A69&lt;50, "45-49 år", IF(A69&lt;55, "50-54 år", IF(A69&lt;60, "55-59 år", IF(A69&lt;65, "60-64 år", "65+ år"))))))))</f>
        <v>65+ år</v>
      </c>
      <c r="C69">
        <f t="shared" si="7"/>
        <v>0.11691873000664299</v>
      </c>
      <c r="D69" t="str">
        <f ca="1">IF(OR(JobHopping[[#This Row],[Age]]=25,JobHopping[[#This Row],[Age]]&gt;69),"N",IF(AND(D67="N",D68="N", RAND()&lt;=C69), "Y", "N"))</f>
        <v>N</v>
      </c>
      <c r="E69" t="s">
        <v>0</v>
      </c>
      <c r="F69" t="str">
        <f>IF(JobHopping[[#This Row],[Age]]&lt;40,"",JobHopping[[#This Row],[SwitchP1Static]])</f>
        <v>N</v>
      </c>
      <c r="L69">
        <v>2020</v>
      </c>
      <c r="M69" t="s">
        <v>20</v>
      </c>
      <c r="N69">
        <f>_xlfn.XLOOKUP(L69&amp;"-"&amp;M69,'Djøf Finance Workers'!D:D,'Djøf Finance Workers'!C:C,0,1)</f>
        <v>9740</v>
      </c>
      <c r="O69">
        <f>_xlfn.XLOOKUP(L69&amp;"-"&amp;M69,'Djøf Finance Hoppers'!D:D,'Djøf Finance Hoppers'!C:C,0,1)</f>
        <v>1654</v>
      </c>
      <c r="P69">
        <f t="shared" si="8"/>
        <v>0.1698151950718686</v>
      </c>
    </row>
    <row r="70" spans="1:16" x14ac:dyDescent="0.25">
      <c r="A70">
        <v>93</v>
      </c>
      <c r="B70" t="str">
        <f t="shared" si="9"/>
        <v>65+ år</v>
      </c>
      <c r="C70">
        <f t="shared" si="7"/>
        <v>0.11691873000664299</v>
      </c>
      <c r="D70" t="str">
        <f ca="1">IF(OR(JobHopping[[#This Row],[Age]]=25,JobHopping[[#This Row],[Age]]&gt;69),"N",IF(AND(D68="N",D69="N", RAND()&lt;=C70), "Y", "N"))</f>
        <v>N</v>
      </c>
      <c r="E70" t="s">
        <v>0</v>
      </c>
      <c r="F70" t="str">
        <f>IF(JobHopping[[#This Row],[Age]]&lt;40,"",JobHopping[[#This Row],[SwitchP1Static]])</f>
        <v>N</v>
      </c>
      <c r="L70">
        <v>2020</v>
      </c>
      <c r="M70" t="s">
        <v>21</v>
      </c>
      <c r="N70">
        <f>_xlfn.XLOOKUP(L70&amp;"-"&amp;M70,'Djøf Finance Workers'!D:D,'Djøf Finance Workers'!C:C,0,1)</f>
        <v>11187</v>
      </c>
      <c r="O70">
        <f>_xlfn.XLOOKUP(L70&amp;"-"&amp;M70,'Djøf Finance Hoppers'!D:D,'Djøf Finance Hoppers'!C:C,0,1)</f>
        <v>1616</v>
      </c>
      <c r="P70">
        <f t="shared" si="8"/>
        <v>0.14445338339143649</v>
      </c>
    </row>
    <row r="71" spans="1:16" x14ac:dyDescent="0.25">
      <c r="A71">
        <v>94</v>
      </c>
      <c r="B71" t="str">
        <f t="shared" si="9"/>
        <v>65+ år</v>
      </c>
      <c r="C71">
        <f t="shared" si="7"/>
        <v>0.11691873000664299</v>
      </c>
      <c r="D71" t="str">
        <f ca="1">IF(OR(JobHopping[[#This Row],[Age]]=25,JobHopping[[#This Row],[Age]]&gt;69),"N",IF(AND(D69="N",D70="N", RAND()&lt;=C71), "Y", "N"))</f>
        <v>N</v>
      </c>
      <c r="E71" t="s">
        <v>0</v>
      </c>
      <c r="F71" t="str">
        <f>IF(JobHopping[[#This Row],[Age]]&lt;40,"",JobHopping[[#This Row],[SwitchP1Static]])</f>
        <v>N</v>
      </c>
      <c r="L71">
        <v>2020</v>
      </c>
      <c r="M71" t="s">
        <v>22</v>
      </c>
      <c r="N71">
        <f>_xlfn.XLOOKUP(L71&amp;"-"&amp;M71,'Djøf Finance Workers'!D:D,'Djøf Finance Workers'!C:C,0,1)</f>
        <v>10215</v>
      </c>
      <c r="O71">
        <f>_xlfn.XLOOKUP(L71&amp;"-"&amp;M71,'Djøf Finance Hoppers'!D:D,'Djøf Finance Hoppers'!C:C,0,1)</f>
        <v>1279</v>
      </c>
      <c r="P71">
        <f t="shared" si="8"/>
        <v>0.12520802741067058</v>
      </c>
    </row>
    <row r="72" spans="1:16" x14ac:dyDescent="0.25">
      <c r="A72">
        <v>95</v>
      </c>
      <c r="B72" t="str">
        <f t="shared" si="9"/>
        <v>65+ år</v>
      </c>
      <c r="C72">
        <f t="shared" si="7"/>
        <v>0.11691873000664299</v>
      </c>
      <c r="D72" t="str">
        <f ca="1">IF(OR(JobHopping[[#This Row],[Age]]=25,JobHopping[[#This Row],[Age]]&gt;69),"N",IF(AND(D70="N",D71="N", RAND()&lt;=C72), "Y", "N"))</f>
        <v>N</v>
      </c>
      <c r="E72" t="s">
        <v>0</v>
      </c>
      <c r="F72" t="str">
        <f>IF(JobHopping[[#This Row],[Age]]&lt;40,"",JobHopping[[#This Row],[SwitchP1Static]])</f>
        <v>N</v>
      </c>
      <c r="L72">
        <v>2020</v>
      </c>
      <c r="M72" t="s">
        <v>23</v>
      </c>
      <c r="N72">
        <f>_xlfn.XLOOKUP(L72&amp;"-"&amp;M72,'Djøf Finance Workers'!D:D,'Djøf Finance Workers'!C:C,0,1)</f>
        <v>6305</v>
      </c>
      <c r="O72">
        <f>_xlfn.XLOOKUP(L72&amp;"-"&amp;M72,'Djøf Finance Hoppers'!D:D,'Djøf Finance Hoppers'!C:C,0,1)</f>
        <v>623</v>
      </c>
      <c r="P72">
        <f t="shared" si="8"/>
        <v>9.8810467882632827E-2</v>
      </c>
    </row>
    <row r="73" spans="1:16" x14ac:dyDescent="0.25">
      <c r="A73">
        <v>96</v>
      </c>
      <c r="B73" t="str">
        <f t="shared" si="9"/>
        <v>65+ år</v>
      </c>
      <c r="C73">
        <f t="shared" si="7"/>
        <v>0.11691873000664299</v>
      </c>
      <c r="D73" t="str">
        <f ca="1">IF(OR(JobHopping[[#This Row],[Age]]=25,JobHopping[[#This Row],[Age]]&gt;69),"N",IF(AND(D71="N",D72="N", RAND()&lt;=C73), "Y", "N"))</f>
        <v>N</v>
      </c>
      <c r="E73" t="s">
        <v>0</v>
      </c>
      <c r="F73" t="str">
        <f>IF(JobHopping[[#This Row],[Age]]&lt;40,"",JobHopping[[#This Row],[SwitchP1Static]])</f>
        <v>N</v>
      </c>
      <c r="L73">
        <v>2020</v>
      </c>
      <c r="M73" t="s">
        <v>24</v>
      </c>
      <c r="N73">
        <f>_xlfn.XLOOKUP(L73&amp;"-"&amp;M73,'Djøf Finance Workers'!D:D,'Djøf Finance Workers'!C:C,0,1)</f>
        <v>2231</v>
      </c>
      <c r="O73">
        <f>_xlfn.XLOOKUP(L73&amp;"-"&amp;M73,'Djøf Finance Hoppers'!D:D,'Djøf Finance Hoppers'!C:C,0,1)</f>
        <v>201</v>
      </c>
      <c r="P73">
        <f t="shared" si="8"/>
        <v>9.0094128193635145E-2</v>
      </c>
    </row>
    <row r="74" spans="1:16" x14ac:dyDescent="0.25">
      <c r="A74">
        <v>97</v>
      </c>
      <c r="B74" t="str">
        <f t="shared" si="9"/>
        <v>65+ år</v>
      </c>
      <c r="C74">
        <f t="shared" si="7"/>
        <v>0.11691873000664299</v>
      </c>
      <c r="D74" t="str">
        <f ca="1">IF(OR(JobHopping[[#This Row],[Age]]=25,JobHopping[[#This Row],[Age]]&gt;69),"N",IF(AND(D72="N",D73="N", RAND()&lt;=C74), "Y", "N"))</f>
        <v>N</v>
      </c>
      <c r="E74" t="s">
        <v>0</v>
      </c>
      <c r="F74" t="str">
        <f>IF(JobHopping[[#This Row],[Age]]&lt;40,"",JobHopping[[#This Row],[SwitchP1Static]])</f>
        <v>N</v>
      </c>
      <c r="L74">
        <v>2021</v>
      </c>
      <c r="M74" t="s">
        <v>16</v>
      </c>
      <c r="N74">
        <f>_xlfn.XLOOKUP(L74&amp;"-"&amp;M74,'Djøf Finance Workers'!D:D,'Djøf Finance Workers'!C:C,0,1)</f>
        <v>7687</v>
      </c>
      <c r="O74">
        <f>_xlfn.XLOOKUP(L74&amp;"-"&amp;M74,'Djøf Finance Hoppers'!D:D,'Djøf Finance Hoppers'!C:C,0,1)</f>
        <v>3854</v>
      </c>
      <c r="P74">
        <f t="shared" si="8"/>
        <v>0.50136594250032518</v>
      </c>
    </row>
    <row r="75" spans="1:16" x14ac:dyDescent="0.25">
      <c r="A75">
        <v>98</v>
      </c>
      <c r="B75" t="str">
        <f t="shared" si="9"/>
        <v>65+ år</v>
      </c>
      <c r="C75">
        <f t="shared" si="7"/>
        <v>0.11691873000664299</v>
      </c>
      <c r="D75" t="str">
        <f ca="1">IF(OR(JobHopping[[#This Row],[Age]]=25,JobHopping[[#This Row],[Age]]&gt;69),"N",IF(AND(D73="N",D74="N", RAND()&lt;=C75), "Y", "N"))</f>
        <v>N</v>
      </c>
      <c r="E75" t="s">
        <v>0</v>
      </c>
      <c r="F75" t="str">
        <f>IF(JobHopping[[#This Row],[Age]]&lt;40,"",JobHopping[[#This Row],[SwitchP1Static]])</f>
        <v>N</v>
      </c>
      <c r="L75">
        <v>2021</v>
      </c>
      <c r="M75" t="s">
        <v>17</v>
      </c>
      <c r="N75">
        <f>_xlfn.XLOOKUP(L75&amp;"-"&amp;M75,'Djøf Finance Workers'!D:D,'Djøf Finance Workers'!C:C,0,1)</f>
        <v>8844</v>
      </c>
      <c r="O75">
        <f>_xlfn.XLOOKUP(L75&amp;"-"&amp;M75,'Djøf Finance Hoppers'!D:D,'Djøf Finance Hoppers'!C:C,0,1)</f>
        <v>3059</v>
      </c>
      <c r="P75">
        <f t="shared" si="8"/>
        <v>0.34588421528720037</v>
      </c>
    </row>
    <row r="76" spans="1:16" x14ac:dyDescent="0.25">
      <c r="A76">
        <v>99</v>
      </c>
      <c r="B76" t="str">
        <f t="shared" si="9"/>
        <v>65+ år</v>
      </c>
      <c r="C76">
        <f t="shared" si="7"/>
        <v>0.11691873000664299</v>
      </c>
      <c r="D76" t="str">
        <f ca="1">IF(OR(JobHopping[[#This Row],[Age]]=25,JobHopping[[#This Row],[Age]]&gt;69),"N",IF(AND(D74="N",D75="N", RAND()&lt;=C76), "Y", "N"))</f>
        <v>N</v>
      </c>
      <c r="E76" t="s">
        <v>0</v>
      </c>
      <c r="F76" t="str">
        <f>IF(JobHopping[[#This Row],[Age]]&lt;40,"",JobHopping[[#This Row],[SwitchP1Static]])</f>
        <v>N</v>
      </c>
      <c r="L76">
        <v>2021</v>
      </c>
      <c r="M76" t="s">
        <v>18</v>
      </c>
      <c r="N76">
        <f>_xlfn.XLOOKUP(L76&amp;"-"&amp;M76,'Djøf Finance Workers'!D:D,'Djøf Finance Workers'!C:C,0,1)</f>
        <v>8987</v>
      </c>
      <c r="O76">
        <f>_xlfn.XLOOKUP(L76&amp;"-"&amp;M76,'Djøf Finance Hoppers'!D:D,'Djøf Finance Hoppers'!C:C,0,1)</f>
        <v>2330</v>
      </c>
      <c r="P76">
        <f t="shared" si="8"/>
        <v>0.25926338043841102</v>
      </c>
    </row>
    <row r="77" spans="1:16" x14ac:dyDescent="0.25">
      <c r="A77">
        <v>100</v>
      </c>
      <c r="B77" t="str">
        <f t="shared" si="9"/>
        <v>65+ år</v>
      </c>
      <c r="C77">
        <f t="shared" si="7"/>
        <v>0.11691873000664299</v>
      </c>
      <c r="D77" t="str">
        <f ca="1">IF(OR(JobHopping[[#This Row],[Age]]=25,JobHopping[[#This Row],[Age]]&gt;69),"N",IF(AND(D75="N",D76="N", RAND()&lt;=C77), "Y", "N"))</f>
        <v>N</v>
      </c>
      <c r="E77" t="s">
        <v>0</v>
      </c>
      <c r="F77" t="str">
        <f>IF(JobHopping[[#This Row],[Age]]&lt;40,"",JobHopping[[#This Row],[SwitchP1Static]])</f>
        <v>N</v>
      </c>
      <c r="L77">
        <v>2021</v>
      </c>
      <c r="M77" t="s">
        <v>19</v>
      </c>
      <c r="N77">
        <f>_xlfn.XLOOKUP(L77&amp;"-"&amp;M77,'Djøf Finance Workers'!D:D,'Djøf Finance Workers'!C:C,0,1)</f>
        <v>10002</v>
      </c>
      <c r="O77">
        <f>_xlfn.XLOOKUP(L77&amp;"-"&amp;M77,'Djøf Finance Hoppers'!D:D,'Djøf Finance Hoppers'!C:C,0,1)</f>
        <v>2220</v>
      </c>
      <c r="P77">
        <f t="shared" si="8"/>
        <v>0.22195560887822435</v>
      </c>
    </row>
    <row r="78" spans="1:16" x14ac:dyDescent="0.25">
      <c r="L78">
        <v>2021</v>
      </c>
      <c r="M78" t="s">
        <v>20</v>
      </c>
      <c r="N78">
        <f>_xlfn.XLOOKUP(L78&amp;"-"&amp;M78,'Djøf Finance Workers'!D:D,'Djøf Finance Workers'!C:C,0,1)</f>
        <v>10036</v>
      </c>
      <c r="O78">
        <f>_xlfn.XLOOKUP(L78&amp;"-"&amp;M78,'Djøf Finance Hoppers'!D:D,'Djøf Finance Hoppers'!C:C,0,1)</f>
        <v>1980</v>
      </c>
      <c r="P78">
        <f t="shared" si="8"/>
        <v>0.19728975687524911</v>
      </c>
    </row>
    <row r="79" spans="1:16" x14ac:dyDescent="0.25">
      <c r="L79">
        <v>2021</v>
      </c>
      <c r="M79" t="s">
        <v>21</v>
      </c>
      <c r="N79">
        <f>_xlfn.XLOOKUP(L79&amp;"-"&amp;M79,'Djøf Finance Workers'!D:D,'Djøf Finance Workers'!C:C,0,1)</f>
        <v>10467</v>
      </c>
      <c r="O79">
        <f>_xlfn.XLOOKUP(L79&amp;"-"&amp;M79,'Djøf Finance Hoppers'!D:D,'Djøf Finance Hoppers'!C:C,0,1)</f>
        <v>1810</v>
      </c>
      <c r="P79">
        <f t="shared" si="8"/>
        <v>0.17292442915830705</v>
      </c>
    </row>
    <row r="80" spans="1:16" x14ac:dyDescent="0.25">
      <c r="L80">
        <v>2021</v>
      </c>
      <c r="M80" t="s">
        <v>22</v>
      </c>
      <c r="N80">
        <f>_xlfn.XLOOKUP(L80&amp;"-"&amp;M80,'Djøf Finance Workers'!D:D,'Djøf Finance Workers'!C:C,0,1)</f>
        <v>10749</v>
      </c>
      <c r="O80">
        <f>_xlfn.XLOOKUP(L80&amp;"-"&amp;M80,'Djøf Finance Hoppers'!D:D,'Djøf Finance Hoppers'!C:C,0,1)</f>
        <v>1631</v>
      </c>
      <c r="P80">
        <f t="shared" si="8"/>
        <v>0.15173504512047634</v>
      </c>
    </row>
    <row r="81" spans="12:16" x14ac:dyDescent="0.25">
      <c r="L81">
        <v>2021</v>
      </c>
      <c r="M81" t="s">
        <v>23</v>
      </c>
      <c r="N81">
        <f>_xlfn.XLOOKUP(L81&amp;"-"&amp;M81,'Djøf Finance Workers'!D:D,'Djøf Finance Workers'!C:C,0,1)</f>
        <v>6688</v>
      </c>
      <c r="O81">
        <f>_xlfn.XLOOKUP(L81&amp;"-"&amp;M81,'Djøf Finance Hoppers'!D:D,'Djøf Finance Hoppers'!C:C,0,1)</f>
        <v>962</v>
      </c>
      <c r="P81">
        <f t="shared" si="8"/>
        <v>0.1438397129186603</v>
      </c>
    </row>
    <row r="82" spans="12:16" x14ac:dyDescent="0.25">
      <c r="L82">
        <v>2021</v>
      </c>
      <c r="M82" t="s">
        <v>24</v>
      </c>
      <c r="N82">
        <f>_xlfn.XLOOKUP(L82&amp;"-"&amp;M82,'Djøf Finance Workers'!D:D,'Djøf Finance Workers'!C:C,0,1)</f>
        <v>2522</v>
      </c>
      <c r="O82">
        <f>_xlfn.XLOOKUP(L82&amp;"-"&amp;M82,'Djøf Finance Hoppers'!D:D,'Djøf Finance Hoppers'!C:C,0,1)</f>
        <v>216</v>
      </c>
      <c r="P82">
        <f t="shared" si="8"/>
        <v>8.5646312450436163E-2</v>
      </c>
    </row>
    <row r="83" spans="12:16" x14ac:dyDescent="0.25">
      <c r="L83">
        <v>2022</v>
      </c>
      <c r="M83" t="s">
        <v>16</v>
      </c>
      <c r="N83">
        <f>_xlfn.XLOOKUP(L83&amp;"-"&amp;M83,'Djøf Finance Workers'!D:D,'Djøf Finance Workers'!C:C,0,1)</f>
        <v>8107</v>
      </c>
      <c r="O83">
        <f>_xlfn.XLOOKUP(L83&amp;"-"&amp;M83,'Djøf Finance Hoppers'!D:D,'Djøf Finance Hoppers'!C:C,0,1)</f>
        <v>3870</v>
      </c>
      <c r="P83">
        <f t="shared" si="8"/>
        <v>0.4773652399161219</v>
      </c>
    </row>
    <row r="84" spans="12:16" x14ac:dyDescent="0.25">
      <c r="L84">
        <v>2022</v>
      </c>
      <c r="M84" t="s">
        <v>17</v>
      </c>
      <c r="N84">
        <f>_xlfn.XLOOKUP(L84&amp;"-"&amp;M84,'Djøf Finance Workers'!D:D,'Djøf Finance Workers'!C:C,0,1)</f>
        <v>9307</v>
      </c>
      <c r="O84">
        <f>_xlfn.XLOOKUP(L84&amp;"-"&amp;M84,'Djøf Finance Hoppers'!D:D,'Djøf Finance Hoppers'!C:C,0,1)</f>
        <v>3004</v>
      </c>
      <c r="P84">
        <f t="shared" si="8"/>
        <v>0.3227678091758891</v>
      </c>
    </row>
    <row r="85" spans="12:16" x14ac:dyDescent="0.25">
      <c r="L85">
        <v>2022</v>
      </c>
      <c r="M85" t="s">
        <v>18</v>
      </c>
      <c r="N85">
        <f>_xlfn.XLOOKUP(L85&amp;"-"&amp;M85,'Djøf Finance Workers'!D:D,'Djøf Finance Workers'!C:C,0,1)</f>
        <v>9287</v>
      </c>
      <c r="O85">
        <f>_xlfn.XLOOKUP(L85&amp;"-"&amp;M85,'Djøf Finance Hoppers'!D:D,'Djøf Finance Hoppers'!C:C,0,1)</f>
        <v>2511</v>
      </c>
      <c r="P85">
        <f t="shared" si="8"/>
        <v>0.27037794766878431</v>
      </c>
    </row>
    <row r="86" spans="12:16" x14ac:dyDescent="0.25">
      <c r="L86">
        <v>2022</v>
      </c>
      <c r="M86" t="s">
        <v>19</v>
      </c>
      <c r="N86">
        <f>_xlfn.XLOOKUP(L86&amp;"-"&amp;M86,'Djøf Finance Workers'!D:D,'Djøf Finance Workers'!C:C,0,1)</f>
        <v>9808</v>
      </c>
      <c r="O86">
        <f>_xlfn.XLOOKUP(L86&amp;"-"&amp;M86,'Djøf Finance Hoppers'!D:D,'Djøf Finance Hoppers'!C:C,0,1)</f>
        <v>2191</v>
      </c>
      <c r="P86">
        <f t="shared" si="8"/>
        <v>0.22338907014681891</v>
      </c>
    </row>
    <row r="87" spans="12:16" x14ac:dyDescent="0.25">
      <c r="L87">
        <v>2022</v>
      </c>
      <c r="M87" t="s">
        <v>20</v>
      </c>
      <c r="N87">
        <f>_xlfn.XLOOKUP(L87&amp;"-"&amp;M87,'Djøf Finance Workers'!D:D,'Djøf Finance Workers'!C:C,0,1)</f>
        <v>10063</v>
      </c>
      <c r="O87">
        <f>_xlfn.XLOOKUP(L87&amp;"-"&amp;M87,'Djøf Finance Hoppers'!D:D,'Djøf Finance Hoppers'!C:C,0,1)</f>
        <v>2044</v>
      </c>
      <c r="P87">
        <f t="shared" si="8"/>
        <v>0.20312034184636787</v>
      </c>
    </row>
    <row r="88" spans="12:16" x14ac:dyDescent="0.25">
      <c r="L88">
        <v>2022</v>
      </c>
      <c r="M88" t="s">
        <v>21</v>
      </c>
      <c r="N88">
        <f>_xlfn.XLOOKUP(L88&amp;"-"&amp;M88,'Djøf Finance Workers'!D:D,'Djøf Finance Workers'!C:C,0,1)</f>
        <v>9799</v>
      </c>
      <c r="O88">
        <f>_xlfn.XLOOKUP(L88&amp;"-"&amp;M88,'Djøf Finance Hoppers'!D:D,'Djøf Finance Hoppers'!C:C,0,1)</f>
        <v>1683</v>
      </c>
      <c r="P88">
        <f t="shared" si="8"/>
        <v>0.17175221961424636</v>
      </c>
    </row>
    <row r="89" spans="12:16" x14ac:dyDescent="0.25">
      <c r="L89">
        <v>2022</v>
      </c>
      <c r="M89" t="s">
        <v>22</v>
      </c>
      <c r="N89">
        <f>_xlfn.XLOOKUP(L89&amp;"-"&amp;M89,'Djøf Finance Workers'!D:D,'Djøf Finance Workers'!C:C,0,1)</f>
        <v>11340</v>
      </c>
      <c r="O89">
        <f>_xlfn.XLOOKUP(L89&amp;"-"&amp;M89,'Djøf Finance Hoppers'!D:D,'Djøf Finance Hoppers'!C:C,0,1)</f>
        <v>1578</v>
      </c>
      <c r="P89">
        <f t="shared" si="8"/>
        <v>0.13915343915343914</v>
      </c>
    </row>
    <row r="90" spans="12:16" x14ac:dyDescent="0.25">
      <c r="L90">
        <v>2022</v>
      </c>
      <c r="M90" t="s">
        <v>23</v>
      </c>
      <c r="N90">
        <f>_xlfn.XLOOKUP(L90&amp;"-"&amp;M90,'Djøf Finance Workers'!D:D,'Djøf Finance Workers'!C:C,0,1)</f>
        <v>6943</v>
      </c>
      <c r="O90">
        <f>_xlfn.XLOOKUP(L90&amp;"-"&amp;M90,'Djøf Finance Hoppers'!D:D,'Djøf Finance Hoppers'!C:C,0,1)</f>
        <v>880</v>
      </c>
      <c r="P90">
        <f t="shared" si="8"/>
        <v>0.12674636324355465</v>
      </c>
    </row>
    <row r="91" spans="12:16" x14ac:dyDescent="0.25">
      <c r="L91">
        <v>2022</v>
      </c>
      <c r="M91" t="s">
        <v>24</v>
      </c>
      <c r="N91">
        <f>_xlfn.XLOOKUP(L91&amp;"-"&amp;M91,'Djøf Finance Workers'!D:D,'Djøf Finance Workers'!C:C,0,1)</f>
        <v>2779</v>
      </c>
      <c r="O91">
        <f>_xlfn.XLOOKUP(L91&amp;"-"&amp;M91,'Djøf Finance Hoppers'!D:D,'Djøf Finance Hoppers'!C:C,0,1)</f>
        <v>265</v>
      </c>
      <c r="P91">
        <f t="shared" si="8"/>
        <v>9.5358042461317016E-2</v>
      </c>
    </row>
    <row r="92" spans="12:16" x14ac:dyDescent="0.25">
      <c r="L92">
        <v>2023</v>
      </c>
      <c r="M92" t="s">
        <v>16</v>
      </c>
      <c r="N92">
        <f>_xlfn.XLOOKUP(L92&amp;"-"&amp;M92,'Djøf Finance Workers'!D:D,'Djøf Finance Workers'!C:C,0,1)</f>
        <v>8433</v>
      </c>
      <c r="O92">
        <f>_xlfn.XLOOKUP(L92&amp;"-"&amp;M92,'Djøf Finance Hoppers'!D:D,'Djøf Finance Hoppers'!C:C,0,1)</f>
        <v>3662</v>
      </c>
      <c r="P92">
        <f t="shared" si="8"/>
        <v>0.43424641290169574</v>
      </c>
    </row>
    <row r="93" spans="12:16" x14ac:dyDescent="0.25">
      <c r="L93">
        <v>2023</v>
      </c>
      <c r="M93" t="s">
        <v>17</v>
      </c>
      <c r="N93">
        <f>_xlfn.XLOOKUP(L93&amp;"-"&amp;M93,'Djøf Finance Workers'!D:D,'Djøf Finance Workers'!C:C,0,1)</f>
        <v>9786</v>
      </c>
      <c r="O93">
        <f>_xlfn.XLOOKUP(L93&amp;"-"&amp;M93,'Djøf Finance Hoppers'!D:D,'Djøf Finance Hoppers'!C:C,0,1)</f>
        <v>2878</v>
      </c>
      <c r="P93">
        <f t="shared" si="8"/>
        <v>0.29409360310647864</v>
      </c>
    </row>
    <row r="94" spans="12:16" x14ac:dyDescent="0.25">
      <c r="L94">
        <v>2023</v>
      </c>
      <c r="M94" t="s">
        <v>18</v>
      </c>
      <c r="N94">
        <f>_xlfn.XLOOKUP(L94&amp;"-"&amp;M94,'Djøf Finance Workers'!D:D,'Djøf Finance Workers'!C:C,0,1)</f>
        <v>9648</v>
      </c>
      <c r="O94">
        <f>_xlfn.XLOOKUP(L94&amp;"-"&amp;M94,'Djøf Finance Hoppers'!D:D,'Djøf Finance Hoppers'!C:C,0,1)</f>
        <v>2160</v>
      </c>
      <c r="P94">
        <f t="shared" si="8"/>
        <v>0.22388059701492538</v>
      </c>
    </row>
    <row r="95" spans="12:16" x14ac:dyDescent="0.25">
      <c r="L95">
        <v>2023</v>
      </c>
      <c r="M95" t="s">
        <v>19</v>
      </c>
      <c r="N95">
        <f>_xlfn.XLOOKUP(L95&amp;"-"&amp;M95,'Djøf Finance Workers'!D:D,'Djøf Finance Workers'!C:C,0,1)</f>
        <v>9770</v>
      </c>
      <c r="O95">
        <f>_xlfn.XLOOKUP(L95&amp;"-"&amp;M95,'Djøf Finance Hoppers'!D:D,'Djøf Finance Hoppers'!C:C,0,1)</f>
        <v>1983</v>
      </c>
      <c r="P95">
        <f t="shared" si="8"/>
        <v>0.20296827021494371</v>
      </c>
    </row>
    <row r="96" spans="12:16" x14ac:dyDescent="0.25">
      <c r="L96">
        <v>2023</v>
      </c>
      <c r="M96" t="s">
        <v>20</v>
      </c>
      <c r="N96">
        <f>_xlfn.XLOOKUP(L96&amp;"-"&amp;M96,'Djøf Finance Workers'!D:D,'Djøf Finance Workers'!C:C,0,1)</f>
        <v>10262</v>
      </c>
      <c r="O96">
        <f>_xlfn.XLOOKUP(L96&amp;"-"&amp;M96,'Djøf Finance Hoppers'!D:D,'Djøf Finance Hoppers'!C:C,0,1)</f>
        <v>1798</v>
      </c>
      <c r="P96">
        <f t="shared" si="8"/>
        <v>0.17520951081660496</v>
      </c>
    </row>
    <row r="97" spans="12:16" x14ac:dyDescent="0.25">
      <c r="L97">
        <v>2023</v>
      </c>
      <c r="M97" t="s">
        <v>21</v>
      </c>
      <c r="N97">
        <f>_xlfn.XLOOKUP(L97&amp;"-"&amp;M97,'Djøf Finance Workers'!D:D,'Djøf Finance Workers'!C:C,0,1)</f>
        <v>9513</v>
      </c>
      <c r="O97">
        <f>_xlfn.XLOOKUP(L97&amp;"-"&amp;M97,'Djøf Finance Hoppers'!D:D,'Djøf Finance Hoppers'!C:C,0,1)</f>
        <v>1564</v>
      </c>
      <c r="P97">
        <f t="shared" si="8"/>
        <v>0.1644066014926942</v>
      </c>
    </row>
    <row r="98" spans="12:16" x14ac:dyDescent="0.25">
      <c r="L98">
        <v>2023</v>
      </c>
      <c r="M98" t="s">
        <v>22</v>
      </c>
      <c r="N98">
        <f>_xlfn.XLOOKUP(L98&amp;"-"&amp;M98,'Djøf Finance Workers'!D:D,'Djøf Finance Workers'!C:C,0,1)</f>
        <v>11614</v>
      </c>
      <c r="O98">
        <f>_xlfn.XLOOKUP(L98&amp;"-"&amp;M98,'Djøf Finance Hoppers'!D:D,'Djøf Finance Hoppers'!C:C,0,1)</f>
        <v>1583</v>
      </c>
      <c r="P98">
        <f t="shared" si="8"/>
        <v>0.13630101601515413</v>
      </c>
    </row>
    <row r="99" spans="12:16" x14ac:dyDescent="0.25">
      <c r="L99">
        <v>2023</v>
      </c>
      <c r="M99" t="s">
        <v>23</v>
      </c>
      <c r="N99">
        <f>_xlfn.XLOOKUP(L99&amp;"-"&amp;M99,'Djøf Finance Workers'!D:D,'Djøf Finance Workers'!C:C,0,1)</f>
        <v>7443</v>
      </c>
      <c r="O99">
        <f>_xlfn.XLOOKUP(L99&amp;"-"&amp;M99,'Djøf Finance Hoppers'!D:D,'Djøf Finance Hoppers'!C:C,0,1)</f>
        <v>896</v>
      </c>
      <c r="P99">
        <f t="shared" si="8"/>
        <v>0.12038156657261857</v>
      </c>
    </row>
    <row r="100" spans="12:16" x14ac:dyDescent="0.25">
      <c r="L100">
        <v>2023</v>
      </c>
      <c r="M100" t="s">
        <v>24</v>
      </c>
      <c r="N100">
        <f>_xlfn.XLOOKUP(L100&amp;"-"&amp;M100,'Djøf Finance Workers'!D:D,'Djøf Finance Workers'!C:C,0,1)</f>
        <v>3139</v>
      </c>
      <c r="O100">
        <f>_xlfn.XLOOKUP(L100&amp;"-"&amp;M100,'Djøf Finance Hoppers'!D:D,'Djøf Finance Hoppers'!C:C,0,1)</f>
        <v>295</v>
      </c>
      <c r="P100">
        <f>IF(N100&gt;0, O100/N100, 0)</f>
        <v>9.3978974195603693E-2</v>
      </c>
    </row>
  </sheetData>
  <phoneticPr fontId="3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4F7E5-D381-4B3C-9673-A177186DF652}">
  <sheetPr>
    <tabColor theme="9" tint="0.79998168889431442"/>
  </sheetPr>
  <dimension ref="A1:D163"/>
  <sheetViews>
    <sheetView showGridLines="0" topLeftCell="A4" zoomScaleNormal="100" workbookViewId="0"/>
  </sheetViews>
  <sheetFormatPr defaultRowHeight="15" x14ac:dyDescent="0.25"/>
  <cols>
    <col min="2" max="2" width="13" customWidth="1"/>
    <col min="3" max="3" width="56" customWidth="1"/>
  </cols>
  <sheetData>
    <row r="1" spans="1:4" x14ac:dyDescent="0.25">
      <c r="A1" t="s">
        <v>9</v>
      </c>
    </row>
    <row r="2" spans="1:4" x14ac:dyDescent="0.25">
      <c r="C2" t="s">
        <v>10</v>
      </c>
    </row>
    <row r="3" spans="1:4" x14ac:dyDescent="0.25">
      <c r="C3" t="s">
        <v>11</v>
      </c>
    </row>
    <row r="4" spans="1:4" x14ac:dyDescent="0.25">
      <c r="C4" t="s">
        <v>12</v>
      </c>
    </row>
    <row r="5" spans="1:4" x14ac:dyDescent="0.25">
      <c r="C5" t="s">
        <v>13</v>
      </c>
    </row>
    <row r="6" spans="1:4" x14ac:dyDescent="0.25">
      <c r="C6" t="s">
        <v>14</v>
      </c>
    </row>
    <row r="7" spans="1:4" x14ac:dyDescent="0.25">
      <c r="A7" t="s">
        <v>15</v>
      </c>
      <c r="B7" t="s">
        <v>16</v>
      </c>
      <c r="C7">
        <v>6876</v>
      </c>
      <c r="D7" t="str">
        <f t="shared" ref="D7:D70" si="0">A7&amp;"-"&amp;B7</f>
        <v>2008-25-29 år</v>
      </c>
    </row>
    <row r="8" spans="1:4" x14ac:dyDescent="0.25">
      <c r="A8" t="s">
        <v>15</v>
      </c>
      <c r="B8" t="s">
        <v>17</v>
      </c>
      <c r="C8">
        <v>8541</v>
      </c>
      <c r="D8" t="str">
        <f t="shared" si="0"/>
        <v>2008-30-34 år</v>
      </c>
    </row>
    <row r="9" spans="1:4" x14ac:dyDescent="0.25">
      <c r="A9" t="s">
        <v>15</v>
      </c>
      <c r="B9" t="s">
        <v>18</v>
      </c>
      <c r="C9">
        <v>8222</v>
      </c>
      <c r="D9" t="str">
        <f t="shared" si="0"/>
        <v>2008-35-39 år</v>
      </c>
    </row>
    <row r="10" spans="1:4" x14ac:dyDescent="0.25">
      <c r="A10" t="s">
        <v>15</v>
      </c>
      <c r="B10" t="s">
        <v>19</v>
      </c>
      <c r="C10">
        <v>11172</v>
      </c>
      <c r="D10" t="str">
        <f t="shared" si="0"/>
        <v>2008-40-44 år</v>
      </c>
    </row>
    <row r="11" spans="1:4" x14ac:dyDescent="0.25">
      <c r="A11" t="s">
        <v>15</v>
      </c>
      <c r="B11" t="s">
        <v>20</v>
      </c>
      <c r="C11">
        <v>9399</v>
      </c>
      <c r="D11" t="str">
        <f t="shared" si="0"/>
        <v>2008-45-49 år</v>
      </c>
    </row>
    <row r="12" spans="1:4" x14ac:dyDescent="0.25">
      <c r="A12" t="s">
        <v>15</v>
      </c>
      <c r="B12" t="s">
        <v>21</v>
      </c>
      <c r="C12">
        <v>8459</v>
      </c>
      <c r="D12" t="str">
        <f t="shared" si="0"/>
        <v>2008-50-54 år</v>
      </c>
    </row>
    <row r="13" spans="1:4" x14ac:dyDescent="0.25">
      <c r="A13" t="s">
        <v>15</v>
      </c>
      <c r="B13" t="s">
        <v>22</v>
      </c>
      <c r="C13">
        <v>7916</v>
      </c>
      <c r="D13" t="str">
        <f t="shared" si="0"/>
        <v>2008-55-59 år</v>
      </c>
    </row>
    <row r="14" spans="1:4" x14ac:dyDescent="0.25">
      <c r="A14" t="s">
        <v>15</v>
      </c>
      <c r="B14" t="s">
        <v>23</v>
      </c>
      <c r="C14">
        <v>4371</v>
      </c>
      <c r="D14" t="str">
        <f t="shared" si="0"/>
        <v>2008-60-64 år</v>
      </c>
    </row>
    <row r="15" spans="1:4" x14ac:dyDescent="0.25">
      <c r="A15" t="s">
        <v>15</v>
      </c>
      <c r="B15" t="s">
        <v>24</v>
      </c>
      <c r="C15">
        <v>857</v>
      </c>
      <c r="D15" t="str">
        <f t="shared" si="0"/>
        <v>2008-65+ år</v>
      </c>
    </row>
    <row r="16" spans="1:4" x14ac:dyDescent="0.25">
      <c r="A16" t="s">
        <v>25</v>
      </c>
      <c r="B16" t="s">
        <v>16</v>
      </c>
      <c r="C16">
        <v>7284</v>
      </c>
      <c r="D16" t="str">
        <f t="shared" si="0"/>
        <v>2009-25-29 år</v>
      </c>
    </row>
    <row r="17" spans="1:4" x14ac:dyDescent="0.25">
      <c r="A17" t="s">
        <v>25</v>
      </c>
      <c r="B17" t="s">
        <v>17</v>
      </c>
      <c r="C17">
        <v>9750</v>
      </c>
      <c r="D17" t="str">
        <f t="shared" si="0"/>
        <v>2009-30-34 år</v>
      </c>
    </row>
    <row r="18" spans="1:4" x14ac:dyDescent="0.25">
      <c r="A18" t="s">
        <v>25</v>
      </c>
      <c r="B18" t="s">
        <v>18</v>
      </c>
      <c r="C18">
        <v>9328</v>
      </c>
      <c r="D18" t="str">
        <f t="shared" si="0"/>
        <v>2009-35-39 år</v>
      </c>
    </row>
    <row r="19" spans="1:4" x14ac:dyDescent="0.25">
      <c r="A19" t="s">
        <v>25</v>
      </c>
      <c r="B19" t="s">
        <v>19</v>
      </c>
      <c r="C19">
        <v>12571</v>
      </c>
      <c r="D19" t="str">
        <f t="shared" si="0"/>
        <v>2009-40-44 år</v>
      </c>
    </row>
    <row r="20" spans="1:4" x14ac:dyDescent="0.25">
      <c r="A20" t="s">
        <v>25</v>
      </c>
      <c r="B20" t="s">
        <v>20</v>
      </c>
      <c r="C20">
        <v>11248</v>
      </c>
      <c r="D20" t="str">
        <f t="shared" si="0"/>
        <v>2009-45-49 år</v>
      </c>
    </row>
    <row r="21" spans="1:4" x14ac:dyDescent="0.25">
      <c r="A21" t="s">
        <v>25</v>
      </c>
      <c r="B21" t="s">
        <v>21</v>
      </c>
      <c r="C21">
        <v>9862</v>
      </c>
      <c r="D21" t="str">
        <f t="shared" si="0"/>
        <v>2009-50-54 år</v>
      </c>
    </row>
    <row r="22" spans="1:4" x14ac:dyDescent="0.25">
      <c r="A22" t="s">
        <v>25</v>
      </c>
      <c r="B22" t="s">
        <v>22</v>
      </c>
      <c r="C22">
        <v>9081</v>
      </c>
      <c r="D22" t="str">
        <f t="shared" si="0"/>
        <v>2009-55-59 år</v>
      </c>
    </row>
    <row r="23" spans="1:4" x14ac:dyDescent="0.25">
      <c r="A23" t="s">
        <v>25</v>
      </c>
      <c r="B23" t="s">
        <v>23</v>
      </c>
      <c r="C23">
        <v>5056</v>
      </c>
      <c r="D23" t="str">
        <f t="shared" si="0"/>
        <v>2009-60-64 år</v>
      </c>
    </row>
    <row r="24" spans="1:4" x14ac:dyDescent="0.25">
      <c r="A24" t="s">
        <v>25</v>
      </c>
      <c r="B24" t="s">
        <v>24</v>
      </c>
      <c r="C24">
        <v>984</v>
      </c>
      <c r="D24" t="str">
        <f t="shared" si="0"/>
        <v>2009-65+ år</v>
      </c>
    </row>
    <row r="25" spans="1:4" x14ac:dyDescent="0.25">
      <c r="A25" t="s">
        <v>26</v>
      </c>
      <c r="B25" t="s">
        <v>16</v>
      </c>
      <c r="C25">
        <v>6802</v>
      </c>
      <c r="D25" t="str">
        <f t="shared" si="0"/>
        <v>2010-25-29 år</v>
      </c>
    </row>
    <row r="26" spans="1:4" x14ac:dyDescent="0.25">
      <c r="A26" t="s">
        <v>26</v>
      </c>
      <c r="B26" t="s">
        <v>17</v>
      </c>
      <c r="C26">
        <v>9673</v>
      </c>
      <c r="D26" t="str">
        <f t="shared" si="0"/>
        <v>2010-30-34 år</v>
      </c>
    </row>
    <row r="27" spans="1:4" x14ac:dyDescent="0.25">
      <c r="A27" t="s">
        <v>26</v>
      </c>
      <c r="B27" t="s">
        <v>18</v>
      </c>
      <c r="C27">
        <v>9565</v>
      </c>
      <c r="D27" t="str">
        <f t="shared" si="0"/>
        <v>2010-35-39 år</v>
      </c>
    </row>
    <row r="28" spans="1:4" x14ac:dyDescent="0.25">
      <c r="A28" t="s">
        <v>26</v>
      </c>
      <c r="B28" t="s">
        <v>19</v>
      </c>
      <c r="C28">
        <v>11893</v>
      </c>
      <c r="D28" t="str">
        <f t="shared" si="0"/>
        <v>2010-40-44 år</v>
      </c>
    </row>
    <row r="29" spans="1:4" x14ac:dyDescent="0.25">
      <c r="A29" t="s">
        <v>26</v>
      </c>
      <c r="B29" t="s">
        <v>20</v>
      </c>
      <c r="C29">
        <v>11808</v>
      </c>
      <c r="D29" t="str">
        <f t="shared" si="0"/>
        <v>2010-45-49 år</v>
      </c>
    </row>
    <row r="30" spans="1:4" x14ac:dyDescent="0.25">
      <c r="A30" t="s">
        <v>26</v>
      </c>
      <c r="B30" t="s">
        <v>21</v>
      </c>
      <c r="C30">
        <v>10091</v>
      </c>
      <c r="D30" t="str">
        <f t="shared" si="0"/>
        <v>2010-50-54 år</v>
      </c>
    </row>
    <row r="31" spans="1:4" x14ac:dyDescent="0.25">
      <c r="A31" t="s">
        <v>26</v>
      </c>
      <c r="B31" t="s">
        <v>22</v>
      </c>
      <c r="C31">
        <v>9186</v>
      </c>
      <c r="D31" t="str">
        <f t="shared" si="0"/>
        <v>2010-55-59 år</v>
      </c>
    </row>
    <row r="32" spans="1:4" x14ac:dyDescent="0.25">
      <c r="A32" t="s">
        <v>26</v>
      </c>
      <c r="B32" t="s">
        <v>23</v>
      </c>
      <c r="C32">
        <v>5175</v>
      </c>
      <c r="D32" t="str">
        <f t="shared" si="0"/>
        <v>2010-60-64 år</v>
      </c>
    </row>
    <row r="33" spans="1:4" x14ac:dyDescent="0.25">
      <c r="A33" t="s">
        <v>26</v>
      </c>
      <c r="B33" t="s">
        <v>24</v>
      </c>
      <c r="C33">
        <v>1161</v>
      </c>
      <c r="D33" t="str">
        <f t="shared" si="0"/>
        <v>2010-65+ år</v>
      </c>
    </row>
    <row r="34" spans="1:4" x14ac:dyDescent="0.25">
      <c r="A34" t="s">
        <v>27</v>
      </c>
      <c r="B34" t="s">
        <v>16</v>
      </c>
      <c r="C34">
        <v>6619</v>
      </c>
      <c r="D34" t="str">
        <f t="shared" si="0"/>
        <v>2011-25-29 år</v>
      </c>
    </row>
    <row r="35" spans="1:4" x14ac:dyDescent="0.25">
      <c r="A35" t="s">
        <v>27</v>
      </c>
      <c r="B35" t="s">
        <v>17</v>
      </c>
      <c r="C35">
        <v>9409</v>
      </c>
      <c r="D35" t="str">
        <f t="shared" si="0"/>
        <v>2011-30-34 år</v>
      </c>
    </row>
    <row r="36" spans="1:4" x14ac:dyDescent="0.25">
      <c r="A36" t="s">
        <v>27</v>
      </c>
      <c r="B36" t="s">
        <v>18</v>
      </c>
      <c r="C36">
        <v>9809</v>
      </c>
      <c r="D36" t="str">
        <f t="shared" si="0"/>
        <v>2011-35-39 år</v>
      </c>
    </row>
    <row r="37" spans="1:4" x14ac:dyDescent="0.25">
      <c r="A37" t="s">
        <v>27</v>
      </c>
      <c r="B37" t="s">
        <v>19</v>
      </c>
      <c r="C37">
        <v>10924</v>
      </c>
      <c r="D37" t="str">
        <f t="shared" si="0"/>
        <v>2011-40-44 år</v>
      </c>
    </row>
    <row r="38" spans="1:4" x14ac:dyDescent="0.25">
      <c r="A38" t="s">
        <v>27</v>
      </c>
      <c r="B38" t="s">
        <v>20</v>
      </c>
      <c r="C38">
        <v>12323</v>
      </c>
      <c r="D38" t="str">
        <f t="shared" si="0"/>
        <v>2011-45-49 år</v>
      </c>
    </row>
    <row r="39" spans="1:4" x14ac:dyDescent="0.25">
      <c r="A39" t="s">
        <v>27</v>
      </c>
      <c r="B39" t="s">
        <v>21</v>
      </c>
      <c r="C39">
        <v>10305</v>
      </c>
      <c r="D39" t="str">
        <f t="shared" si="0"/>
        <v>2011-50-54 år</v>
      </c>
    </row>
    <row r="40" spans="1:4" x14ac:dyDescent="0.25">
      <c r="A40" t="s">
        <v>27</v>
      </c>
      <c r="B40" t="s">
        <v>22</v>
      </c>
      <c r="C40">
        <v>9210</v>
      </c>
      <c r="D40" t="str">
        <f t="shared" si="0"/>
        <v>2011-55-59 år</v>
      </c>
    </row>
    <row r="41" spans="1:4" x14ac:dyDescent="0.25">
      <c r="A41" t="s">
        <v>27</v>
      </c>
      <c r="B41" t="s">
        <v>23</v>
      </c>
      <c r="C41">
        <v>5200</v>
      </c>
      <c r="D41" t="str">
        <f t="shared" si="0"/>
        <v>2011-60-64 år</v>
      </c>
    </row>
    <row r="42" spans="1:4" x14ac:dyDescent="0.25">
      <c r="A42" t="s">
        <v>27</v>
      </c>
      <c r="B42" t="s">
        <v>24</v>
      </c>
      <c r="C42">
        <v>1320</v>
      </c>
      <c r="D42" t="str">
        <f t="shared" si="0"/>
        <v>2011-65+ år</v>
      </c>
    </row>
    <row r="43" spans="1:4" x14ac:dyDescent="0.25">
      <c r="A43" t="s">
        <v>28</v>
      </c>
      <c r="B43" t="s">
        <v>16</v>
      </c>
      <c r="C43">
        <v>6332</v>
      </c>
      <c r="D43" t="str">
        <f t="shared" si="0"/>
        <v>2012-25-29 år</v>
      </c>
    </row>
    <row r="44" spans="1:4" x14ac:dyDescent="0.25">
      <c r="A44" t="s">
        <v>28</v>
      </c>
      <c r="B44" t="s">
        <v>17</v>
      </c>
      <c r="C44">
        <v>8887</v>
      </c>
      <c r="D44" t="str">
        <f t="shared" si="0"/>
        <v>2012-30-34 år</v>
      </c>
    </row>
    <row r="45" spans="1:4" x14ac:dyDescent="0.25">
      <c r="A45" t="s">
        <v>28</v>
      </c>
      <c r="B45" t="s">
        <v>18</v>
      </c>
      <c r="C45">
        <v>9638</v>
      </c>
      <c r="D45" t="str">
        <f t="shared" si="0"/>
        <v>2012-35-39 år</v>
      </c>
    </row>
    <row r="46" spans="1:4" x14ac:dyDescent="0.25">
      <c r="A46" t="s">
        <v>28</v>
      </c>
      <c r="B46" t="s">
        <v>19</v>
      </c>
      <c r="C46">
        <v>9823</v>
      </c>
      <c r="D46" t="str">
        <f t="shared" si="0"/>
        <v>2012-40-44 år</v>
      </c>
    </row>
    <row r="47" spans="1:4" x14ac:dyDescent="0.25">
      <c r="A47" t="s">
        <v>28</v>
      </c>
      <c r="B47" t="s">
        <v>20</v>
      </c>
      <c r="C47">
        <v>12680</v>
      </c>
      <c r="D47" t="str">
        <f t="shared" si="0"/>
        <v>2012-45-49 år</v>
      </c>
    </row>
    <row r="48" spans="1:4" x14ac:dyDescent="0.25">
      <c r="A48" t="s">
        <v>28</v>
      </c>
      <c r="B48" t="s">
        <v>21</v>
      </c>
      <c r="C48">
        <v>10381</v>
      </c>
      <c r="D48" t="str">
        <f t="shared" si="0"/>
        <v>2012-50-54 år</v>
      </c>
    </row>
    <row r="49" spans="1:4" x14ac:dyDescent="0.25">
      <c r="A49" t="s">
        <v>28</v>
      </c>
      <c r="B49" t="s">
        <v>22</v>
      </c>
      <c r="C49">
        <v>9032</v>
      </c>
      <c r="D49" t="str">
        <f t="shared" si="0"/>
        <v>2012-55-59 år</v>
      </c>
    </row>
    <row r="50" spans="1:4" x14ac:dyDescent="0.25">
      <c r="A50" t="s">
        <v>28</v>
      </c>
      <c r="B50" t="s">
        <v>23</v>
      </c>
      <c r="C50">
        <v>5237</v>
      </c>
      <c r="D50" t="str">
        <f t="shared" si="0"/>
        <v>2012-60-64 år</v>
      </c>
    </row>
    <row r="51" spans="1:4" x14ac:dyDescent="0.25">
      <c r="A51" t="s">
        <v>28</v>
      </c>
      <c r="B51" t="s">
        <v>24</v>
      </c>
      <c r="C51">
        <v>1446</v>
      </c>
      <c r="D51" t="str">
        <f t="shared" si="0"/>
        <v>2012-65+ år</v>
      </c>
    </row>
    <row r="52" spans="1:4" x14ac:dyDescent="0.25">
      <c r="A52" t="s">
        <v>29</v>
      </c>
      <c r="B52" t="s">
        <v>16</v>
      </c>
      <c r="C52">
        <v>6202</v>
      </c>
      <c r="D52" t="str">
        <f t="shared" si="0"/>
        <v>2013-25-29 år</v>
      </c>
    </row>
    <row r="53" spans="1:4" x14ac:dyDescent="0.25">
      <c r="A53" t="s">
        <v>29</v>
      </c>
      <c r="B53" t="s">
        <v>17</v>
      </c>
      <c r="C53">
        <v>8560</v>
      </c>
      <c r="D53" t="str">
        <f t="shared" si="0"/>
        <v>2013-30-34 år</v>
      </c>
    </row>
    <row r="54" spans="1:4" x14ac:dyDescent="0.25">
      <c r="A54" t="s">
        <v>29</v>
      </c>
      <c r="B54" t="s">
        <v>18</v>
      </c>
      <c r="C54">
        <v>9790</v>
      </c>
      <c r="D54" t="str">
        <f t="shared" si="0"/>
        <v>2013-35-39 år</v>
      </c>
    </row>
    <row r="55" spans="1:4" x14ac:dyDescent="0.25">
      <c r="A55" t="s">
        <v>29</v>
      </c>
      <c r="B55" t="s">
        <v>19</v>
      </c>
      <c r="C55">
        <v>9383</v>
      </c>
      <c r="D55" t="str">
        <f t="shared" si="0"/>
        <v>2013-40-44 år</v>
      </c>
    </row>
    <row r="56" spans="1:4" x14ac:dyDescent="0.25">
      <c r="A56" t="s">
        <v>29</v>
      </c>
      <c r="B56" t="s">
        <v>20</v>
      </c>
      <c r="C56">
        <v>12762</v>
      </c>
      <c r="D56" t="str">
        <f t="shared" si="0"/>
        <v>2013-45-49 år</v>
      </c>
    </row>
    <row r="57" spans="1:4" x14ac:dyDescent="0.25">
      <c r="A57" t="s">
        <v>29</v>
      </c>
      <c r="B57" t="s">
        <v>21</v>
      </c>
      <c r="C57">
        <v>10587</v>
      </c>
      <c r="D57" t="str">
        <f t="shared" si="0"/>
        <v>2013-50-54 år</v>
      </c>
    </row>
    <row r="58" spans="1:4" x14ac:dyDescent="0.25">
      <c r="A58" t="s">
        <v>29</v>
      </c>
      <c r="B58" t="s">
        <v>22</v>
      </c>
      <c r="C58">
        <v>8811</v>
      </c>
      <c r="D58" t="str">
        <f t="shared" si="0"/>
        <v>2013-55-59 år</v>
      </c>
    </row>
    <row r="59" spans="1:4" x14ac:dyDescent="0.25">
      <c r="A59" t="s">
        <v>29</v>
      </c>
      <c r="B59" t="s">
        <v>23</v>
      </c>
      <c r="C59">
        <v>5072</v>
      </c>
      <c r="D59" t="str">
        <f t="shared" si="0"/>
        <v>2013-60-64 år</v>
      </c>
    </row>
    <row r="60" spans="1:4" x14ac:dyDescent="0.25">
      <c r="A60" t="s">
        <v>29</v>
      </c>
      <c r="B60" t="s">
        <v>24</v>
      </c>
      <c r="C60">
        <v>1539</v>
      </c>
      <c r="D60" t="str">
        <f t="shared" si="0"/>
        <v>2013-65+ år</v>
      </c>
    </row>
    <row r="61" spans="1:4" x14ac:dyDescent="0.25">
      <c r="A61" t="s">
        <v>30</v>
      </c>
      <c r="B61" t="s">
        <v>16</v>
      </c>
      <c r="C61">
        <v>6041</v>
      </c>
      <c r="D61" t="str">
        <f t="shared" si="0"/>
        <v>2014-25-29 år</v>
      </c>
    </row>
    <row r="62" spans="1:4" x14ac:dyDescent="0.25">
      <c r="A62" t="s">
        <v>30</v>
      </c>
      <c r="B62" t="s">
        <v>17</v>
      </c>
      <c r="C62">
        <v>8203</v>
      </c>
      <c r="D62" t="str">
        <f t="shared" si="0"/>
        <v>2014-30-34 år</v>
      </c>
    </row>
    <row r="63" spans="1:4" x14ac:dyDescent="0.25">
      <c r="A63" t="s">
        <v>30</v>
      </c>
      <c r="B63" t="s">
        <v>18</v>
      </c>
      <c r="C63">
        <v>9972</v>
      </c>
      <c r="D63" t="str">
        <f t="shared" si="0"/>
        <v>2014-35-39 år</v>
      </c>
    </row>
    <row r="64" spans="1:4" x14ac:dyDescent="0.25">
      <c r="A64" t="s">
        <v>30</v>
      </c>
      <c r="B64" t="s">
        <v>19</v>
      </c>
      <c r="C64">
        <v>9409</v>
      </c>
      <c r="D64" t="str">
        <f t="shared" si="0"/>
        <v>2014-40-44 år</v>
      </c>
    </row>
    <row r="65" spans="1:4" x14ac:dyDescent="0.25">
      <c r="A65" t="s">
        <v>30</v>
      </c>
      <c r="B65" t="s">
        <v>20</v>
      </c>
      <c r="C65">
        <v>12377</v>
      </c>
      <c r="D65" t="str">
        <f t="shared" si="0"/>
        <v>2014-45-49 år</v>
      </c>
    </row>
    <row r="66" spans="1:4" x14ac:dyDescent="0.25">
      <c r="A66" t="s">
        <v>30</v>
      </c>
      <c r="B66" t="s">
        <v>21</v>
      </c>
      <c r="C66">
        <v>10828</v>
      </c>
      <c r="D66" t="str">
        <f t="shared" si="0"/>
        <v>2014-50-54 år</v>
      </c>
    </row>
    <row r="67" spans="1:4" x14ac:dyDescent="0.25">
      <c r="A67" t="s">
        <v>30</v>
      </c>
      <c r="B67" t="s">
        <v>22</v>
      </c>
      <c r="C67">
        <v>8888</v>
      </c>
      <c r="D67" t="str">
        <f t="shared" si="0"/>
        <v>2014-55-59 år</v>
      </c>
    </row>
    <row r="68" spans="1:4" x14ac:dyDescent="0.25">
      <c r="A68" t="s">
        <v>30</v>
      </c>
      <c r="B68" t="s">
        <v>23</v>
      </c>
      <c r="C68">
        <v>5141</v>
      </c>
      <c r="D68" t="str">
        <f t="shared" si="0"/>
        <v>2014-60-64 år</v>
      </c>
    </row>
    <row r="69" spans="1:4" x14ac:dyDescent="0.25">
      <c r="A69" t="s">
        <v>30</v>
      </c>
      <c r="B69" t="s">
        <v>24</v>
      </c>
      <c r="C69">
        <v>1600</v>
      </c>
      <c r="D69" t="str">
        <f t="shared" si="0"/>
        <v>2014-65+ år</v>
      </c>
    </row>
    <row r="70" spans="1:4" x14ac:dyDescent="0.25">
      <c r="A70" t="s">
        <v>31</v>
      </c>
      <c r="B70" t="s">
        <v>16</v>
      </c>
      <c r="C70">
        <v>5834</v>
      </c>
      <c r="D70" t="str">
        <f t="shared" si="0"/>
        <v>2015-25-29 år</v>
      </c>
    </row>
    <row r="71" spans="1:4" x14ac:dyDescent="0.25">
      <c r="A71" t="s">
        <v>31</v>
      </c>
      <c r="B71" t="s">
        <v>17</v>
      </c>
      <c r="C71">
        <v>7834</v>
      </c>
      <c r="D71" t="str">
        <f t="shared" ref="D71:D134" si="1">A71&amp;"-"&amp;B71</f>
        <v>2015-30-34 år</v>
      </c>
    </row>
    <row r="72" spans="1:4" x14ac:dyDescent="0.25">
      <c r="A72" t="s">
        <v>31</v>
      </c>
      <c r="B72" t="s">
        <v>18</v>
      </c>
      <c r="C72">
        <v>9897</v>
      </c>
      <c r="D72" t="str">
        <f t="shared" si="1"/>
        <v>2015-35-39 år</v>
      </c>
    </row>
    <row r="73" spans="1:4" x14ac:dyDescent="0.25">
      <c r="A73" t="s">
        <v>31</v>
      </c>
      <c r="B73" t="s">
        <v>19</v>
      </c>
      <c r="C73">
        <v>9571</v>
      </c>
      <c r="D73" t="str">
        <f t="shared" si="1"/>
        <v>2015-40-44 år</v>
      </c>
    </row>
    <row r="74" spans="1:4" x14ac:dyDescent="0.25">
      <c r="A74" t="s">
        <v>31</v>
      </c>
      <c r="B74" t="s">
        <v>20</v>
      </c>
      <c r="C74">
        <v>11603</v>
      </c>
      <c r="D74" t="str">
        <f t="shared" si="1"/>
        <v>2015-45-49 år</v>
      </c>
    </row>
    <row r="75" spans="1:4" x14ac:dyDescent="0.25">
      <c r="A75" t="s">
        <v>31</v>
      </c>
      <c r="B75" t="s">
        <v>21</v>
      </c>
      <c r="C75">
        <v>11160</v>
      </c>
      <c r="D75" t="str">
        <f t="shared" si="1"/>
        <v>2015-50-54 år</v>
      </c>
    </row>
    <row r="76" spans="1:4" x14ac:dyDescent="0.25">
      <c r="A76" t="s">
        <v>31</v>
      </c>
      <c r="B76" t="s">
        <v>22</v>
      </c>
      <c r="C76">
        <v>8969</v>
      </c>
      <c r="D76" t="str">
        <f t="shared" si="1"/>
        <v>2015-55-59 år</v>
      </c>
    </row>
    <row r="77" spans="1:4" x14ac:dyDescent="0.25">
      <c r="A77" t="s">
        <v>31</v>
      </c>
      <c r="B77" t="s">
        <v>23</v>
      </c>
      <c r="C77">
        <v>5167</v>
      </c>
      <c r="D77" t="str">
        <f t="shared" si="1"/>
        <v>2015-60-64 år</v>
      </c>
    </row>
    <row r="78" spans="1:4" x14ac:dyDescent="0.25">
      <c r="A78" t="s">
        <v>31</v>
      </c>
      <c r="B78" t="s">
        <v>24</v>
      </c>
      <c r="C78">
        <v>1642</v>
      </c>
      <c r="D78" t="str">
        <f t="shared" si="1"/>
        <v>2015-65+ år</v>
      </c>
    </row>
    <row r="79" spans="1:4" x14ac:dyDescent="0.25">
      <c r="A79" t="s">
        <v>32</v>
      </c>
      <c r="B79" t="s">
        <v>16</v>
      </c>
      <c r="C79">
        <v>5701</v>
      </c>
      <c r="D79" t="str">
        <f t="shared" si="1"/>
        <v>2016-25-29 år</v>
      </c>
    </row>
    <row r="80" spans="1:4" x14ac:dyDescent="0.25">
      <c r="A80" t="s">
        <v>32</v>
      </c>
      <c r="B80" t="s">
        <v>17</v>
      </c>
      <c r="C80">
        <v>7831</v>
      </c>
      <c r="D80" t="str">
        <f t="shared" si="1"/>
        <v>2016-30-34 år</v>
      </c>
    </row>
    <row r="81" spans="1:4" x14ac:dyDescent="0.25">
      <c r="A81" t="s">
        <v>32</v>
      </c>
      <c r="B81" t="s">
        <v>18</v>
      </c>
      <c r="C81">
        <v>9564</v>
      </c>
      <c r="D81" t="str">
        <f t="shared" si="1"/>
        <v>2016-35-39 år</v>
      </c>
    </row>
    <row r="82" spans="1:4" x14ac:dyDescent="0.25">
      <c r="A82" t="s">
        <v>32</v>
      </c>
      <c r="B82" t="s">
        <v>19</v>
      </c>
      <c r="C82">
        <v>9711</v>
      </c>
      <c r="D82" t="str">
        <f t="shared" si="1"/>
        <v>2016-40-44 år</v>
      </c>
    </row>
    <row r="83" spans="1:4" x14ac:dyDescent="0.25">
      <c r="A83" t="s">
        <v>32</v>
      </c>
      <c r="B83" t="s">
        <v>20</v>
      </c>
      <c r="C83">
        <v>10533</v>
      </c>
      <c r="D83" t="str">
        <f t="shared" si="1"/>
        <v>2016-45-49 år</v>
      </c>
    </row>
    <row r="84" spans="1:4" x14ac:dyDescent="0.25">
      <c r="A84" t="s">
        <v>32</v>
      </c>
      <c r="B84" t="s">
        <v>21</v>
      </c>
      <c r="C84">
        <v>11490</v>
      </c>
      <c r="D84" t="str">
        <f t="shared" si="1"/>
        <v>2016-50-54 år</v>
      </c>
    </row>
    <row r="85" spans="1:4" x14ac:dyDescent="0.25">
      <c r="A85" t="s">
        <v>32</v>
      </c>
      <c r="B85" t="s">
        <v>22</v>
      </c>
      <c r="C85">
        <v>9121</v>
      </c>
      <c r="D85" t="str">
        <f t="shared" si="1"/>
        <v>2016-55-59 år</v>
      </c>
    </row>
    <row r="86" spans="1:4" x14ac:dyDescent="0.25">
      <c r="A86" t="s">
        <v>32</v>
      </c>
      <c r="B86" t="s">
        <v>23</v>
      </c>
      <c r="C86">
        <v>5304</v>
      </c>
      <c r="D86" t="str">
        <f t="shared" si="1"/>
        <v>2016-60-64 år</v>
      </c>
    </row>
    <row r="87" spans="1:4" x14ac:dyDescent="0.25">
      <c r="A87" t="s">
        <v>32</v>
      </c>
      <c r="B87" t="s">
        <v>24</v>
      </c>
      <c r="C87">
        <v>1680</v>
      </c>
      <c r="D87" t="str">
        <f t="shared" si="1"/>
        <v>2016-65+ år</v>
      </c>
    </row>
    <row r="88" spans="1:4" x14ac:dyDescent="0.25">
      <c r="A88" t="s">
        <v>33</v>
      </c>
      <c r="B88" t="s">
        <v>16</v>
      </c>
      <c r="C88">
        <v>5951</v>
      </c>
      <c r="D88" t="str">
        <f t="shared" si="1"/>
        <v>2017-25-29 år</v>
      </c>
    </row>
    <row r="89" spans="1:4" x14ac:dyDescent="0.25">
      <c r="A89" t="s">
        <v>33</v>
      </c>
      <c r="B89" t="s">
        <v>17</v>
      </c>
      <c r="C89">
        <v>8016</v>
      </c>
      <c r="D89" t="str">
        <f t="shared" si="1"/>
        <v>2017-30-34 år</v>
      </c>
    </row>
    <row r="90" spans="1:4" x14ac:dyDescent="0.25">
      <c r="A90" t="s">
        <v>33</v>
      </c>
      <c r="B90" t="s">
        <v>18</v>
      </c>
      <c r="C90">
        <v>9344</v>
      </c>
      <c r="D90" t="str">
        <f t="shared" si="1"/>
        <v>2017-35-39 år</v>
      </c>
    </row>
    <row r="91" spans="1:4" x14ac:dyDescent="0.25">
      <c r="A91" t="s">
        <v>33</v>
      </c>
      <c r="B91" t="s">
        <v>19</v>
      </c>
      <c r="C91">
        <v>9699</v>
      </c>
      <c r="D91" t="str">
        <f t="shared" si="1"/>
        <v>2017-40-44 år</v>
      </c>
    </row>
    <row r="92" spans="1:4" x14ac:dyDescent="0.25">
      <c r="A92" t="s">
        <v>33</v>
      </c>
      <c r="B92" t="s">
        <v>20</v>
      </c>
      <c r="C92">
        <v>9778</v>
      </c>
      <c r="D92" t="str">
        <f t="shared" si="1"/>
        <v>2017-45-49 år</v>
      </c>
    </row>
    <row r="93" spans="1:4" x14ac:dyDescent="0.25">
      <c r="A93" t="s">
        <v>33</v>
      </c>
      <c r="B93" t="s">
        <v>21</v>
      </c>
      <c r="C93">
        <v>11940</v>
      </c>
      <c r="D93" t="str">
        <f t="shared" si="1"/>
        <v>2017-50-54 år</v>
      </c>
    </row>
    <row r="94" spans="1:4" x14ac:dyDescent="0.25">
      <c r="A94" t="s">
        <v>33</v>
      </c>
      <c r="B94" t="s">
        <v>22</v>
      </c>
      <c r="C94">
        <v>9231</v>
      </c>
      <c r="D94" t="str">
        <f t="shared" si="1"/>
        <v>2017-55-59 år</v>
      </c>
    </row>
    <row r="95" spans="1:4" x14ac:dyDescent="0.25">
      <c r="A95" t="s">
        <v>33</v>
      </c>
      <c r="B95" t="s">
        <v>23</v>
      </c>
      <c r="C95">
        <v>5403</v>
      </c>
      <c r="D95" t="str">
        <f t="shared" si="1"/>
        <v>2017-60-64 år</v>
      </c>
    </row>
    <row r="96" spans="1:4" x14ac:dyDescent="0.25">
      <c r="A96" t="s">
        <v>33</v>
      </c>
      <c r="B96" t="s">
        <v>24</v>
      </c>
      <c r="C96">
        <v>1775</v>
      </c>
      <c r="D96" t="str">
        <f t="shared" si="1"/>
        <v>2017-65+ år</v>
      </c>
    </row>
    <row r="97" spans="1:4" x14ac:dyDescent="0.25">
      <c r="A97" t="s">
        <v>34</v>
      </c>
      <c r="B97" t="s">
        <v>16</v>
      </c>
      <c r="C97">
        <v>6353</v>
      </c>
      <c r="D97" t="str">
        <f t="shared" si="1"/>
        <v>2018-25-29 år</v>
      </c>
    </row>
    <row r="98" spans="1:4" x14ac:dyDescent="0.25">
      <c r="A98" t="s">
        <v>34</v>
      </c>
      <c r="B98" t="s">
        <v>17</v>
      </c>
      <c r="C98">
        <v>8276</v>
      </c>
      <c r="D98" t="str">
        <f t="shared" si="1"/>
        <v>2018-30-34 år</v>
      </c>
    </row>
    <row r="99" spans="1:4" x14ac:dyDescent="0.25">
      <c r="A99" t="s">
        <v>34</v>
      </c>
      <c r="B99" t="s">
        <v>18</v>
      </c>
      <c r="C99">
        <v>9245</v>
      </c>
      <c r="D99" t="str">
        <f t="shared" si="1"/>
        <v>2018-35-39 år</v>
      </c>
    </row>
    <row r="100" spans="1:4" x14ac:dyDescent="0.25">
      <c r="A100" t="s">
        <v>34</v>
      </c>
      <c r="B100" t="s">
        <v>19</v>
      </c>
      <c r="C100">
        <v>9937</v>
      </c>
      <c r="D100" t="str">
        <f t="shared" si="1"/>
        <v>2018-40-44 år</v>
      </c>
    </row>
    <row r="101" spans="1:4" x14ac:dyDescent="0.25">
      <c r="A101" t="s">
        <v>34</v>
      </c>
      <c r="B101" t="s">
        <v>20</v>
      </c>
      <c r="C101">
        <v>9488</v>
      </c>
      <c r="D101" t="str">
        <f t="shared" si="1"/>
        <v>2018-45-49 år</v>
      </c>
    </row>
    <row r="102" spans="1:4" x14ac:dyDescent="0.25">
      <c r="A102" t="s">
        <v>34</v>
      </c>
      <c r="B102" t="s">
        <v>21</v>
      </c>
      <c r="C102">
        <v>12171</v>
      </c>
      <c r="D102" t="str">
        <f t="shared" si="1"/>
        <v>2018-50-54 år</v>
      </c>
    </row>
    <row r="103" spans="1:4" x14ac:dyDescent="0.25">
      <c r="A103" t="s">
        <v>34</v>
      </c>
      <c r="B103" t="s">
        <v>22</v>
      </c>
      <c r="C103">
        <v>9537</v>
      </c>
      <c r="D103" t="str">
        <f t="shared" si="1"/>
        <v>2018-55-59 år</v>
      </c>
    </row>
    <row r="104" spans="1:4" x14ac:dyDescent="0.25">
      <c r="A104" t="s">
        <v>34</v>
      </c>
      <c r="B104" t="s">
        <v>23</v>
      </c>
      <c r="C104">
        <v>5638</v>
      </c>
      <c r="D104" t="str">
        <f t="shared" si="1"/>
        <v>2018-60-64 år</v>
      </c>
    </row>
    <row r="105" spans="1:4" x14ac:dyDescent="0.25">
      <c r="A105" t="s">
        <v>34</v>
      </c>
      <c r="B105" t="s">
        <v>24</v>
      </c>
      <c r="C105">
        <v>1897</v>
      </c>
      <c r="D105" t="str">
        <f t="shared" si="1"/>
        <v>2018-65+ år</v>
      </c>
    </row>
    <row r="106" spans="1:4" x14ac:dyDescent="0.25">
      <c r="A106" t="s">
        <v>35</v>
      </c>
      <c r="B106" t="s">
        <v>16</v>
      </c>
      <c r="C106">
        <v>6883</v>
      </c>
      <c r="D106" t="str">
        <f t="shared" si="1"/>
        <v>2019-25-29 år</v>
      </c>
    </row>
    <row r="107" spans="1:4" x14ac:dyDescent="0.25">
      <c r="A107" t="s">
        <v>35</v>
      </c>
      <c r="B107" t="s">
        <v>17</v>
      </c>
      <c r="C107">
        <v>8461</v>
      </c>
      <c r="D107" t="str">
        <f t="shared" si="1"/>
        <v>2019-30-34 år</v>
      </c>
    </row>
    <row r="108" spans="1:4" x14ac:dyDescent="0.25">
      <c r="A108" t="s">
        <v>35</v>
      </c>
      <c r="B108" t="s">
        <v>18</v>
      </c>
      <c r="C108">
        <v>9057</v>
      </c>
      <c r="D108" t="str">
        <f t="shared" si="1"/>
        <v>2019-35-39 år</v>
      </c>
    </row>
    <row r="109" spans="1:4" x14ac:dyDescent="0.25">
      <c r="A109" t="s">
        <v>35</v>
      </c>
      <c r="B109" t="s">
        <v>19</v>
      </c>
      <c r="C109">
        <v>10158</v>
      </c>
      <c r="D109" t="str">
        <f t="shared" si="1"/>
        <v>2019-40-44 år</v>
      </c>
    </row>
    <row r="110" spans="1:4" x14ac:dyDescent="0.25">
      <c r="A110" t="s">
        <v>35</v>
      </c>
      <c r="B110" t="s">
        <v>20</v>
      </c>
      <c r="C110">
        <v>9482</v>
      </c>
      <c r="D110" t="str">
        <f t="shared" si="1"/>
        <v>2019-45-49 år</v>
      </c>
    </row>
    <row r="111" spans="1:4" x14ac:dyDescent="0.25">
      <c r="A111" t="s">
        <v>35</v>
      </c>
      <c r="B111" t="s">
        <v>21</v>
      </c>
      <c r="C111">
        <v>11866</v>
      </c>
      <c r="D111" t="str">
        <f t="shared" si="1"/>
        <v>2019-50-54 år</v>
      </c>
    </row>
    <row r="112" spans="1:4" x14ac:dyDescent="0.25">
      <c r="A112" t="s">
        <v>35</v>
      </c>
      <c r="B112" t="s">
        <v>22</v>
      </c>
      <c r="C112">
        <v>9811</v>
      </c>
      <c r="D112" t="str">
        <f t="shared" si="1"/>
        <v>2019-55-59 år</v>
      </c>
    </row>
    <row r="113" spans="1:4" x14ac:dyDescent="0.25">
      <c r="A113" t="s">
        <v>35</v>
      </c>
      <c r="B113" t="s">
        <v>23</v>
      </c>
      <c r="C113">
        <v>5907</v>
      </c>
      <c r="D113" t="str">
        <f t="shared" si="1"/>
        <v>2019-60-64 år</v>
      </c>
    </row>
    <row r="114" spans="1:4" x14ac:dyDescent="0.25">
      <c r="A114" t="s">
        <v>35</v>
      </c>
      <c r="B114" t="s">
        <v>24</v>
      </c>
      <c r="C114">
        <v>2030</v>
      </c>
      <c r="D114" t="str">
        <f t="shared" si="1"/>
        <v>2019-65+ år</v>
      </c>
    </row>
    <row r="115" spans="1:4" x14ac:dyDescent="0.25">
      <c r="A115" t="s">
        <v>36</v>
      </c>
      <c r="B115" t="s">
        <v>16</v>
      </c>
      <c r="C115">
        <v>7337</v>
      </c>
      <c r="D115" t="str">
        <f t="shared" si="1"/>
        <v>2020-25-29 år</v>
      </c>
    </row>
    <row r="116" spans="1:4" x14ac:dyDescent="0.25">
      <c r="A116" t="s">
        <v>36</v>
      </c>
      <c r="B116" t="s">
        <v>17</v>
      </c>
      <c r="C116">
        <v>8658</v>
      </c>
      <c r="D116" t="str">
        <f t="shared" si="1"/>
        <v>2020-30-34 år</v>
      </c>
    </row>
    <row r="117" spans="1:4" x14ac:dyDescent="0.25">
      <c r="A117" t="s">
        <v>36</v>
      </c>
      <c r="B117" t="s">
        <v>18</v>
      </c>
      <c r="C117">
        <v>8798</v>
      </c>
      <c r="D117" t="str">
        <f t="shared" si="1"/>
        <v>2020-35-39 år</v>
      </c>
    </row>
    <row r="118" spans="1:4" x14ac:dyDescent="0.25">
      <c r="A118" t="s">
        <v>36</v>
      </c>
      <c r="B118" t="s">
        <v>19</v>
      </c>
      <c r="C118">
        <v>10129</v>
      </c>
      <c r="D118" t="str">
        <f t="shared" si="1"/>
        <v>2020-40-44 år</v>
      </c>
    </row>
    <row r="119" spans="1:4" x14ac:dyDescent="0.25">
      <c r="A119" t="s">
        <v>36</v>
      </c>
      <c r="B119" t="s">
        <v>20</v>
      </c>
      <c r="C119">
        <v>9740</v>
      </c>
      <c r="D119" t="str">
        <f t="shared" si="1"/>
        <v>2020-45-49 år</v>
      </c>
    </row>
    <row r="120" spans="1:4" x14ac:dyDescent="0.25">
      <c r="A120" t="s">
        <v>36</v>
      </c>
      <c r="B120" t="s">
        <v>21</v>
      </c>
      <c r="C120">
        <v>11187</v>
      </c>
      <c r="D120" t="str">
        <f t="shared" si="1"/>
        <v>2020-50-54 år</v>
      </c>
    </row>
    <row r="121" spans="1:4" x14ac:dyDescent="0.25">
      <c r="A121" t="s">
        <v>36</v>
      </c>
      <c r="B121" t="s">
        <v>22</v>
      </c>
      <c r="C121">
        <v>10215</v>
      </c>
      <c r="D121" t="str">
        <f t="shared" si="1"/>
        <v>2020-55-59 år</v>
      </c>
    </row>
    <row r="122" spans="1:4" x14ac:dyDescent="0.25">
      <c r="A122" t="s">
        <v>36</v>
      </c>
      <c r="B122" t="s">
        <v>23</v>
      </c>
      <c r="C122">
        <v>6305</v>
      </c>
      <c r="D122" t="str">
        <f t="shared" si="1"/>
        <v>2020-60-64 år</v>
      </c>
    </row>
    <row r="123" spans="1:4" x14ac:dyDescent="0.25">
      <c r="A123" t="s">
        <v>36</v>
      </c>
      <c r="B123" t="s">
        <v>24</v>
      </c>
      <c r="C123">
        <v>2231</v>
      </c>
      <c r="D123" t="str">
        <f t="shared" si="1"/>
        <v>2020-65+ år</v>
      </c>
    </row>
    <row r="124" spans="1:4" x14ac:dyDescent="0.25">
      <c r="A124" t="s">
        <v>37</v>
      </c>
      <c r="B124" t="s">
        <v>16</v>
      </c>
      <c r="C124">
        <v>7687</v>
      </c>
      <c r="D124" t="str">
        <f t="shared" si="1"/>
        <v>2021-25-29 år</v>
      </c>
    </row>
    <row r="125" spans="1:4" x14ac:dyDescent="0.25">
      <c r="A125" t="s">
        <v>37</v>
      </c>
      <c r="B125" t="s">
        <v>17</v>
      </c>
      <c r="C125">
        <v>8844</v>
      </c>
      <c r="D125" t="str">
        <f t="shared" si="1"/>
        <v>2021-30-34 år</v>
      </c>
    </row>
    <row r="126" spans="1:4" x14ac:dyDescent="0.25">
      <c r="A126" t="s">
        <v>37</v>
      </c>
      <c r="B126" t="s">
        <v>18</v>
      </c>
      <c r="C126">
        <v>8987</v>
      </c>
      <c r="D126" t="str">
        <f t="shared" si="1"/>
        <v>2021-35-39 år</v>
      </c>
    </row>
    <row r="127" spans="1:4" x14ac:dyDescent="0.25">
      <c r="A127" t="s">
        <v>37</v>
      </c>
      <c r="B127" t="s">
        <v>19</v>
      </c>
      <c r="C127">
        <v>10002</v>
      </c>
      <c r="D127" t="str">
        <f t="shared" si="1"/>
        <v>2021-40-44 år</v>
      </c>
    </row>
    <row r="128" spans="1:4" x14ac:dyDescent="0.25">
      <c r="A128" t="s">
        <v>37</v>
      </c>
      <c r="B128" t="s">
        <v>20</v>
      </c>
      <c r="C128">
        <v>10036</v>
      </c>
      <c r="D128" t="str">
        <f t="shared" si="1"/>
        <v>2021-45-49 år</v>
      </c>
    </row>
    <row r="129" spans="1:4" x14ac:dyDescent="0.25">
      <c r="A129" t="s">
        <v>37</v>
      </c>
      <c r="B129" t="s">
        <v>21</v>
      </c>
      <c r="C129">
        <v>10467</v>
      </c>
      <c r="D129" t="str">
        <f t="shared" si="1"/>
        <v>2021-50-54 år</v>
      </c>
    </row>
    <row r="130" spans="1:4" x14ac:dyDescent="0.25">
      <c r="A130" t="s">
        <v>37</v>
      </c>
      <c r="B130" t="s">
        <v>22</v>
      </c>
      <c r="C130">
        <v>10749</v>
      </c>
      <c r="D130" t="str">
        <f t="shared" si="1"/>
        <v>2021-55-59 år</v>
      </c>
    </row>
    <row r="131" spans="1:4" x14ac:dyDescent="0.25">
      <c r="A131" t="s">
        <v>37</v>
      </c>
      <c r="B131" t="s">
        <v>23</v>
      </c>
      <c r="C131">
        <v>6688</v>
      </c>
      <c r="D131" t="str">
        <f t="shared" si="1"/>
        <v>2021-60-64 år</v>
      </c>
    </row>
    <row r="132" spans="1:4" x14ac:dyDescent="0.25">
      <c r="A132" t="s">
        <v>37</v>
      </c>
      <c r="B132" t="s">
        <v>24</v>
      </c>
      <c r="C132">
        <v>2522</v>
      </c>
      <c r="D132" t="str">
        <f t="shared" si="1"/>
        <v>2021-65+ år</v>
      </c>
    </row>
    <row r="133" spans="1:4" x14ac:dyDescent="0.25">
      <c r="A133" t="s">
        <v>38</v>
      </c>
      <c r="B133" t="s">
        <v>16</v>
      </c>
      <c r="C133">
        <v>8107</v>
      </c>
      <c r="D133" t="str">
        <f t="shared" si="1"/>
        <v>2022-25-29 år</v>
      </c>
    </row>
    <row r="134" spans="1:4" x14ac:dyDescent="0.25">
      <c r="A134" t="s">
        <v>38</v>
      </c>
      <c r="B134" t="s">
        <v>17</v>
      </c>
      <c r="C134">
        <v>9307</v>
      </c>
      <c r="D134" t="str">
        <f t="shared" si="1"/>
        <v>2022-30-34 år</v>
      </c>
    </row>
    <row r="135" spans="1:4" x14ac:dyDescent="0.25">
      <c r="A135" t="s">
        <v>38</v>
      </c>
      <c r="B135" t="s">
        <v>18</v>
      </c>
      <c r="C135">
        <v>9287</v>
      </c>
      <c r="D135" t="str">
        <f t="shared" ref="D135:D158" si="2">A135&amp;"-"&amp;B135</f>
        <v>2022-35-39 år</v>
      </c>
    </row>
    <row r="136" spans="1:4" x14ac:dyDescent="0.25">
      <c r="A136" t="s">
        <v>38</v>
      </c>
      <c r="B136" t="s">
        <v>19</v>
      </c>
      <c r="C136">
        <v>9808</v>
      </c>
      <c r="D136" t="str">
        <f t="shared" si="2"/>
        <v>2022-40-44 år</v>
      </c>
    </row>
    <row r="137" spans="1:4" x14ac:dyDescent="0.25">
      <c r="A137" t="s">
        <v>38</v>
      </c>
      <c r="B137" t="s">
        <v>20</v>
      </c>
      <c r="C137">
        <v>10063</v>
      </c>
      <c r="D137" t="str">
        <f t="shared" si="2"/>
        <v>2022-45-49 år</v>
      </c>
    </row>
    <row r="138" spans="1:4" x14ac:dyDescent="0.25">
      <c r="A138" t="s">
        <v>38</v>
      </c>
      <c r="B138" t="s">
        <v>21</v>
      </c>
      <c r="C138">
        <v>9799</v>
      </c>
      <c r="D138" t="str">
        <f t="shared" si="2"/>
        <v>2022-50-54 år</v>
      </c>
    </row>
    <row r="139" spans="1:4" x14ac:dyDescent="0.25">
      <c r="A139" t="s">
        <v>38</v>
      </c>
      <c r="B139" t="s">
        <v>22</v>
      </c>
      <c r="C139">
        <v>11340</v>
      </c>
      <c r="D139" t="str">
        <f t="shared" si="2"/>
        <v>2022-55-59 år</v>
      </c>
    </row>
    <row r="140" spans="1:4" x14ac:dyDescent="0.25">
      <c r="A140" t="s">
        <v>38</v>
      </c>
      <c r="B140" t="s">
        <v>23</v>
      </c>
      <c r="C140">
        <v>6943</v>
      </c>
      <c r="D140" t="str">
        <f t="shared" si="2"/>
        <v>2022-60-64 år</v>
      </c>
    </row>
    <row r="141" spans="1:4" x14ac:dyDescent="0.25">
      <c r="A141" t="s">
        <v>38</v>
      </c>
      <c r="B141" t="s">
        <v>24</v>
      </c>
      <c r="C141">
        <v>2779</v>
      </c>
      <c r="D141" t="str">
        <f t="shared" si="2"/>
        <v>2022-65+ år</v>
      </c>
    </row>
    <row r="142" spans="1:4" x14ac:dyDescent="0.25">
      <c r="A142" t="s">
        <v>39</v>
      </c>
      <c r="B142" t="s">
        <v>16</v>
      </c>
      <c r="C142">
        <v>8433</v>
      </c>
      <c r="D142" t="str">
        <f t="shared" si="2"/>
        <v>2023-25-29 år</v>
      </c>
    </row>
    <row r="143" spans="1:4" x14ac:dyDescent="0.25">
      <c r="A143" t="s">
        <v>39</v>
      </c>
      <c r="B143" t="s">
        <v>17</v>
      </c>
      <c r="C143">
        <v>9786</v>
      </c>
      <c r="D143" t="str">
        <f t="shared" si="2"/>
        <v>2023-30-34 år</v>
      </c>
    </row>
    <row r="144" spans="1:4" x14ac:dyDescent="0.25">
      <c r="A144" t="s">
        <v>39</v>
      </c>
      <c r="B144" t="s">
        <v>18</v>
      </c>
      <c r="C144">
        <v>9648</v>
      </c>
      <c r="D144" t="str">
        <f t="shared" si="2"/>
        <v>2023-35-39 år</v>
      </c>
    </row>
    <row r="145" spans="1:4" x14ac:dyDescent="0.25">
      <c r="A145" t="s">
        <v>39</v>
      </c>
      <c r="B145" t="s">
        <v>19</v>
      </c>
      <c r="C145">
        <v>9770</v>
      </c>
      <c r="D145" t="str">
        <f t="shared" si="2"/>
        <v>2023-40-44 år</v>
      </c>
    </row>
    <row r="146" spans="1:4" x14ac:dyDescent="0.25">
      <c r="A146" t="s">
        <v>39</v>
      </c>
      <c r="B146" t="s">
        <v>20</v>
      </c>
      <c r="C146">
        <v>10262</v>
      </c>
      <c r="D146" t="str">
        <f t="shared" si="2"/>
        <v>2023-45-49 år</v>
      </c>
    </row>
    <row r="147" spans="1:4" x14ac:dyDescent="0.25">
      <c r="A147" t="s">
        <v>39</v>
      </c>
      <c r="B147" t="s">
        <v>21</v>
      </c>
      <c r="C147">
        <v>9513</v>
      </c>
      <c r="D147" t="str">
        <f t="shared" si="2"/>
        <v>2023-50-54 år</v>
      </c>
    </row>
    <row r="148" spans="1:4" x14ac:dyDescent="0.25">
      <c r="A148" t="s">
        <v>39</v>
      </c>
      <c r="B148" t="s">
        <v>22</v>
      </c>
      <c r="C148">
        <v>11614</v>
      </c>
      <c r="D148" t="str">
        <f t="shared" si="2"/>
        <v>2023-55-59 år</v>
      </c>
    </row>
    <row r="149" spans="1:4" x14ac:dyDescent="0.25">
      <c r="A149" t="s">
        <v>39</v>
      </c>
      <c r="B149" t="s">
        <v>23</v>
      </c>
      <c r="C149">
        <v>7443</v>
      </c>
      <c r="D149" t="str">
        <f t="shared" si="2"/>
        <v>2023-60-64 år</v>
      </c>
    </row>
    <row r="150" spans="1:4" x14ac:dyDescent="0.25">
      <c r="A150" t="s">
        <v>39</v>
      </c>
      <c r="B150" t="s">
        <v>24</v>
      </c>
      <c r="C150">
        <v>3139</v>
      </c>
      <c r="D150" t="str">
        <f t="shared" si="2"/>
        <v>2023-65+ år</v>
      </c>
    </row>
    <row r="151" spans="1:4" x14ac:dyDescent="0.25">
      <c r="A151" t="s">
        <v>40</v>
      </c>
      <c r="B151" t="s">
        <v>16</v>
      </c>
      <c r="C151">
        <v>8560</v>
      </c>
      <c r="D151" t="str">
        <f t="shared" si="2"/>
        <v>2024-25-29 år</v>
      </c>
    </row>
    <row r="152" spans="1:4" x14ac:dyDescent="0.25">
      <c r="A152" t="s">
        <v>40</v>
      </c>
      <c r="B152" t="s">
        <v>17</v>
      </c>
      <c r="C152">
        <v>10150</v>
      </c>
      <c r="D152" t="str">
        <f t="shared" si="2"/>
        <v>2024-30-34 år</v>
      </c>
    </row>
    <row r="153" spans="1:4" x14ac:dyDescent="0.25">
      <c r="A153" t="s">
        <v>40</v>
      </c>
      <c r="B153" t="s">
        <v>18</v>
      </c>
      <c r="C153">
        <v>9885</v>
      </c>
      <c r="D153" t="str">
        <f t="shared" si="2"/>
        <v>2024-35-39 år</v>
      </c>
    </row>
    <row r="154" spans="1:4" x14ac:dyDescent="0.25">
      <c r="A154" t="s">
        <v>40</v>
      </c>
      <c r="B154" t="s">
        <v>19</v>
      </c>
      <c r="C154">
        <v>9594</v>
      </c>
      <c r="D154" t="str">
        <f t="shared" si="2"/>
        <v>2024-40-44 år</v>
      </c>
    </row>
    <row r="155" spans="1:4" x14ac:dyDescent="0.25">
      <c r="A155" t="s">
        <v>40</v>
      </c>
      <c r="B155" t="s">
        <v>20</v>
      </c>
      <c r="C155">
        <v>10483</v>
      </c>
      <c r="D155" t="str">
        <f t="shared" si="2"/>
        <v>2024-45-49 år</v>
      </c>
    </row>
    <row r="156" spans="1:4" x14ac:dyDescent="0.25">
      <c r="A156" t="s">
        <v>40</v>
      </c>
      <c r="B156" t="s">
        <v>21</v>
      </c>
      <c r="C156">
        <v>9604</v>
      </c>
      <c r="D156" t="str">
        <f t="shared" si="2"/>
        <v>2024-50-54 år</v>
      </c>
    </row>
    <row r="157" spans="1:4" x14ac:dyDescent="0.25">
      <c r="A157" t="s">
        <v>40</v>
      </c>
      <c r="B157" t="s">
        <v>22</v>
      </c>
      <c r="C157">
        <v>11402</v>
      </c>
      <c r="D157" t="str">
        <f t="shared" si="2"/>
        <v>2024-55-59 år</v>
      </c>
    </row>
    <row r="158" spans="1:4" x14ac:dyDescent="0.25">
      <c r="A158" t="s">
        <v>40</v>
      </c>
      <c r="B158" t="s">
        <v>23</v>
      </c>
      <c r="C158">
        <v>7871</v>
      </c>
      <c r="D158" t="str">
        <f t="shared" si="2"/>
        <v>2024-60-64 år</v>
      </c>
    </row>
    <row r="159" spans="1:4" x14ac:dyDescent="0.25">
      <c r="A159" t="s">
        <v>40</v>
      </c>
      <c r="B159" t="s">
        <v>24</v>
      </c>
      <c r="C159">
        <v>3573</v>
      </c>
      <c r="D159" t="str">
        <f>A159&amp;"-"&amp;B159</f>
        <v>2024-65+ år</v>
      </c>
    </row>
    <row r="162" spans="1:1" x14ac:dyDescent="0.25">
      <c r="A162" t="s">
        <v>41</v>
      </c>
    </row>
    <row r="163" spans="1:1" x14ac:dyDescent="0.25">
      <c r="A163" t="s">
        <v>42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4F9C8-6D12-4BCB-A3D1-086DAA0F4CF8}">
  <sheetPr>
    <tabColor theme="9" tint="0.79998168889431442"/>
  </sheetPr>
  <dimension ref="A1:D146"/>
  <sheetViews>
    <sheetView showGridLines="0" topLeftCell="A4" zoomScaleNormal="100" workbookViewId="0"/>
  </sheetViews>
  <sheetFormatPr defaultRowHeight="15" x14ac:dyDescent="0.25"/>
  <cols>
    <col min="2" max="2" width="13" customWidth="1"/>
    <col min="3" max="3" width="31" customWidth="1"/>
  </cols>
  <sheetData>
    <row r="1" spans="1:4" x14ac:dyDescent="0.25">
      <c r="A1" t="s">
        <v>43</v>
      </c>
    </row>
    <row r="2" spans="1:4" x14ac:dyDescent="0.25">
      <c r="C2" t="s">
        <v>10</v>
      </c>
    </row>
    <row r="3" spans="1:4" x14ac:dyDescent="0.25">
      <c r="C3" t="s">
        <v>44</v>
      </c>
    </row>
    <row r="4" spans="1:4" x14ac:dyDescent="0.25">
      <c r="C4" t="s">
        <v>11</v>
      </c>
    </row>
    <row r="5" spans="1:4" x14ac:dyDescent="0.25">
      <c r="C5" t="s">
        <v>12</v>
      </c>
    </row>
    <row r="6" spans="1:4" x14ac:dyDescent="0.25">
      <c r="C6" t="s">
        <v>13</v>
      </c>
    </row>
    <row r="7" spans="1:4" x14ac:dyDescent="0.25">
      <c r="C7" t="s">
        <v>45</v>
      </c>
    </row>
    <row r="8" spans="1:4" x14ac:dyDescent="0.25">
      <c r="A8" t="s">
        <v>25</v>
      </c>
      <c r="B8" t="s">
        <v>16</v>
      </c>
      <c r="C8">
        <v>3410</v>
      </c>
      <c r="D8" t="str">
        <f t="shared" ref="D8:D71" si="0">A8&amp;"-"&amp;B8</f>
        <v>2009-25-29 år</v>
      </c>
    </row>
    <row r="9" spans="1:4" x14ac:dyDescent="0.25">
      <c r="A9" t="s">
        <v>25</v>
      </c>
      <c r="B9" t="s">
        <v>17</v>
      </c>
      <c r="C9">
        <v>3525</v>
      </c>
      <c r="D9" t="str">
        <f t="shared" si="0"/>
        <v>2009-30-34 år</v>
      </c>
    </row>
    <row r="10" spans="1:4" x14ac:dyDescent="0.25">
      <c r="A10" t="s">
        <v>25</v>
      </c>
      <c r="B10" t="s">
        <v>18</v>
      </c>
      <c r="C10">
        <v>3090</v>
      </c>
      <c r="D10" t="str">
        <f t="shared" si="0"/>
        <v>2009-35-39 år</v>
      </c>
    </row>
    <row r="11" spans="1:4" x14ac:dyDescent="0.25">
      <c r="A11" t="s">
        <v>25</v>
      </c>
      <c r="B11" t="s">
        <v>19</v>
      </c>
      <c r="C11">
        <v>4180</v>
      </c>
      <c r="D11" t="str">
        <f t="shared" si="0"/>
        <v>2009-40-44 år</v>
      </c>
    </row>
    <row r="12" spans="1:4" x14ac:dyDescent="0.25">
      <c r="A12" t="s">
        <v>25</v>
      </c>
      <c r="B12" t="s">
        <v>20</v>
      </c>
      <c r="C12">
        <v>3533</v>
      </c>
      <c r="D12" t="str">
        <f t="shared" si="0"/>
        <v>2009-45-49 år</v>
      </c>
    </row>
    <row r="13" spans="1:4" x14ac:dyDescent="0.25">
      <c r="A13" t="s">
        <v>25</v>
      </c>
      <c r="B13" t="s">
        <v>21</v>
      </c>
      <c r="C13">
        <v>2940</v>
      </c>
      <c r="D13" t="str">
        <f t="shared" si="0"/>
        <v>2009-50-54 år</v>
      </c>
    </row>
    <row r="14" spans="1:4" x14ac:dyDescent="0.25">
      <c r="A14" t="s">
        <v>25</v>
      </c>
      <c r="B14" t="s">
        <v>22</v>
      </c>
      <c r="C14">
        <v>2419</v>
      </c>
      <c r="D14" t="str">
        <f t="shared" si="0"/>
        <v>2009-55-59 år</v>
      </c>
    </row>
    <row r="15" spans="1:4" x14ac:dyDescent="0.25">
      <c r="A15" t="s">
        <v>25</v>
      </c>
      <c r="B15" t="s">
        <v>23</v>
      </c>
      <c r="C15">
        <v>1263</v>
      </c>
      <c r="D15" t="str">
        <f t="shared" si="0"/>
        <v>2009-60-64 år</v>
      </c>
    </row>
    <row r="16" spans="1:4" x14ac:dyDescent="0.25">
      <c r="A16" t="s">
        <v>25</v>
      </c>
      <c r="B16" t="s">
        <v>46</v>
      </c>
      <c r="C16">
        <v>196</v>
      </c>
      <c r="D16" t="str">
        <f t="shared" si="0"/>
        <v>2009-65-69 år</v>
      </c>
    </row>
    <row r="17" spans="1:4" x14ac:dyDescent="0.25">
      <c r="A17" t="s">
        <v>26</v>
      </c>
      <c r="B17" t="s">
        <v>16</v>
      </c>
      <c r="C17">
        <v>2457</v>
      </c>
      <c r="D17" t="str">
        <f t="shared" si="0"/>
        <v>2010-25-29 år</v>
      </c>
    </row>
    <row r="18" spans="1:4" x14ac:dyDescent="0.25">
      <c r="A18" t="s">
        <v>26</v>
      </c>
      <c r="B18" t="s">
        <v>17</v>
      </c>
      <c r="C18">
        <v>2382</v>
      </c>
      <c r="D18" t="str">
        <f t="shared" si="0"/>
        <v>2010-30-34 år</v>
      </c>
    </row>
    <row r="19" spans="1:4" x14ac:dyDescent="0.25">
      <c r="A19" t="s">
        <v>26</v>
      </c>
      <c r="B19" t="s">
        <v>18</v>
      </c>
      <c r="C19">
        <v>1880</v>
      </c>
      <c r="D19" t="str">
        <f t="shared" si="0"/>
        <v>2010-35-39 år</v>
      </c>
    </row>
    <row r="20" spans="1:4" x14ac:dyDescent="0.25">
      <c r="A20" t="s">
        <v>26</v>
      </c>
      <c r="B20" t="s">
        <v>19</v>
      </c>
      <c r="C20">
        <v>2045</v>
      </c>
      <c r="D20" t="str">
        <f t="shared" si="0"/>
        <v>2010-40-44 år</v>
      </c>
    </row>
    <row r="21" spans="1:4" x14ac:dyDescent="0.25">
      <c r="A21" t="s">
        <v>26</v>
      </c>
      <c r="B21" t="s">
        <v>20</v>
      </c>
      <c r="C21">
        <v>1826</v>
      </c>
      <c r="D21" t="str">
        <f t="shared" si="0"/>
        <v>2010-45-49 år</v>
      </c>
    </row>
    <row r="22" spans="1:4" x14ac:dyDescent="0.25">
      <c r="A22" t="s">
        <v>26</v>
      </c>
      <c r="B22" t="s">
        <v>21</v>
      </c>
      <c r="C22">
        <v>1417</v>
      </c>
      <c r="D22" t="str">
        <f t="shared" si="0"/>
        <v>2010-50-54 år</v>
      </c>
    </row>
    <row r="23" spans="1:4" x14ac:dyDescent="0.25">
      <c r="A23" t="s">
        <v>26</v>
      </c>
      <c r="B23" t="s">
        <v>22</v>
      </c>
      <c r="C23">
        <v>1229</v>
      </c>
      <c r="D23" t="str">
        <f t="shared" si="0"/>
        <v>2010-55-59 år</v>
      </c>
    </row>
    <row r="24" spans="1:4" x14ac:dyDescent="0.25">
      <c r="A24" t="s">
        <v>26</v>
      </c>
      <c r="B24" t="s">
        <v>23</v>
      </c>
      <c r="C24">
        <v>712</v>
      </c>
      <c r="D24" t="str">
        <f t="shared" si="0"/>
        <v>2010-60-64 år</v>
      </c>
    </row>
    <row r="25" spans="1:4" x14ac:dyDescent="0.25">
      <c r="A25" t="s">
        <v>26</v>
      </c>
      <c r="B25" t="s">
        <v>46</v>
      </c>
      <c r="C25">
        <v>220</v>
      </c>
      <c r="D25" t="str">
        <f t="shared" si="0"/>
        <v>2010-65-69 år</v>
      </c>
    </row>
    <row r="26" spans="1:4" x14ac:dyDescent="0.25">
      <c r="A26" t="s">
        <v>27</v>
      </c>
      <c r="B26" t="s">
        <v>16</v>
      </c>
      <c r="C26">
        <v>2791</v>
      </c>
      <c r="D26" t="str">
        <f t="shared" si="0"/>
        <v>2011-25-29 år</v>
      </c>
    </row>
    <row r="27" spans="1:4" x14ac:dyDescent="0.25">
      <c r="A27" t="s">
        <v>27</v>
      </c>
      <c r="B27" t="s">
        <v>17</v>
      </c>
      <c r="C27">
        <v>2600</v>
      </c>
      <c r="D27" t="str">
        <f t="shared" si="0"/>
        <v>2011-30-34 år</v>
      </c>
    </row>
    <row r="28" spans="1:4" x14ac:dyDescent="0.25">
      <c r="A28" t="s">
        <v>27</v>
      </c>
      <c r="B28" t="s">
        <v>18</v>
      </c>
      <c r="C28">
        <v>2164</v>
      </c>
      <c r="D28" t="str">
        <f t="shared" si="0"/>
        <v>2011-35-39 år</v>
      </c>
    </row>
    <row r="29" spans="1:4" x14ac:dyDescent="0.25">
      <c r="A29" t="s">
        <v>27</v>
      </c>
      <c r="B29" t="s">
        <v>19</v>
      </c>
      <c r="C29">
        <v>2134</v>
      </c>
      <c r="D29" t="str">
        <f t="shared" si="0"/>
        <v>2011-40-44 år</v>
      </c>
    </row>
    <row r="30" spans="1:4" x14ac:dyDescent="0.25">
      <c r="A30" t="s">
        <v>27</v>
      </c>
      <c r="B30" t="s">
        <v>20</v>
      </c>
      <c r="C30">
        <v>2030</v>
      </c>
      <c r="D30" t="str">
        <f t="shared" si="0"/>
        <v>2011-45-49 år</v>
      </c>
    </row>
    <row r="31" spans="1:4" x14ac:dyDescent="0.25">
      <c r="A31" t="s">
        <v>27</v>
      </c>
      <c r="B31" t="s">
        <v>21</v>
      </c>
      <c r="C31">
        <v>1660</v>
      </c>
      <c r="D31" t="str">
        <f t="shared" si="0"/>
        <v>2011-50-54 år</v>
      </c>
    </row>
    <row r="32" spans="1:4" x14ac:dyDescent="0.25">
      <c r="A32" t="s">
        <v>27</v>
      </c>
      <c r="B32" t="s">
        <v>22</v>
      </c>
      <c r="C32">
        <v>1415</v>
      </c>
      <c r="D32" t="str">
        <f t="shared" si="0"/>
        <v>2011-55-59 år</v>
      </c>
    </row>
    <row r="33" spans="1:4" x14ac:dyDescent="0.25">
      <c r="A33" t="s">
        <v>27</v>
      </c>
      <c r="B33" t="s">
        <v>23</v>
      </c>
      <c r="C33">
        <v>726</v>
      </c>
      <c r="D33" t="str">
        <f t="shared" si="0"/>
        <v>2011-60-64 år</v>
      </c>
    </row>
    <row r="34" spans="1:4" x14ac:dyDescent="0.25">
      <c r="A34" t="s">
        <v>27</v>
      </c>
      <c r="B34" t="s">
        <v>46</v>
      </c>
      <c r="C34">
        <v>197</v>
      </c>
      <c r="D34" t="str">
        <f t="shared" si="0"/>
        <v>2011-65-69 år</v>
      </c>
    </row>
    <row r="35" spans="1:4" x14ac:dyDescent="0.25">
      <c r="A35" t="s">
        <v>28</v>
      </c>
      <c r="B35" t="s">
        <v>16</v>
      </c>
      <c r="C35">
        <v>2457</v>
      </c>
      <c r="D35" t="str">
        <f t="shared" si="0"/>
        <v>2012-25-29 år</v>
      </c>
    </row>
    <row r="36" spans="1:4" x14ac:dyDescent="0.25">
      <c r="A36" t="s">
        <v>28</v>
      </c>
      <c r="B36" t="s">
        <v>17</v>
      </c>
      <c r="C36">
        <v>2116</v>
      </c>
      <c r="D36" t="str">
        <f t="shared" si="0"/>
        <v>2012-30-34 år</v>
      </c>
    </row>
    <row r="37" spans="1:4" x14ac:dyDescent="0.25">
      <c r="A37" t="s">
        <v>28</v>
      </c>
      <c r="B37" t="s">
        <v>18</v>
      </c>
      <c r="C37">
        <v>1935</v>
      </c>
      <c r="D37" t="str">
        <f t="shared" si="0"/>
        <v>2012-35-39 år</v>
      </c>
    </row>
    <row r="38" spans="1:4" x14ac:dyDescent="0.25">
      <c r="A38" t="s">
        <v>28</v>
      </c>
      <c r="B38" t="s">
        <v>19</v>
      </c>
      <c r="C38">
        <v>1734</v>
      </c>
      <c r="D38" t="str">
        <f t="shared" si="0"/>
        <v>2012-40-44 år</v>
      </c>
    </row>
    <row r="39" spans="1:4" x14ac:dyDescent="0.25">
      <c r="A39" t="s">
        <v>28</v>
      </c>
      <c r="B39" t="s">
        <v>20</v>
      </c>
      <c r="C39">
        <v>1913</v>
      </c>
      <c r="D39" t="str">
        <f t="shared" si="0"/>
        <v>2012-45-49 år</v>
      </c>
    </row>
    <row r="40" spans="1:4" x14ac:dyDescent="0.25">
      <c r="A40" t="s">
        <v>28</v>
      </c>
      <c r="B40" t="s">
        <v>21</v>
      </c>
      <c r="C40">
        <v>1465</v>
      </c>
      <c r="D40" t="str">
        <f t="shared" si="0"/>
        <v>2012-50-54 år</v>
      </c>
    </row>
    <row r="41" spans="1:4" x14ac:dyDescent="0.25">
      <c r="A41" t="s">
        <v>28</v>
      </c>
      <c r="B41" t="s">
        <v>22</v>
      </c>
      <c r="C41">
        <v>1254</v>
      </c>
      <c r="D41" t="str">
        <f t="shared" si="0"/>
        <v>2012-55-59 år</v>
      </c>
    </row>
    <row r="42" spans="1:4" x14ac:dyDescent="0.25">
      <c r="A42" t="s">
        <v>28</v>
      </c>
      <c r="B42" t="s">
        <v>23</v>
      </c>
      <c r="C42">
        <v>718</v>
      </c>
      <c r="D42" t="str">
        <f t="shared" si="0"/>
        <v>2012-60-64 år</v>
      </c>
    </row>
    <row r="43" spans="1:4" x14ac:dyDescent="0.25">
      <c r="A43" t="s">
        <v>28</v>
      </c>
      <c r="B43" t="s">
        <v>46</v>
      </c>
      <c r="C43">
        <v>208</v>
      </c>
      <c r="D43" t="str">
        <f t="shared" si="0"/>
        <v>2012-65-69 år</v>
      </c>
    </row>
    <row r="44" spans="1:4" x14ac:dyDescent="0.25">
      <c r="A44" t="s">
        <v>29</v>
      </c>
      <c r="B44" t="s">
        <v>16</v>
      </c>
      <c r="C44">
        <v>2524</v>
      </c>
      <c r="D44" t="str">
        <f t="shared" si="0"/>
        <v>2013-25-29 år</v>
      </c>
    </row>
    <row r="45" spans="1:4" x14ac:dyDescent="0.25">
      <c r="A45" t="s">
        <v>29</v>
      </c>
      <c r="B45" t="s">
        <v>17</v>
      </c>
      <c r="C45">
        <v>2176</v>
      </c>
      <c r="D45" t="str">
        <f t="shared" si="0"/>
        <v>2013-30-34 år</v>
      </c>
    </row>
    <row r="46" spans="1:4" x14ac:dyDescent="0.25">
      <c r="A46" t="s">
        <v>29</v>
      </c>
      <c r="B46" t="s">
        <v>18</v>
      </c>
      <c r="C46">
        <v>1896</v>
      </c>
      <c r="D46" t="str">
        <f t="shared" si="0"/>
        <v>2013-35-39 år</v>
      </c>
    </row>
    <row r="47" spans="1:4" x14ac:dyDescent="0.25">
      <c r="A47" t="s">
        <v>29</v>
      </c>
      <c r="B47" t="s">
        <v>19</v>
      </c>
      <c r="C47">
        <v>1579</v>
      </c>
      <c r="D47" t="str">
        <f t="shared" si="0"/>
        <v>2013-40-44 år</v>
      </c>
    </row>
    <row r="48" spans="1:4" x14ac:dyDescent="0.25">
      <c r="A48" t="s">
        <v>29</v>
      </c>
      <c r="B48" t="s">
        <v>20</v>
      </c>
      <c r="C48">
        <v>1915</v>
      </c>
      <c r="D48" t="str">
        <f t="shared" si="0"/>
        <v>2013-45-49 år</v>
      </c>
    </row>
    <row r="49" spans="1:4" x14ac:dyDescent="0.25">
      <c r="A49" t="s">
        <v>29</v>
      </c>
      <c r="B49" t="s">
        <v>21</v>
      </c>
      <c r="C49">
        <v>1462</v>
      </c>
      <c r="D49" t="str">
        <f t="shared" si="0"/>
        <v>2013-50-54 år</v>
      </c>
    </row>
    <row r="50" spans="1:4" x14ac:dyDescent="0.25">
      <c r="A50" t="s">
        <v>29</v>
      </c>
      <c r="B50" t="s">
        <v>22</v>
      </c>
      <c r="C50">
        <v>1227</v>
      </c>
      <c r="D50" t="str">
        <f t="shared" si="0"/>
        <v>2013-55-59 år</v>
      </c>
    </row>
    <row r="51" spans="1:4" x14ac:dyDescent="0.25">
      <c r="A51" t="s">
        <v>29</v>
      </c>
      <c r="B51" t="s">
        <v>23</v>
      </c>
      <c r="C51">
        <v>667</v>
      </c>
      <c r="D51" t="str">
        <f t="shared" si="0"/>
        <v>2013-60-64 år</v>
      </c>
    </row>
    <row r="52" spans="1:4" x14ac:dyDescent="0.25">
      <c r="A52" t="s">
        <v>29</v>
      </c>
      <c r="B52" t="s">
        <v>46</v>
      </c>
      <c r="C52">
        <v>224</v>
      </c>
      <c r="D52" t="str">
        <f t="shared" si="0"/>
        <v>2013-65-69 år</v>
      </c>
    </row>
    <row r="53" spans="1:4" x14ac:dyDescent="0.25">
      <c r="A53" t="s">
        <v>30</v>
      </c>
      <c r="B53" t="s">
        <v>16</v>
      </c>
      <c r="C53">
        <v>2521</v>
      </c>
      <c r="D53" t="str">
        <f t="shared" si="0"/>
        <v>2014-25-29 år</v>
      </c>
    </row>
    <row r="54" spans="1:4" x14ac:dyDescent="0.25">
      <c r="A54" t="s">
        <v>30</v>
      </c>
      <c r="B54" t="s">
        <v>17</v>
      </c>
      <c r="C54">
        <v>2178</v>
      </c>
      <c r="D54" t="str">
        <f t="shared" si="0"/>
        <v>2014-30-34 år</v>
      </c>
    </row>
    <row r="55" spans="1:4" x14ac:dyDescent="0.25">
      <c r="A55" t="s">
        <v>30</v>
      </c>
      <c r="B55" t="s">
        <v>18</v>
      </c>
      <c r="C55">
        <v>2066</v>
      </c>
      <c r="D55" t="str">
        <f t="shared" si="0"/>
        <v>2014-35-39 år</v>
      </c>
    </row>
    <row r="56" spans="1:4" x14ac:dyDescent="0.25">
      <c r="A56" t="s">
        <v>30</v>
      </c>
      <c r="B56" t="s">
        <v>19</v>
      </c>
      <c r="C56">
        <v>1647</v>
      </c>
      <c r="D56" t="str">
        <f t="shared" si="0"/>
        <v>2014-40-44 år</v>
      </c>
    </row>
    <row r="57" spans="1:4" x14ac:dyDescent="0.25">
      <c r="A57" t="s">
        <v>30</v>
      </c>
      <c r="B57" t="s">
        <v>20</v>
      </c>
      <c r="C57">
        <v>1953</v>
      </c>
      <c r="D57" t="str">
        <f t="shared" si="0"/>
        <v>2014-45-49 år</v>
      </c>
    </row>
    <row r="58" spans="1:4" x14ac:dyDescent="0.25">
      <c r="A58" t="s">
        <v>30</v>
      </c>
      <c r="B58" t="s">
        <v>21</v>
      </c>
      <c r="C58">
        <v>1636</v>
      </c>
      <c r="D58" t="str">
        <f t="shared" si="0"/>
        <v>2014-50-54 år</v>
      </c>
    </row>
    <row r="59" spans="1:4" x14ac:dyDescent="0.25">
      <c r="A59" t="s">
        <v>30</v>
      </c>
      <c r="B59" t="s">
        <v>22</v>
      </c>
      <c r="C59">
        <v>1231</v>
      </c>
      <c r="D59" t="str">
        <f t="shared" si="0"/>
        <v>2014-55-59 år</v>
      </c>
    </row>
    <row r="60" spans="1:4" x14ac:dyDescent="0.25">
      <c r="A60" t="s">
        <v>30</v>
      </c>
      <c r="B60" t="s">
        <v>23</v>
      </c>
      <c r="C60">
        <v>706</v>
      </c>
      <c r="D60" t="str">
        <f t="shared" si="0"/>
        <v>2014-60-64 år</v>
      </c>
    </row>
    <row r="61" spans="1:4" x14ac:dyDescent="0.25">
      <c r="A61" t="s">
        <v>30</v>
      </c>
      <c r="B61" t="s">
        <v>46</v>
      </c>
      <c r="C61">
        <v>204</v>
      </c>
      <c r="D61" t="str">
        <f t="shared" si="0"/>
        <v>2014-65-69 år</v>
      </c>
    </row>
    <row r="62" spans="1:4" x14ac:dyDescent="0.25">
      <c r="A62" t="s">
        <v>31</v>
      </c>
      <c r="B62" t="s">
        <v>16</v>
      </c>
      <c r="C62">
        <v>2715</v>
      </c>
      <c r="D62" t="str">
        <f t="shared" si="0"/>
        <v>2015-25-29 år</v>
      </c>
    </row>
    <row r="63" spans="1:4" x14ac:dyDescent="0.25">
      <c r="A63" t="s">
        <v>31</v>
      </c>
      <c r="B63" t="s">
        <v>17</v>
      </c>
      <c r="C63">
        <v>2473</v>
      </c>
      <c r="D63" t="str">
        <f t="shared" si="0"/>
        <v>2015-30-34 år</v>
      </c>
    </row>
    <row r="64" spans="1:4" x14ac:dyDescent="0.25">
      <c r="A64" t="s">
        <v>31</v>
      </c>
      <c r="B64" t="s">
        <v>18</v>
      </c>
      <c r="C64">
        <v>2378</v>
      </c>
      <c r="D64" t="str">
        <f t="shared" si="0"/>
        <v>2015-35-39 år</v>
      </c>
    </row>
    <row r="65" spans="1:4" x14ac:dyDescent="0.25">
      <c r="A65" t="s">
        <v>31</v>
      </c>
      <c r="B65" t="s">
        <v>19</v>
      </c>
      <c r="C65">
        <v>1902</v>
      </c>
      <c r="D65" t="str">
        <f t="shared" si="0"/>
        <v>2015-40-44 år</v>
      </c>
    </row>
    <row r="66" spans="1:4" x14ac:dyDescent="0.25">
      <c r="A66" t="s">
        <v>31</v>
      </c>
      <c r="B66" t="s">
        <v>20</v>
      </c>
      <c r="C66">
        <v>2085</v>
      </c>
      <c r="D66" t="str">
        <f t="shared" si="0"/>
        <v>2015-45-49 år</v>
      </c>
    </row>
    <row r="67" spans="1:4" x14ac:dyDescent="0.25">
      <c r="A67" t="s">
        <v>31</v>
      </c>
      <c r="B67" t="s">
        <v>21</v>
      </c>
      <c r="C67">
        <v>1717</v>
      </c>
      <c r="D67" t="str">
        <f t="shared" si="0"/>
        <v>2015-50-54 år</v>
      </c>
    </row>
    <row r="68" spans="1:4" x14ac:dyDescent="0.25">
      <c r="A68" t="s">
        <v>31</v>
      </c>
      <c r="B68" t="s">
        <v>22</v>
      </c>
      <c r="C68">
        <v>1226</v>
      </c>
      <c r="D68" t="str">
        <f t="shared" si="0"/>
        <v>2015-55-59 år</v>
      </c>
    </row>
    <row r="69" spans="1:4" x14ac:dyDescent="0.25">
      <c r="A69" t="s">
        <v>31</v>
      </c>
      <c r="B69" t="s">
        <v>23</v>
      </c>
      <c r="C69">
        <v>583</v>
      </c>
      <c r="D69" t="str">
        <f t="shared" si="0"/>
        <v>2015-60-64 år</v>
      </c>
    </row>
    <row r="70" spans="1:4" x14ac:dyDescent="0.25">
      <c r="A70" t="s">
        <v>31</v>
      </c>
      <c r="B70" t="s">
        <v>46</v>
      </c>
      <c r="C70">
        <v>211</v>
      </c>
      <c r="D70" t="str">
        <f t="shared" si="0"/>
        <v>2015-65-69 år</v>
      </c>
    </row>
    <row r="71" spans="1:4" x14ac:dyDescent="0.25">
      <c r="A71" t="s">
        <v>32</v>
      </c>
      <c r="B71" t="s">
        <v>16</v>
      </c>
      <c r="C71">
        <v>3005</v>
      </c>
      <c r="D71" t="str">
        <f t="shared" si="0"/>
        <v>2016-25-29 år</v>
      </c>
    </row>
    <row r="72" spans="1:4" x14ac:dyDescent="0.25">
      <c r="A72" t="s">
        <v>32</v>
      </c>
      <c r="B72" t="s">
        <v>17</v>
      </c>
      <c r="C72">
        <v>2584</v>
      </c>
      <c r="D72" t="str">
        <f t="shared" ref="D72:D135" si="1">A72&amp;"-"&amp;B72</f>
        <v>2016-30-34 år</v>
      </c>
    </row>
    <row r="73" spans="1:4" x14ac:dyDescent="0.25">
      <c r="A73" t="s">
        <v>32</v>
      </c>
      <c r="B73" t="s">
        <v>18</v>
      </c>
      <c r="C73">
        <v>2311</v>
      </c>
      <c r="D73" t="str">
        <f t="shared" si="1"/>
        <v>2016-35-39 år</v>
      </c>
    </row>
    <row r="74" spans="1:4" x14ac:dyDescent="0.25">
      <c r="A74" t="s">
        <v>32</v>
      </c>
      <c r="B74" t="s">
        <v>19</v>
      </c>
      <c r="C74">
        <v>2111</v>
      </c>
      <c r="D74" t="str">
        <f t="shared" si="1"/>
        <v>2016-40-44 år</v>
      </c>
    </row>
    <row r="75" spans="1:4" x14ac:dyDescent="0.25">
      <c r="A75" t="s">
        <v>32</v>
      </c>
      <c r="B75" t="s">
        <v>20</v>
      </c>
      <c r="C75">
        <v>2000</v>
      </c>
      <c r="D75" t="str">
        <f t="shared" si="1"/>
        <v>2016-45-49 år</v>
      </c>
    </row>
    <row r="76" spans="1:4" x14ac:dyDescent="0.25">
      <c r="A76" t="s">
        <v>32</v>
      </c>
      <c r="B76" t="s">
        <v>21</v>
      </c>
      <c r="C76">
        <v>1808</v>
      </c>
      <c r="D76" t="str">
        <f t="shared" si="1"/>
        <v>2016-50-54 år</v>
      </c>
    </row>
    <row r="77" spans="1:4" x14ac:dyDescent="0.25">
      <c r="A77" t="s">
        <v>32</v>
      </c>
      <c r="B77" t="s">
        <v>22</v>
      </c>
      <c r="C77">
        <v>1301</v>
      </c>
      <c r="D77" t="str">
        <f t="shared" si="1"/>
        <v>2016-55-59 år</v>
      </c>
    </row>
    <row r="78" spans="1:4" x14ac:dyDescent="0.25">
      <c r="A78" t="s">
        <v>32</v>
      </c>
      <c r="B78" t="s">
        <v>23</v>
      </c>
      <c r="C78">
        <v>708</v>
      </c>
      <c r="D78" t="str">
        <f t="shared" si="1"/>
        <v>2016-60-64 år</v>
      </c>
    </row>
    <row r="79" spans="1:4" x14ac:dyDescent="0.25">
      <c r="A79" t="s">
        <v>32</v>
      </c>
      <c r="B79" t="s">
        <v>46</v>
      </c>
      <c r="C79">
        <v>183</v>
      </c>
      <c r="D79" t="str">
        <f t="shared" si="1"/>
        <v>2016-65-69 år</v>
      </c>
    </row>
    <row r="80" spans="1:4" x14ac:dyDescent="0.25">
      <c r="A80" t="s">
        <v>33</v>
      </c>
      <c r="B80" t="s">
        <v>16</v>
      </c>
      <c r="C80">
        <v>3106</v>
      </c>
      <c r="D80" t="str">
        <f t="shared" si="1"/>
        <v>2017-25-29 år</v>
      </c>
    </row>
    <row r="81" spans="1:4" x14ac:dyDescent="0.25">
      <c r="A81" t="s">
        <v>33</v>
      </c>
      <c r="B81" t="s">
        <v>17</v>
      </c>
      <c r="C81">
        <v>2692</v>
      </c>
      <c r="D81" t="str">
        <f t="shared" si="1"/>
        <v>2017-30-34 år</v>
      </c>
    </row>
    <row r="82" spans="1:4" x14ac:dyDescent="0.25">
      <c r="A82" t="s">
        <v>33</v>
      </c>
      <c r="B82" t="s">
        <v>18</v>
      </c>
      <c r="C82">
        <v>2452</v>
      </c>
      <c r="D82" t="str">
        <f t="shared" si="1"/>
        <v>2017-35-39 år</v>
      </c>
    </row>
    <row r="83" spans="1:4" x14ac:dyDescent="0.25">
      <c r="A83" t="s">
        <v>33</v>
      </c>
      <c r="B83" t="s">
        <v>19</v>
      </c>
      <c r="C83">
        <v>2105</v>
      </c>
      <c r="D83" t="str">
        <f t="shared" si="1"/>
        <v>2017-40-44 år</v>
      </c>
    </row>
    <row r="84" spans="1:4" x14ac:dyDescent="0.25">
      <c r="A84" t="s">
        <v>33</v>
      </c>
      <c r="B84" t="s">
        <v>20</v>
      </c>
      <c r="C84">
        <v>1892</v>
      </c>
      <c r="D84" t="str">
        <f t="shared" si="1"/>
        <v>2017-45-49 år</v>
      </c>
    </row>
    <row r="85" spans="1:4" x14ac:dyDescent="0.25">
      <c r="A85" t="s">
        <v>33</v>
      </c>
      <c r="B85" t="s">
        <v>21</v>
      </c>
      <c r="C85">
        <v>2042</v>
      </c>
      <c r="D85" t="str">
        <f t="shared" si="1"/>
        <v>2017-50-54 år</v>
      </c>
    </row>
    <row r="86" spans="1:4" x14ac:dyDescent="0.25">
      <c r="A86" t="s">
        <v>33</v>
      </c>
      <c r="B86" t="s">
        <v>22</v>
      </c>
      <c r="C86">
        <v>1410</v>
      </c>
      <c r="D86" t="str">
        <f t="shared" si="1"/>
        <v>2017-55-59 år</v>
      </c>
    </row>
    <row r="87" spans="1:4" x14ac:dyDescent="0.25">
      <c r="A87" t="s">
        <v>33</v>
      </c>
      <c r="B87" t="s">
        <v>23</v>
      </c>
      <c r="C87">
        <v>757</v>
      </c>
      <c r="D87" t="str">
        <f t="shared" si="1"/>
        <v>2017-60-64 år</v>
      </c>
    </row>
    <row r="88" spans="1:4" x14ac:dyDescent="0.25">
      <c r="A88" t="s">
        <v>33</v>
      </c>
      <c r="B88" t="s">
        <v>46</v>
      </c>
      <c r="C88">
        <v>194</v>
      </c>
      <c r="D88" t="str">
        <f t="shared" si="1"/>
        <v>2017-65-69 år</v>
      </c>
    </row>
    <row r="89" spans="1:4" x14ac:dyDescent="0.25">
      <c r="A89" t="s">
        <v>34</v>
      </c>
      <c r="B89" t="s">
        <v>16</v>
      </c>
      <c r="C89">
        <v>3149</v>
      </c>
      <c r="D89" t="str">
        <f t="shared" si="1"/>
        <v>2018-25-29 år</v>
      </c>
    </row>
    <row r="90" spans="1:4" x14ac:dyDescent="0.25">
      <c r="A90" t="s">
        <v>34</v>
      </c>
      <c r="B90" t="s">
        <v>17</v>
      </c>
      <c r="C90">
        <v>2658</v>
      </c>
      <c r="D90" t="str">
        <f t="shared" si="1"/>
        <v>2018-30-34 år</v>
      </c>
    </row>
    <row r="91" spans="1:4" x14ac:dyDescent="0.25">
      <c r="A91" t="s">
        <v>34</v>
      </c>
      <c r="B91" t="s">
        <v>18</v>
      </c>
      <c r="C91">
        <v>2333</v>
      </c>
      <c r="D91" t="str">
        <f t="shared" si="1"/>
        <v>2018-35-39 år</v>
      </c>
    </row>
    <row r="92" spans="1:4" x14ac:dyDescent="0.25">
      <c r="A92" t="s">
        <v>34</v>
      </c>
      <c r="B92" t="s">
        <v>19</v>
      </c>
      <c r="C92">
        <v>2068</v>
      </c>
      <c r="D92" t="str">
        <f t="shared" si="1"/>
        <v>2018-40-44 år</v>
      </c>
    </row>
    <row r="93" spans="1:4" x14ac:dyDescent="0.25">
      <c r="A93" t="s">
        <v>34</v>
      </c>
      <c r="B93" t="s">
        <v>20</v>
      </c>
      <c r="C93">
        <v>1770</v>
      </c>
      <c r="D93" t="str">
        <f t="shared" si="1"/>
        <v>2018-45-49 år</v>
      </c>
    </row>
    <row r="94" spans="1:4" x14ac:dyDescent="0.25">
      <c r="A94" t="s">
        <v>34</v>
      </c>
      <c r="B94" t="s">
        <v>21</v>
      </c>
      <c r="C94">
        <v>2055</v>
      </c>
      <c r="D94" t="str">
        <f t="shared" si="1"/>
        <v>2018-50-54 år</v>
      </c>
    </row>
    <row r="95" spans="1:4" x14ac:dyDescent="0.25">
      <c r="A95" t="s">
        <v>34</v>
      </c>
      <c r="B95" t="s">
        <v>22</v>
      </c>
      <c r="C95">
        <v>1415</v>
      </c>
      <c r="D95" t="str">
        <f t="shared" si="1"/>
        <v>2018-55-59 år</v>
      </c>
    </row>
    <row r="96" spans="1:4" x14ac:dyDescent="0.25">
      <c r="A96" t="s">
        <v>34</v>
      </c>
      <c r="B96" t="s">
        <v>23</v>
      </c>
      <c r="C96">
        <v>681</v>
      </c>
      <c r="D96" t="str">
        <f t="shared" si="1"/>
        <v>2018-60-64 år</v>
      </c>
    </row>
    <row r="97" spans="1:4" x14ac:dyDescent="0.25">
      <c r="A97" t="s">
        <v>34</v>
      </c>
      <c r="B97" t="s">
        <v>46</v>
      </c>
      <c r="C97">
        <v>174</v>
      </c>
      <c r="D97" t="str">
        <f t="shared" si="1"/>
        <v>2018-65-69 år</v>
      </c>
    </row>
    <row r="98" spans="1:4" x14ac:dyDescent="0.25">
      <c r="A98" t="s">
        <v>35</v>
      </c>
      <c r="B98" t="s">
        <v>16</v>
      </c>
      <c r="C98">
        <v>3477</v>
      </c>
      <c r="D98" t="str">
        <f t="shared" si="1"/>
        <v>2019-25-29 år</v>
      </c>
    </row>
    <row r="99" spans="1:4" x14ac:dyDescent="0.25">
      <c r="A99" t="s">
        <v>35</v>
      </c>
      <c r="B99" t="s">
        <v>17</v>
      </c>
      <c r="C99">
        <v>2839</v>
      </c>
      <c r="D99" t="str">
        <f t="shared" si="1"/>
        <v>2019-30-34 år</v>
      </c>
    </row>
    <row r="100" spans="1:4" x14ac:dyDescent="0.25">
      <c r="A100" t="s">
        <v>35</v>
      </c>
      <c r="B100" t="s">
        <v>18</v>
      </c>
      <c r="C100">
        <v>2298</v>
      </c>
      <c r="D100" t="str">
        <f t="shared" si="1"/>
        <v>2019-35-39 år</v>
      </c>
    </row>
    <row r="101" spans="1:4" x14ac:dyDescent="0.25">
      <c r="A101" t="s">
        <v>35</v>
      </c>
      <c r="B101" t="s">
        <v>19</v>
      </c>
      <c r="C101">
        <v>2100</v>
      </c>
      <c r="D101" t="str">
        <f t="shared" si="1"/>
        <v>2019-40-44 år</v>
      </c>
    </row>
    <row r="102" spans="1:4" x14ac:dyDescent="0.25">
      <c r="A102" t="s">
        <v>35</v>
      </c>
      <c r="B102" t="s">
        <v>20</v>
      </c>
      <c r="C102">
        <v>1802</v>
      </c>
      <c r="D102" t="str">
        <f t="shared" si="1"/>
        <v>2019-45-49 år</v>
      </c>
    </row>
    <row r="103" spans="1:4" x14ac:dyDescent="0.25">
      <c r="A103" t="s">
        <v>35</v>
      </c>
      <c r="B103" t="s">
        <v>21</v>
      </c>
      <c r="C103">
        <v>2054</v>
      </c>
      <c r="D103" t="str">
        <f t="shared" si="1"/>
        <v>2019-50-54 år</v>
      </c>
    </row>
    <row r="104" spans="1:4" x14ac:dyDescent="0.25">
      <c r="A104" t="s">
        <v>35</v>
      </c>
      <c r="B104" t="s">
        <v>22</v>
      </c>
      <c r="C104">
        <v>1383</v>
      </c>
      <c r="D104" t="str">
        <f t="shared" si="1"/>
        <v>2019-55-59 år</v>
      </c>
    </row>
    <row r="105" spans="1:4" x14ac:dyDescent="0.25">
      <c r="A105" t="s">
        <v>35</v>
      </c>
      <c r="B105" t="s">
        <v>23</v>
      </c>
      <c r="C105">
        <v>791</v>
      </c>
      <c r="D105" t="str">
        <f t="shared" si="1"/>
        <v>2019-60-64 år</v>
      </c>
    </row>
    <row r="106" spans="1:4" x14ac:dyDescent="0.25">
      <c r="A106" t="s">
        <v>35</v>
      </c>
      <c r="B106" t="s">
        <v>46</v>
      </c>
      <c r="C106">
        <v>188</v>
      </c>
      <c r="D106" t="str">
        <f t="shared" si="1"/>
        <v>2019-65-69 år</v>
      </c>
    </row>
    <row r="107" spans="1:4" x14ac:dyDescent="0.25">
      <c r="A107" t="s">
        <v>36</v>
      </c>
      <c r="B107" t="s">
        <v>16</v>
      </c>
      <c r="C107">
        <v>3028</v>
      </c>
      <c r="D107" t="str">
        <f t="shared" si="1"/>
        <v>2020-25-29 år</v>
      </c>
    </row>
    <row r="108" spans="1:4" x14ac:dyDescent="0.25">
      <c r="A108" t="s">
        <v>36</v>
      </c>
      <c r="B108" t="s">
        <v>17</v>
      </c>
      <c r="C108">
        <v>2339</v>
      </c>
      <c r="D108" t="str">
        <f t="shared" si="1"/>
        <v>2020-30-34 år</v>
      </c>
    </row>
    <row r="109" spans="1:4" x14ac:dyDescent="0.25">
      <c r="A109" t="s">
        <v>36</v>
      </c>
      <c r="B109" t="s">
        <v>18</v>
      </c>
      <c r="C109">
        <v>1929</v>
      </c>
      <c r="D109" t="str">
        <f t="shared" si="1"/>
        <v>2020-35-39 år</v>
      </c>
    </row>
    <row r="110" spans="1:4" x14ac:dyDescent="0.25">
      <c r="A110" t="s">
        <v>36</v>
      </c>
      <c r="B110" t="s">
        <v>19</v>
      </c>
      <c r="C110">
        <v>1758</v>
      </c>
      <c r="D110" t="str">
        <f t="shared" si="1"/>
        <v>2020-40-44 år</v>
      </c>
    </row>
    <row r="111" spans="1:4" x14ac:dyDescent="0.25">
      <c r="A111" t="s">
        <v>36</v>
      </c>
      <c r="B111" t="s">
        <v>20</v>
      </c>
      <c r="C111">
        <v>1654</v>
      </c>
      <c r="D111" t="str">
        <f t="shared" si="1"/>
        <v>2020-45-49 år</v>
      </c>
    </row>
    <row r="112" spans="1:4" x14ac:dyDescent="0.25">
      <c r="A112" t="s">
        <v>36</v>
      </c>
      <c r="B112" t="s">
        <v>21</v>
      </c>
      <c r="C112">
        <v>1616</v>
      </c>
      <c r="D112" t="str">
        <f t="shared" si="1"/>
        <v>2020-50-54 år</v>
      </c>
    </row>
    <row r="113" spans="1:4" x14ac:dyDescent="0.25">
      <c r="A113" t="s">
        <v>36</v>
      </c>
      <c r="B113" t="s">
        <v>22</v>
      </c>
      <c r="C113">
        <v>1279</v>
      </c>
      <c r="D113" t="str">
        <f t="shared" si="1"/>
        <v>2020-55-59 år</v>
      </c>
    </row>
    <row r="114" spans="1:4" x14ac:dyDescent="0.25">
      <c r="A114" t="s">
        <v>36</v>
      </c>
      <c r="B114" t="s">
        <v>23</v>
      </c>
      <c r="C114">
        <v>623</v>
      </c>
      <c r="D114" t="str">
        <f t="shared" si="1"/>
        <v>2020-60-64 år</v>
      </c>
    </row>
    <row r="115" spans="1:4" x14ac:dyDescent="0.25">
      <c r="A115" t="s">
        <v>36</v>
      </c>
      <c r="B115" t="s">
        <v>46</v>
      </c>
      <c r="C115">
        <v>201</v>
      </c>
      <c r="D115" t="str">
        <f t="shared" si="1"/>
        <v>2020-65-69 år</v>
      </c>
    </row>
    <row r="116" spans="1:4" x14ac:dyDescent="0.25">
      <c r="A116" t="s">
        <v>37</v>
      </c>
      <c r="B116" t="s">
        <v>16</v>
      </c>
      <c r="C116">
        <v>3854</v>
      </c>
      <c r="D116" t="str">
        <f t="shared" si="1"/>
        <v>2021-25-29 år</v>
      </c>
    </row>
    <row r="117" spans="1:4" x14ac:dyDescent="0.25">
      <c r="A117" t="s">
        <v>37</v>
      </c>
      <c r="B117" t="s">
        <v>17</v>
      </c>
      <c r="C117">
        <v>3059</v>
      </c>
      <c r="D117" t="str">
        <f t="shared" si="1"/>
        <v>2021-30-34 år</v>
      </c>
    </row>
    <row r="118" spans="1:4" x14ac:dyDescent="0.25">
      <c r="A118" t="s">
        <v>37</v>
      </c>
      <c r="B118" t="s">
        <v>18</v>
      </c>
      <c r="C118">
        <v>2330</v>
      </c>
      <c r="D118" t="str">
        <f t="shared" si="1"/>
        <v>2021-35-39 år</v>
      </c>
    </row>
    <row r="119" spans="1:4" x14ac:dyDescent="0.25">
      <c r="A119" t="s">
        <v>37</v>
      </c>
      <c r="B119" t="s">
        <v>19</v>
      </c>
      <c r="C119">
        <v>2220</v>
      </c>
      <c r="D119" t="str">
        <f t="shared" si="1"/>
        <v>2021-40-44 år</v>
      </c>
    </row>
    <row r="120" spans="1:4" x14ac:dyDescent="0.25">
      <c r="A120" t="s">
        <v>37</v>
      </c>
      <c r="B120" t="s">
        <v>20</v>
      </c>
      <c r="C120">
        <v>1980</v>
      </c>
      <c r="D120" t="str">
        <f t="shared" si="1"/>
        <v>2021-45-49 år</v>
      </c>
    </row>
    <row r="121" spans="1:4" x14ac:dyDescent="0.25">
      <c r="A121" t="s">
        <v>37</v>
      </c>
      <c r="B121" t="s">
        <v>21</v>
      </c>
      <c r="C121">
        <v>1810</v>
      </c>
      <c r="D121" t="str">
        <f t="shared" si="1"/>
        <v>2021-50-54 år</v>
      </c>
    </row>
    <row r="122" spans="1:4" x14ac:dyDescent="0.25">
      <c r="A122" t="s">
        <v>37</v>
      </c>
      <c r="B122" t="s">
        <v>22</v>
      </c>
      <c r="C122">
        <v>1631</v>
      </c>
      <c r="D122" t="str">
        <f t="shared" si="1"/>
        <v>2021-55-59 år</v>
      </c>
    </row>
    <row r="123" spans="1:4" x14ac:dyDescent="0.25">
      <c r="A123" t="s">
        <v>37</v>
      </c>
      <c r="B123" t="s">
        <v>23</v>
      </c>
      <c r="C123">
        <v>962</v>
      </c>
      <c r="D123" t="str">
        <f t="shared" si="1"/>
        <v>2021-60-64 år</v>
      </c>
    </row>
    <row r="124" spans="1:4" x14ac:dyDescent="0.25">
      <c r="A124" t="s">
        <v>37</v>
      </c>
      <c r="B124" t="s">
        <v>46</v>
      </c>
      <c r="C124">
        <v>216</v>
      </c>
      <c r="D124" t="str">
        <f t="shared" si="1"/>
        <v>2021-65-69 år</v>
      </c>
    </row>
    <row r="125" spans="1:4" x14ac:dyDescent="0.25">
      <c r="A125" t="s">
        <v>38</v>
      </c>
      <c r="B125" t="s">
        <v>16</v>
      </c>
      <c r="C125">
        <v>3870</v>
      </c>
      <c r="D125" t="str">
        <f t="shared" si="1"/>
        <v>2022-25-29 år</v>
      </c>
    </row>
    <row r="126" spans="1:4" x14ac:dyDescent="0.25">
      <c r="A126" t="s">
        <v>38</v>
      </c>
      <c r="B126" t="s">
        <v>17</v>
      </c>
      <c r="C126">
        <v>3004</v>
      </c>
      <c r="D126" t="str">
        <f t="shared" si="1"/>
        <v>2022-30-34 år</v>
      </c>
    </row>
    <row r="127" spans="1:4" x14ac:dyDescent="0.25">
      <c r="A127" t="s">
        <v>38</v>
      </c>
      <c r="B127" t="s">
        <v>18</v>
      </c>
      <c r="C127">
        <v>2511</v>
      </c>
      <c r="D127" t="str">
        <f t="shared" si="1"/>
        <v>2022-35-39 år</v>
      </c>
    </row>
    <row r="128" spans="1:4" x14ac:dyDescent="0.25">
      <c r="A128" t="s">
        <v>38</v>
      </c>
      <c r="B128" t="s">
        <v>19</v>
      </c>
      <c r="C128">
        <v>2191</v>
      </c>
      <c r="D128" t="str">
        <f t="shared" si="1"/>
        <v>2022-40-44 år</v>
      </c>
    </row>
    <row r="129" spans="1:4" x14ac:dyDescent="0.25">
      <c r="A129" t="s">
        <v>38</v>
      </c>
      <c r="B129" t="s">
        <v>20</v>
      </c>
      <c r="C129">
        <v>2044</v>
      </c>
      <c r="D129" t="str">
        <f t="shared" si="1"/>
        <v>2022-45-49 år</v>
      </c>
    </row>
    <row r="130" spans="1:4" x14ac:dyDescent="0.25">
      <c r="A130" t="s">
        <v>38</v>
      </c>
      <c r="B130" t="s">
        <v>21</v>
      </c>
      <c r="C130">
        <v>1683</v>
      </c>
      <c r="D130" t="str">
        <f t="shared" si="1"/>
        <v>2022-50-54 år</v>
      </c>
    </row>
    <row r="131" spans="1:4" x14ac:dyDescent="0.25">
      <c r="A131" t="s">
        <v>38</v>
      </c>
      <c r="B131" t="s">
        <v>22</v>
      </c>
      <c r="C131">
        <v>1578</v>
      </c>
      <c r="D131" t="str">
        <f t="shared" si="1"/>
        <v>2022-55-59 år</v>
      </c>
    </row>
    <row r="132" spans="1:4" x14ac:dyDescent="0.25">
      <c r="A132" t="s">
        <v>38</v>
      </c>
      <c r="B132" t="s">
        <v>23</v>
      </c>
      <c r="C132">
        <v>880</v>
      </c>
      <c r="D132" t="str">
        <f t="shared" si="1"/>
        <v>2022-60-64 år</v>
      </c>
    </row>
    <row r="133" spans="1:4" x14ac:dyDescent="0.25">
      <c r="A133" t="s">
        <v>38</v>
      </c>
      <c r="B133" t="s">
        <v>46</v>
      </c>
      <c r="C133">
        <v>265</v>
      </c>
      <c r="D133" t="str">
        <f t="shared" si="1"/>
        <v>2022-65-69 år</v>
      </c>
    </row>
    <row r="134" spans="1:4" x14ac:dyDescent="0.25">
      <c r="A134" t="s">
        <v>39</v>
      </c>
      <c r="B134" t="s">
        <v>16</v>
      </c>
      <c r="C134">
        <v>3662</v>
      </c>
      <c r="D134" t="str">
        <f t="shared" si="1"/>
        <v>2023-25-29 år</v>
      </c>
    </row>
    <row r="135" spans="1:4" x14ac:dyDescent="0.25">
      <c r="A135" t="s">
        <v>39</v>
      </c>
      <c r="B135" t="s">
        <v>17</v>
      </c>
      <c r="C135">
        <v>2878</v>
      </c>
      <c r="D135" t="str">
        <f t="shared" si="1"/>
        <v>2023-30-34 år</v>
      </c>
    </row>
    <row r="136" spans="1:4" x14ac:dyDescent="0.25">
      <c r="A136" t="s">
        <v>39</v>
      </c>
      <c r="B136" t="s">
        <v>18</v>
      </c>
      <c r="C136">
        <v>2160</v>
      </c>
      <c r="D136" t="str">
        <f t="shared" ref="D136:D141" si="2">A136&amp;"-"&amp;B136</f>
        <v>2023-35-39 år</v>
      </c>
    </row>
    <row r="137" spans="1:4" x14ac:dyDescent="0.25">
      <c r="A137" t="s">
        <v>39</v>
      </c>
      <c r="B137" t="s">
        <v>19</v>
      </c>
      <c r="C137">
        <v>1983</v>
      </c>
      <c r="D137" t="str">
        <f t="shared" si="2"/>
        <v>2023-40-44 år</v>
      </c>
    </row>
    <row r="138" spans="1:4" x14ac:dyDescent="0.25">
      <c r="A138" t="s">
        <v>39</v>
      </c>
      <c r="B138" t="s">
        <v>20</v>
      </c>
      <c r="C138">
        <v>1798</v>
      </c>
      <c r="D138" t="str">
        <f t="shared" si="2"/>
        <v>2023-45-49 år</v>
      </c>
    </row>
    <row r="139" spans="1:4" x14ac:dyDescent="0.25">
      <c r="A139" t="s">
        <v>39</v>
      </c>
      <c r="B139" t="s">
        <v>21</v>
      </c>
      <c r="C139">
        <v>1564</v>
      </c>
      <c r="D139" t="str">
        <f t="shared" si="2"/>
        <v>2023-50-54 år</v>
      </c>
    </row>
    <row r="140" spans="1:4" x14ac:dyDescent="0.25">
      <c r="A140" t="s">
        <v>39</v>
      </c>
      <c r="B140" t="s">
        <v>22</v>
      </c>
      <c r="C140">
        <v>1583</v>
      </c>
      <c r="D140" t="str">
        <f t="shared" si="2"/>
        <v>2023-55-59 år</v>
      </c>
    </row>
    <row r="141" spans="1:4" x14ac:dyDescent="0.25">
      <c r="A141" t="s">
        <v>39</v>
      </c>
      <c r="B141" t="s">
        <v>23</v>
      </c>
      <c r="C141">
        <v>896</v>
      </c>
      <c r="D141" t="str">
        <f t="shared" si="2"/>
        <v>2023-60-64 år</v>
      </c>
    </row>
    <row r="142" spans="1:4" x14ac:dyDescent="0.25">
      <c r="A142" t="s">
        <v>39</v>
      </c>
      <c r="B142" t="s">
        <v>46</v>
      </c>
      <c r="C142">
        <v>295</v>
      </c>
      <c r="D142" t="str">
        <f t="shared" ref="D142" si="3">A142&amp;"-"&amp;B142</f>
        <v>2023-65-69 år</v>
      </c>
    </row>
    <row r="145" spans="1:1" x14ac:dyDescent="0.25">
      <c r="A145" t="s">
        <v>41</v>
      </c>
    </row>
    <row r="146" spans="1:1" x14ac:dyDescent="0.25">
      <c r="A146" t="s">
        <v>42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B34DF-0CA6-45BA-8A0D-3F44E552D282}">
  <dimension ref="A1:J11"/>
  <sheetViews>
    <sheetView zoomScaleNormal="100" workbookViewId="0">
      <selection activeCell="A12" sqref="A12:J12"/>
    </sheetView>
  </sheetViews>
  <sheetFormatPr defaultColWidth="8.7109375" defaultRowHeight="15" x14ac:dyDescent="0.25"/>
  <cols>
    <col min="2" max="10" width="10.85546875" customWidth="1"/>
  </cols>
  <sheetData>
    <row r="1" spans="1:10" x14ac:dyDescent="0.25">
      <c r="A1" t="s">
        <v>1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</row>
    <row r="2" spans="1:10" x14ac:dyDescent="0.25">
      <c r="A2">
        <v>2025</v>
      </c>
    </row>
    <row r="3" spans="1:10" x14ac:dyDescent="0.25">
      <c r="A3">
        <v>2026</v>
      </c>
    </row>
    <row r="4" spans="1:10" x14ac:dyDescent="0.25">
      <c r="A4">
        <v>2027</v>
      </c>
    </row>
    <row r="5" spans="1:10" x14ac:dyDescent="0.25">
      <c r="A5">
        <v>2028</v>
      </c>
    </row>
    <row r="6" spans="1:10" x14ac:dyDescent="0.25">
      <c r="A6">
        <v>2029</v>
      </c>
    </row>
    <row r="7" spans="1:10" x14ac:dyDescent="0.25">
      <c r="A7">
        <v>2030</v>
      </c>
    </row>
    <row r="8" spans="1:10" x14ac:dyDescent="0.25">
      <c r="A8">
        <v>2031</v>
      </c>
    </row>
    <row r="9" spans="1:10" x14ac:dyDescent="0.25">
      <c r="A9">
        <v>2032</v>
      </c>
    </row>
    <row r="10" spans="1:10" x14ac:dyDescent="0.25">
      <c r="A10">
        <v>2033</v>
      </c>
    </row>
    <row r="11" spans="1:10" x14ac:dyDescent="0.25">
      <c r="A11">
        <v>2034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553E2-B8D8-4F8F-A125-932E014B1DA0}">
  <dimension ref="A1:J11"/>
  <sheetViews>
    <sheetView zoomScaleNormal="100" workbookViewId="0">
      <selection activeCell="A12" sqref="A12:J12"/>
    </sheetView>
  </sheetViews>
  <sheetFormatPr defaultColWidth="8.7109375" defaultRowHeight="15" x14ac:dyDescent="0.25"/>
  <cols>
    <col min="2" max="10" width="10.85546875" customWidth="1"/>
  </cols>
  <sheetData>
    <row r="1" spans="1:10" x14ac:dyDescent="0.25">
      <c r="A1" t="s">
        <v>1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</row>
    <row r="2" spans="1:10" x14ac:dyDescent="0.25">
      <c r="A2">
        <v>2025</v>
      </c>
    </row>
    <row r="3" spans="1:10" x14ac:dyDescent="0.25">
      <c r="A3">
        <v>2026</v>
      </c>
    </row>
    <row r="4" spans="1:10" x14ac:dyDescent="0.25">
      <c r="A4">
        <v>2027</v>
      </c>
    </row>
    <row r="5" spans="1:10" x14ac:dyDescent="0.25">
      <c r="A5">
        <v>2028</v>
      </c>
    </row>
    <row r="6" spans="1:10" x14ac:dyDescent="0.25">
      <c r="A6">
        <v>2029</v>
      </c>
    </row>
    <row r="7" spans="1:10" x14ac:dyDescent="0.25">
      <c r="A7">
        <v>2030</v>
      </c>
    </row>
    <row r="8" spans="1:10" x14ac:dyDescent="0.25">
      <c r="A8">
        <v>2031</v>
      </c>
    </row>
    <row r="9" spans="1:10" x14ac:dyDescent="0.25">
      <c r="A9">
        <v>2032</v>
      </c>
    </row>
    <row r="10" spans="1:10" x14ac:dyDescent="0.25">
      <c r="A10">
        <v>2033</v>
      </c>
    </row>
    <row r="11" spans="1:10" x14ac:dyDescent="0.25">
      <c r="A11">
        <v>2034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EFB0B-4563-43C7-AE7E-9BD6ED105783}">
  <dimension ref="A1:J11"/>
  <sheetViews>
    <sheetView zoomScaleNormal="100" workbookViewId="0">
      <selection activeCell="A12" sqref="A12:J12"/>
    </sheetView>
  </sheetViews>
  <sheetFormatPr defaultColWidth="8.7109375" defaultRowHeight="15" x14ac:dyDescent="0.25"/>
  <cols>
    <col min="2" max="10" width="10.85546875" customWidth="1"/>
  </cols>
  <sheetData>
    <row r="1" spans="1:10" x14ac:dyDescent="0.25">
      <c r="A1" t="s">
        <v>1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</row>
    <row r="2" spans="1:10" x14ac:dyDescent="0.25">
      <c r="A2">
        <v>2025</v>
      </c>
    </row>
    <row r="3" spans="1:10" x14ac:dyDescent="0.25">
      <c r="A3">
        <v>2026</v>
      </c>
    </row>
    <row r="4" spans="1:10" x14ac:dyDescent="0.25">
      <c r="A4">
        <v>2027</v>
      </c>
    </row>
    <row r="5" spans="1:10" x14ac:dyDescent="0.25">
      <c r="A5">
        <v>2028</v>
      </c>
    </row>
    <row r="6" spans="1:10" x14ac:dyDescent="0.25">
      <c r="A6">
        <v>2029</v>
      </c>
    </row>
    <row r="7" spans="1:10" x14ac:dyDescent="0.25">
      <c r="A7">
        <v>2030</v>
      </c>
    </row>
    <row r="8" spans="1:10" x14ac:dyDescent="0.25">
      <c r="A8">
        <v>2031</v>
      </c>
    </row>
    <row r="9" spans="1:10" x14ac:dyDescent="0.25">
      <c r="A9">
        <v>2032</v>
      </c>
    </row>
    <row r="10" spans="1:10" x14ac:dyDescent="0.25">
      <c r="A10">
        <v>2033</v>
      </c>
    </row>
    <row r="11" spans="1:10" x14ac:dyDescent="0.25">
      <c r="A11">
        <v>2034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83E45-D85B-4C7F-8447-C43FD5A9ED21}">
  <dimension ref="A1:J42"/>
  <sheetViews>
    <sheetView zoomScaleNormal="100" workbookViewId="0">
      <selection activeCell="I2" sqref="I2"/>
    </sheetView>
  </sheetViews>
  <sheetFormatPr defaultColWidth="8.7109375" defaultRowHeight="15" x14ac:dyDescent="0.25"/>
  <cols>
    <col min="2" max="10" width="10.85546875" customWidth="1"/>
  </cols>
  <sheetData>
    <row r="1" spans="1:10" x14ac:dyDescent="0.25">
      <c r="A1" t="s">
        <v>1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</row>
    <row r="2" spans="1:10" x14ac:dyDescent="0.25">
      <c r="A2">
        <v>2035</v>
      </c>
      <c r="B2" cm="1">
        <f t="array" ref="B2">_xlfn.XLOOKUP(_xlfn.XLOOKUP(returns_long_low[[#This Row],[Year]],helper_ya[[#All],[Year]],helper_ya[[#All],[Category]]),br_er_low[[#All],[Ticker]],br_er_low[[#All],[EUNK]])</f>
        <v>2.6488236609083501E-2</v>
      </c>
      <c r="D2" cm="1">
        <f t="array" ref="D2">_xlfn.XLOOKUP(_xlfn.XLOOKUP(returns_long_low[[#This Row],[Year]],helper_ya[[#All],[Year]],helper_ya[[#All],[Category]]),br_er_low[[#All],[Ticker]],br_er_low[[#All],[IUSN]])</f>
        <v>-2.4346665139195478E-3</v>
      </c>
      <c r="E2" cm="1">
        <f t="array" ref="E2">_xlfn.XLOOKUP(_xlfn.XLOOKUP(returns_long_low[[#This Row],[Year]],helper_ya[[#All],[Year]],helper_ya[[#All],[Category]]),br_er_low[[#All],[Ticker]],br_er_low[[#All],[JGHY]])</f>
        <v>2.064053419377743E-2</v>
      </c>
      <c r="F2" cm="1">
        <f t="array" ref="F2">_xlfn.XLOOKUP(_xlfn.XLOOKUP(returns_long_low[[#This Row],[Year]],helper_ya[[#All],[Year]],helper_ya[[#All],[Category]]),br_er_low[[#All],[Ticker]],br_er_low[[#All],[LYXF]])</f>
        <v>-2.5698613655035559E-2</v>
      </c>
      <c r="G2" cm="1">
        <f t="array" ref="G2">_xlfn.XLOOKUP(_xlfn.XLOOKUP(returns_long_low[[#This Row],[Year]],helper_ya[[#All],[Year]],helper_ya[[#All],[Category]]),br_er_low[[#All],[Ticker]],br_er_low[[#All],[SXR4]])</f>
        <v>-6.9260345212938113E-3</v>
      </c>
      <c r="I2" cm="1">
        <f t="array" ref="I2">_xlfn.XLOOKUP(_xlfn.XLOOKUP(returns_long_low[[#This Row],[Year]],helper_ya[[#All],[Year]],helper_ya[[#All],[Category]]),br_er_low[[#All],[Ticker]],br_er_low[[#All],[SYBB]])</f>
        <v>6.925997467677858E-3</v>
      </c>
      <c r="J2" cm="1">
        <f t="array" ref="J2">_xlfn.XLOOKUP(_xlfn.XLOOKUP(returns_long_low[[#This Row],[Year]],helper_ya[[#All],[Year]],helper_ya[[#All],[Category]]),br_er_low[[#All],[Ticker]],br_er_low[[#All],[SYBC]])</f>
        <v>1.4807432922538499E-2</v>
      </c>
    </row>
    <row r="3" spans="1:10" x14ac:dyDescent="0.25">
      <c r="A3">
        <v>2036</v>
      </c>
      <c r="B3" cm="1">
        <f t="array" ref="B3">_xlfn.XLOOKUP(_xlfn.XLOOKUP(returns_long_low[[#This Row],[Year]],helper_ya[[#All],[Year]],helper_ya[[#All],[Category]]),br_er_low[[#All],[Ticker]],br_er_low[[#All],[EUNK]])</f>
        <v>2.2961633826017239E-2</v>
      </c>
      <c r="D3" cm="1">
        <f t="array" ref="D3">_xlfn.XLOOKUP(_xlfn.XLOOKUP(returns_long_low[[#This Row],[Year]],helper_ya[[#All],[Year]],helper_ya[[#All],[Category]]),br_er_low[[#All],[Ticker]],br_er_low[[#All],[IUSN]])</f>
        <v>4.0323108875586211E-3</v>
      </c>
      <c r="E3" cm="1">
        <f t="array" ref="E3">_xlfn.XLOOKUP(_xlfn.XLOOKUP(returns_long_low[[#This Row],[Year]],helper_ya[[#All],[Year]],helper_ya[[#All],[Category]]),br_er_low[[#All],[Ticker]],br_er_low[[#All],[JGHY]])</f>
        <v>2.1703702676223461E-2</v>
      </c>
      <c r="F3" cm="1">
        <f t="array" ref="F3">_xlfn.XLOOKUP(_xlfn.XLOOKUP(returns_long_low[[#This Row],[Year]],helper_ya[[#All],[Year]],helper_ya[[#All],[Category]]),br_er_low[[#All],[Ticker]],br_er_low[[#All],[LYXF]])</f>
        <v>-2.249616821907818E-2</v>
      </c>
      <c r="G3" cm="1">
        <f t="array" ref="G3">_xlfn.XLOOKUP(_xlfn.XLOOKUP(returns_long_low[[#This Row],[Year]],helper_ya[[#All],[Year]],helper_ya[[#All],[Category]]),br_er_low[[#All],[Ticker]],br_er_low[[#All],[SXR4]])</f>
        <v>5.4101717056664889E-3</v>
      </c>
      <c r="I3" cm="1">
        <f t="array" ref="I3">_xlfn.XLOOKUP(_xlfn.XLOOKUP(returns_long_low[[#This Row],[Year]],helper_ya[[#All],[Year]],helper_ya[[#All],[Category]]),br_er_low[[#All],[Ticker]],br_er_low[[#All],[SYBB]])</f>
        <v>6.1406789420861418E-3</v>
      </c>
      <c r="J3" cm="1">
        <f t="array" ref="J3">_xlfn.XLOOKUP(_xlfn.XLOOKUP(returns_long_low[[#This Row],[Year]],helper_ya[[#All],[Year]],helper_ya[[#All],[Category]]),br_er_low[[#All],[Ticker]],br_er_low[[#All],[SYBC]])</f>
        <v>1.51424791602035E-2</v>
      </c>
    </row>
    <row r="4" spans="1:10" x14ac:dyDescent="0.25">
      <c r="A4">
        <v>2037</v>
      </c>
      <c r="B4" cm="1">
        <f t="array" ref="B4">_xlfn.XLOOKUP(_xlfn.XLOOKUP(returns_long_low[[#This Row],[Year]],helper_ya[[#All],[Year]],helper_ya[[#All],[Category]]),br_er_low[[#All],[Ticker]],br_er_low[[#All],[EUNK]])</f>
        <v>2.2961633826017239E-2</v>
      </c>
      <c r="D4" cm="1">
        <f t="array" ref="D4">_xlfn.XLOOKUP(_xlfn.XLOOKUP(returns_long_low[[#This Row],[Year]],helper_ya[[#All],[Year]],helper_ya[[#All],[Category]]),br_er_low[[#All],[Ticker]],br_er_low[[#All],[IUSN]])</f>
        <v>4.0323108875586211E-3</v>
      </c>
      <c r="E4" cm="1">
        <f t="array" ref="E4">_xlfn.XLOOKUP(_xlfn.XLOOKUP(returns_long_low[[#This Row],[Year]],helper_ya[[#All],[Year]],helper_ya[[#All],[Category]]),br_er_low[[#All],[Ticker]],br_er_low[[#All],[JGHY]])</f>
        <v>2.1703702676223461E-2</v>
      </c>
      <c r="F4" cm="1">
        <f t="array" ref="F4">_xlfn.XLOOKUP(_xlfn.XLOOKUP(returns_long_low[[#This Row],[Year]],helper_ya[[#All],[Year]],helper_ya[[#All],[Category]]),br_er_low[[#All],[Ticker]],br_er_low[[#All],[LYXF]])</f>
        <v>-2.249616821907818E-2</v>
      </c>
      <c r="G4" cm="1">
        <f t="array" ref="G4">_xlfn.XLOOKUP(_xlfn.XLOOKUP(returns_long_low[[#This Row],[Year]],helper_ya[[#All],[Year]],helper_ya[[#All],[Category]]),br_er_low[[#All],[Ticker]],br_er_low[[#All],[SXR4]])</f>
        <v>5.4101717056664889E-3</v>
      </c>
      <c r="I4" cm="1">
        <f t="array" ref="I4">_xlfn.XLOOKUP(_xlfn.XLOOKUP(returns_long_low[[#This Row],[Year]],helper_ya[[#All],[Year]],helper_ya[[#All],[Category]]),br_er_low[[#All],[Ticker]],br_er_low[[#All],[SYBB]])</f>
        <v>6.1406789420861418E-3</v>
      </c>
      <c r="J4" cm="1">
        <f t="array" ref="J4">_xlfn.XLOOKUP(_xlfn.XLOOKUP(returns_long_low[[#This Row],[Year]],helper_ya[[#All],[Year]],helper_ya[[#All],[Category]]),br_er_low[[#All],[Ticker]],br_er_low[[#All],[SYBC]])</f>
        <v>1.51424791602035E-2</v>
      </c>
    </row>
    <row r="5" spans="1:10" x14ac:dyDescent="0.25">
      <c r="A5">
        <v>2038</v>
      </c>
      <c r="B5" cm="1">
        <f t="array" ref="B5">_xlfn.XLOOKUP(_xlfn.XLOOKUP(returns_long_low[[#This Row],[Year]],helper_ya[[#All],[Year]],helper_ya[[#All],[Category]]),br_er_low[[#All],[Ticker]],br_er_low[[#All],[EUNK]])</f>
        <v>2.2961633826017239E-2</v>
      </c>
      <c r="D5" cm="1">
        <f t="array" ref="D5">_xlfn.XLOOKUP(_xlfn.XLOOKUP(returns_long_low[[#This Row],[Year]],helper_ya[[#All],[Year]],helper_ya[[#All],[Category]]),br_er_low[[#All],[Ticker]],br_er_low[[#All],[IUSN]])</f>
        <v>4.0323108875586211E-3</v>
      </c>
      <c r="E5" cm="1">
        <f t="array" ref="E5">_xlfn.XLOOKUP(_xlfn.XLOOKUP(returns_long_low[[#This Row],[Year]],helper_ya[[#All],[Year]],helper_ya[[#All],[Category]]),br_er_low[[#All],[Ticker]],br_er_low[[#All],[JGHY]])</f>
        <v>2.1703702676223461E-2</v>
      </c>
      <c r="F5" cm="1">
        <f t="array" ref="F5">_xlfn.XLOOKUP(_xlfn.XLOOKUP(returns_long_low[[#This Row],[Year]],helper_ya[[#All],[Year]],helper_ya[[#All],[Category]]),br_er_low[[#All],[Ticker]],br_er_low[[#All],[LYXF]])</f>
        <v>-2.249616821907818E-2</v>
      </c>
      <c r="G5" cm="1">
        <f t="array" ref="G5">_xlfn.XLOOKUP(_xlfn.XLOOKUP(returns_long_low[[#This Row],[Year]],helper_ya[[#All],[Year]],helper_ya[[#All],[Category]]),br_er_low[[#All],[Ticker]],br_er_low[[#All],[SXR4]])</f>
        <v>5.4101717056664889E-3</v>
      </c>
      <c r="I5" cm="1">
        <f t="array" ref="I5">_xlfn.XLOOKUP(_xlfn.XLOOKUP(returns_long_low[[#This Row],[Year]],helper_ya[[#All],[Year]],helper_ya[[#All],[Category]]),br_er_low[[#All],[Ticker]],br_er_low[[#All],[SYBB]])</f>
        <v>6.1406789420861418E-3</v>
      </c>
      <c r="J5" cm="1">
        <f t="array" ref="J5">_xlfn.XLOOKUP(_xlfn.XLOOKUP(returns_long_low[[#This Row],[Year]],helper_ya[[#All],[Year]],helper_ya[[#All],[Category]]),br_er_low[[#All],[Ticker]],br_er_low[[#All],[SYBC]])</f>
        <v>1.51424791602035E-2</v>
      </c>
    </row>
    <row r="6" spans="1:10" x14ac:dyDescent="0.25">
      <c r="A6">
        <v>2039</v>
      </c>
      <c r="B6" cm="1">
        <f t="array" ref="B6">_xlfn.XLOOKUP(_xlfn.XLOOKUP(returns_long_low[[#This Row],[Year]],helper_ya[[#All],[Year]],helper_ya[[#All],[Category]]),br_er_low[[#All],[Ticker]],br_er_low[[#All],[EUNK]])</f>
        <v>2.2961633826017239E-2</v>
      </c>
      <c r="D6" cm="1">
        <f t="array" ref="D6">_xlfn.XLOOKUP(_xlfn.XLOOKUP(returns_long_low[[#This Row],[Year]],helper_ya[[#All],[Year]],helper_ya[[#All],[Category]]),br_er_low[[#All],[Ticker]],br_er_low[[#All],[IUSN]])</f>
        <v>4.0323108875586211E-3</v>
      </c>
      <c r="E6" cm="1">
        <f t="array" ref="E6">_xlfn.XLOOKUP(_xlfn.XLOOKUP(returns_long_low[[#This Row],[Year]],helper_ya[[#All],[Year]],helper_ya[[#All],[Category]]),br_er_low[[#All],[Ticker]],br_er_low[[#All],[JGHY]])</f>
        <v>2.1703702676223461E-2</v>
      </c>
      <c r="F6" cm="1">
        <f t="array" ref="F6">_xlfn.XLOOKUP(_xlfn.XLOOKUP(returns_long_low[[#This Row],[Year]],helper_ya[[#All],[Year]],helper_ya[[#All],[Category]]),br_er_low[[#All],[Ticker]],br_er_low[[#All],[LYXF]])</f>
        <v>-2.249616821907818E-2</v>
      </c>
      <c r="G6" cm="1">
        <f t="array" ref="G6">_xlfn.XLOOKUP(_xlfn.XLOOKUP(returns_long_low[[#This Row],[Year]],helper_ya[[#All],[Year]],helper_ya[[#All],[Category]]),br_er_low[[#All],[Ticker]],br_er_low[[#All],[SXR4]])</f>
        <v>5.4101717056664889E-3</v>
      </c>
      <c r="I6" cm="1">
        <f t="array" ref="I6">_xlfn.XLOOKUP(_xlfn.XLOOKUP(returns_long_low[[#This Row],[Year]],helper_ya[[#All],[Year]],helper_ya[[#All],[Category]]),br_er_low[[#All],[Ticker]],br_er_low[[#All],[SYBB]])</f>
        <v>6.1406789420861418E-3</v>
      </c>
      <c r="J6" cm="1">
        <f t="array" ref="J6">_xlfn.XLOOKUP(_xlfn.XLOOKUP(returns_long_low[[#This Row],[Year]],helper_ya[[#All],[Year]],helper_ya[[#All],[Category]]),br_er_low[[#All],[Ticker]],br_er_low[[#All],[SYBC]])</f>
        <v>1.51424791602035E-2</v>
      </c>
    </row>
    <row r="7" spans="1:10" x14ac:dyDescent="0.25">
      <c r="A7">
        <v>2040</v>
      </c>
      <c r="B7" cm="1">
        <f t="array" ref="B7">_xlfn.XLOOKUP(_xlfn.XLOOKUP(returns_long_low[[#This Row],[Year]],helper_ya[[#All],[Year]],helper_ya[[#All],[Category]]),br_er_low[[#All],[Ticker]],br_er_low[[#All],[EUNK]])</f>
        <v>2.2961633826017239E-2</v>
      </c>
      <c r="D7" cm="1">
        <f t="array" ref="D7">_xlfn.XLOOKUP(_xlfn.XLOOKUP(returns_long_low[[#This Row],[Year]],helper_ya[[#All],[Year]],helper_ya[[#All],[Category]]),br_er_low[[#All],[Ticker]],br_er_low[[#All],[IUSN]])</f>
        <v>4.0323108875586211E-3</v>
      </c>
      <c r="E7" cm="1">
        <f t="array" ref="E7">_xlfn.XLOOKUP(_xlfn.XLOOKUP(returns_long_low[[#This Row],[Year]],helper_ya[[#All],[Year]],helper_ya[[#All],[Category]]),br_er_low[[#All],[Ticker]],br_er_low[[#All],[JGHY]])</f>
        <v>2.1703702676223461E-2</v>
      </c>
      <c r="F7" cm="1">
        <f t="array" ref="F7">_xlfn.XLOOKUP(_xlfn.XLOOKUP(returns_long_low[[#This Row],[Year]],helper_ya[[#All],[Year]],helper_ya[[#All],[Category]]),br_er_low[[#All],[Ticker]],br_er_low[[#All],[LYXF]])</f>
        <v>-2.249616821907818E-2</v>
      </c>
      <c r="G7" cm="1">
        <f t="array" ref="G7">_xlfn.XLOOKUP(_xlfn.XLOOKUP(returns_long_low[[#This Row],[Year]],helper_ya[[#All],[Year]],helper_ya[[#All],[Category]]),br_er_low[[#All],[Ticker]],br_er_low[[#All],[SXR4]])</f>
        <v>5.4101717056664889E-3</v>
      </c>
      <c r="I7" cm="1">
        <f t="array" ref="I7">_xlfn.XLOOKUP(_xlfn.XLOOKUP(returns_long_low[[#This Row],[Year]],helper_ya[[#All],[Year]],helper_ya[[#All],[Category]]),br_er_low[[#All],[Ticker]],br_er_low[[#All],[SYBB]])</f>
        <v>6.1406789420861418E-3</v>
      </c>
      <c r="J7" cm="1">
        <f t="array" ref="J7">_xlfn.XLOOKUP(_xlfn.XLOOKUP(returns_long_low[[#This Row],[Year]],helper_ya[[#All],[Year]],helper_ya[[#All],[Category]]),br_er_low[[#All],[Ticker]],br_er_low[[#All],[SYBC]])</f>
        <v>1.51424791602035E-2</v>
      </c>
    </row>
    <row r="8" spans="1:10" x14ac:dyDescent="0.25">
      <c r="A8">
        <v>2041</v>
      </c>
      <c r="B8" cm="1">
        <f t="array" ref="B8">_xlfn.XLOOKUP(_xlfn.XLOOKUP(returns_long_low[[#This Row],[Year]],helper_ya[[#All],[Year]],helper_ya[[#All],[Category]]),br_er_low[[#All],[Ticker]],br_er_low[[#All],[EUNK]])</f>
        <v>2.3101219127319439E-2</v>
      </c>
      <c r="D8" cm="1">
        <f t="array" ref="D8">_xlfn.XLOOKUP(_xlfn.XLOOKUP(returns_long_low[[#This Row],[Year]],helper_ya[[#All],[Year]],helper_ya[[#All],[Category]]),br_er_low[[#All],[Ticker]],br_er_low[[#All],[IUSN]])</f>
        <v>9.5483541753711432E-3</v>
      </c>
      <c r="E8" cm="1">
        <f t="array" ref="E8">_xlfn.XLOOKUP(_xlfn.XLOOKUP(returns_long_low[[#This Row],[Year]],helper_ya[[#All],[Year]],helper_ya[[#All],[Category]]),br_er_low[[#All],[Ticker]],br_er_low[[#All],[JGHY]])</f>
        <v>2.2572752838522669E-2</v>
      </c>
      <c r="F8" cm="1">
        <f t="array" ref="F8">_xlfn.XLOOKUP(_xlfn.XLOOKUP(returns_long_low[[#This Row],[Year]],helper_ya[[#All],[Year]],helper_ya[[#All],[Category]]),br_er_low[[#All],[Ticker]],br_er_low[[#All],[LYXF]])</f>
        <v>-1.928536414023807E-2</v>
      </c>
      <c r="G8" cm="1">
        <f t="array" ref="G8">_xlfn.XLOOKUP(_xlfn.XLOOKUP(returns_long_low[[#This Row],[Year]],helper_ya[[#All],[Year]],helper_ya[[#All],[Category]]),br_er_low[[#All],[Ticker]],br_er_low[[#All],[SXR4]])</f>
        <v>1.412804537770884E-2</v>
      </c>
      <c r="I8" cm="1">
        <f t="array" ref="I8">_xlfn.XLOOKUP(_xlfn.XLOOKUP(returns_long_low[[#This Row],[Year]],helper_ya[[#All],[Year]],helper_ya[[#All],[Category]]),br_er_low[[#All],[Ticker]],br_er_low[[#All],[SYBB]])</f>
        <v>6.5426000318666846E-3</v>
      </c>
      <c r="J8" cm="1">
        <f t="array" ref="J8">_xlfn.XLOOKUP(_xlfn.XLOOKUP(returns_long_low[[#This Row],[Year]],helper_ya[[#All],[Year]],helper_ya[[#All],[Category]]),br_er_low[[#All],[Ticker]],br_er_low[[#All],[SYBC]])</f>
        <v>1.5600687341913441E-2</v>
      </c>
    </row>
    <row r="9" spans="1:10" x14ac:dyDescent="0.25">
      <c r="A9">
        <v>2042</v>
      </c>
      <c r="B9" cm="1">
        <f t="array" ref="B9">_xlfn.XLOOKUP(_xlfn.XLOOKUP(returns_long_low[[#This Row],[Year]],helper_ya[[#All],[Year]],helper_ya[[#All],[Category]]),br_er_low[[#All],[Ticker]],br_er_low[[#All],[EUNK]])</f>
        <v>2.3101219127319439E-2</v>
      </c>
      <c r="D9" cm="1">
        <f t="array" ref="D9">_xlfn.XLOOKUP(_xlfn.XLOOKUP(returns_long_low[[#This Row],[Year]],helper_ya[[#All],[Year]],helper_ya[[#All],[Category]]),br_er_low[[#All],[Ticker]],br_er_low[[#All],[IUSN]])</f>
        <v>9.5483541753711432E-3</v>
      </c>
      <c r="E9" cm="1">
        <f t="array" ref="E9">_xlfn.XLOOKUP(_xlfn.XLOOKUP(returns_long_low[[#This Row],[Year]],helper_ya[[#All],[Year]],helper_ya[[#All],[Category]]),br_er_low[[#All],[Ticker]],br_er_low[[#All],[JGHY]])</f>
        <v>2.2572752838522669E-2</v>
      </c>
      <c r="F9" cm="1">
        <f t="array" ref="F9">_xlfn.XLOOKUP(_xlfn.XLOOKUP(returns_long_low[[#This Row],[Year]],helper_ya[[#All],[Year]],helper_ya[[#All],[Category]]),br_er_low[[#All],[Ticker]],br_er_low[[#All],[LYXF]])</f>
        <v>-1.928536414023807E-2</v>
      </c>
      <c r="G9" cm="1">
        <f t="array" ref="G9">_xlfn.XLOOKUP(_xlfn.XLOOKUP(returns_long_low[[#This Row],[Year]],helper_ya[[#All],[Year]],helper_ya[[#All],[Category]]),br_er_low[[#All],[Ticker]],br_er_low[[#All],[SXR4]])</f>
        <v>1.412804537770884E-2</v>
      </c>
      <c r="I9" cm="1">
        <f t="array" ref="I9">_xlfn.XLOOKUP(_xlfn.XLOOKUP(returns_long_low[[#This Row],[Year]],helper_ya[[#All],[Year]],helper_ya[[#All],[Category]]),br_er_low[[#All],[Ticker]],br_er_low[[#All],[SYBB]])</f>
        <v>6.5426000318666846E-3</v>
      </c>
      <c r="J9" cm="1">
        <f t="array" ref="J9">_xlfn.XLOOKUP(_xlfn.XLOOKUP(returns_long_low[[#This Row],[Year]],helper_ya[[#All],[Year]],helper_ya[[#All],[Category]]),br_er_low[[#All],[Ticker]],br_er_low[[#All],[SYBC]])</f>
        <v>1.5600687341913441E-2</v>
      </c>
    </row>
    <row r="10" spans="1:10" x14ac:dyDescent="0.25">
      <c r="A10">
        <v>2043</v>
      </c>
      <c r="B10" cm="1">
        <f t="array" ref="B10">_xlfn.XLOOKUP(_xlfn.XLOOKUP(returns_long_low[[#This Row],[Year]],helper_ya[[#All],[Year]],helper_ya[[#All],[Category]]),br_er_low[[#All],[Ticker]],br_er_low[[#All],[EUNK]])</f>
        <v>2.3101219127319439E-2</v>
      </c>
      <c r="D10" cm="1">
        <f t="array" ref="D10">_xlfn.XLOOKUP(_xlfn.XLOOKUP(returns_long_low[[#This Row],[Year]],helper_ya[[#All],[Year]],helper_ya[[#All],[Category]]),br_er_low[[#All],[Ticker]],br_er_low[[#All],[IUSN]])</f>
        <v>9.5483541753711432E-3</v>
      </c>
      <c r="E10" cm="1">
        <f t="array" ref="E10">_xlfn.XLOOKUP(_xlfn.XLOOKUP(returns_long_low[[#This Row],[Year]],helper_ya[[#All],[Year]],helper_ya[[#All],[Category]]),br_er_low[[#All],[Ticker]],br_er_low[[#All],[JGHY]])</f>
        <v>2.2572752838522669E-2</v>
      </c>
      <c r="F10" cm="1">
        <f t="array" ref="F10">_xlfn.XLOOKUP(_xlfn.XLOOKUP(returns_long_low[[#This Row],[Year]],helper_ya[[#All],[Year]],helper_ya[[#All],[Category]]),br_er_low[[#All],[Ticker]],br_er_low[[#All],[LYXF]])</f>
        <v>-1.928536414023807E-2</v>
      </c>
      <c r="G10" cm="1">
        <f t="array" ref="G10">_xlfn.XLOOKUP(_xlfn.XLOOKUP(returns_long_low[[#This Row],[Year]],helper_ya[[#All],[Year]],helper_ya[[#All],[Category]]),br_er_low[[#All],[Ticker]],br_er_low[[#All],[SXR4]])</f>
        <v>1.412804537770884E-2</v>
      </c>
      <c r="I10" cm="1">
        <f t="array" ref="I10">_xlfn.XLOOKUP(_xlfn.XLOOKUP(returns_long_low[[#This Row],[Year]],helper_ya[[#All],[Year]],helper_ya[[#All],[Category]]),br_er_low[[#All],[Ticker]],br_er_low[[#All],[SYBB]])</f>
        <v>6.5426000318666846E-3</v>
      </c>
      <c r="J10" cm="1">
        <f t="array" ref="J10">_xlfn.XLOOKUP(_xlfn.XLOOKUP(returns_long_low[[#This Row],[Year]],helper_ya[[#All],[Year]],helper_ya[[#All],[Category]]),br_er_low[[#All],[Ticker]],br_er_low[[#All],[SYBC]])</f>
        <v>1.5600687341913441E-2</v>
      </c>
    </row>
    <row r="11" spans="1:10" x14ac:dyDescent="0.25">
      <c r="A11">
        <v>2044</v>
      </c>
      <c r="B11" cm="1">
        <f t="array" ref="B11">_xlfn.XLOOKUP(_xlfn.XLOOKUP(returns_long_low[[#This Row],[Year]],helper_ya[[#All],[Year]],helper_ya[[#All],[Category]]),br_er_low[[#All],[Ticker]],br_er_low[[#All],[EUNK]])</f>
        <v>2.3101219127319439E-2</v>
      </c>
      <c r="D11" cm="1">
        <f t="array" ref="D11">_xlfn.XLOOKUP(_xlfn.XLOOKUP(returns_long_low[[#This Row],[Year]],helper_ya[[#All],[Year]],helper_ya[[#All],[Category]]),br_er_low[[#All],[Ticker]],br_er_low[[#All],[IUSN]])</f>
        <v>9.5483541753711432E-3</v>
      </c>
      <c r="E11" cm="1">
        <f t="array" ref="E11">_xlfn.XLOOKUP(_xlfn.XLOOKUP(returns_long_low[[#This Row],[Year]],helper_ya[[#All],[Year]],helper_ya[[#All],[Category]]),br_er_low[[#All],[Ticker]],br_er_low[[#All],[JGHY]])</f>
        <v>2.2572752838522669E-2</v>
      </c>
      <c r="F11" cm="1">
        <f t="array" ref="F11">_xlfn.XLOOKUP(_xlfn.XLOOKUP(returns_long_low[[#This Row],[Year]],helper_ya[[#All],[Year]],helper_ya[[#All],[Category]]),br_er_low[[#All],[Ticker]],br_er_low[[#All],[LYXF]])</f>
        <v>-1.928536414023807E-2</v>
      </c>
      <c r="G11" cm="1">
        <f t="array" ref="G11">_xlfn.XLOOKUP(_xlfn.XLOOKUP(returns_long_low[[#This Row],[Year]],helper_ya[[#All],[Year]],helper_ya[[#All],[Category]]),br_er_low[[#All],[Ticker]],br_er_low[[#All],[SXR4]])</f>
        <v>1.412804537770884E-2</v>
      </c>
      <c r="I11" cm="1">
        <f t="array" ref="I11">_xlfn.XLOOKUP(_xlfn.XLOOKUP(returns_long_low[[#This Row],[Year]],helper_ya[[#All],[Year]],helper_ya[[#All],[Category]]),br_er_low[[#All],[Ticker]],br_er_low[[#All],[SYBB]])</f>
        <v>6.5426000318666846E-3</v>
      </c>
      <c r="J11" cm="1">
        <f t="array" ref="J11">_xlfn.XLOOKUP(_xlfn.XLOOKUP(returns_long_low[[#This Row],[Year]],helper_ya[[#All],[Year]],helper_ya[[#All],[Category]]),br_er_low[[#All],[Ticker]],br_er_low[[#All],[SYBC]])</f>
        <v>1.5600687341913441E-2</v>
      </c>
    </row>
    <row r="12" spans="1:10" x14ac:dyDescent="0.25">
      <c r="A12">
        <v>2045</v>
      </c>
      <c r="B12" cm="1">
        <f t="array" ref="B12">_xlfn.XLOOKUP(_xlfn.XLOOKUP(returns_long_low[[#This Row],[Year]],helper_ya[[#All],[Year]],helper_ya[[#All],[Category]]),br_er_low[[#All],[Ticker]],br_er_low[[#All],[EUNK]])</f>
        <v>2.3101219127319439E-2</v>
      </c>
      <c r="D12" cm="1">
        <f t="array" ref="D12">_xlfn.XLOOKUP(_xlfn.XLOOKUP(returns_long_low[[#This Row],[Year]],helper_ya[[#All],[Year]],helper_ya[[#All],[Category]]),br_er_low[[#All],[Ticker]],br_er_low[[#All],[IUSN]])</f>
        <v>9.5483541753711432E-3</v>
      </c>
      <c r="E12" cm="1">
        <f t="array" ref="E12">_xlfn.XLOOKUP(_xlfn.XLOOKUP(returns_long_low[[#This Row],[Year]],helper_ya[[#All],[Year]],helper_ya[[#All],[Category]]),br_er_low[[#All],[Ticker]],br_er_low[[#All],[JGHY]])</f>
        <v>2.2572752838522669E-2</v>
      </c>
      <c r="F12" cm="1">
        <f t="array" ref="F12">_xlfn.XLOOKUP(_xlfn.XLOOKUP(returns_long_low[[#This Row],[Year]],helper_ya[[#All],[Year]],helper_ya[[#All],[Category]]),br_er_low[[#All],[Ticker]],br_er_low[[#All],[LYXF]])</f>
        <v>-1.928536414023807E-2</v>
      </c>
      <c r="G12" cm="1">
        <f t="array" ref="G12">_xlfn.XLOOKUP(_xlfn.XLOOKUP(returns_long_low[[#This Row],[Year]],helper_ya[[#All],[Year]],helper_ya[[#All],[Category]]),br_er_low[[#All],[Ticker]],br_er_low[[#All],[SXR4]])</f>
        <v>1.412804537770884E-2</v>
      </c>
      <c r="I12" cm="1">
        <f t="array" ref="I12">_xlfn.XLOOKUP(_xlfn.XLOOKUP(returns_long_low[[#This Row],[Year]],helper_ya[[#All],[Year]],helper_ya[[#All],[Category]]),br_er_low[[#All],[Ticker]],br_er_low[[#All],[SYBB]])</f>
        <v>6.5426000318666846E-3</v>
      </c>
      <c r="J12" cm="1">
        <f t="array" ref="J12">_xlfn.XLOOKUP(_xlfn.XLOOKUP(returns_long_low[[#This Row],[Year]],helper_ya[[#All],[Year]],helper_ya[[#All],[Category]]),br_er_low[[#All],[Ticker]],br_er_low[[#All],[SYBC]])</f>
        <v>1.5600687341913441E-2</v>
      </c>
    </row>
    <row r="13" spans="1:10" x14ac:dyDescent="0.25">
      <c r="A13">
        <v>2046</v>
      </c>
      <c r="B13" cm="1">
        <f t="array" ref="B13">_xlfn.XLOOKUP(_xlfn.XLOOKUP(returns_long_low[[#This Row],[Year]],helper_ya[[#All],[Year]],helper_ya[[#All],[Category]]),br_er_low[[#All],[Ticker]],br_er_low[[#All],[EUNK]])</f>
        <v>2.3751373507521208E-2</v>
      </c>
      <c r="D13" cm="1">
        <f t="array" ref="D13">_xlfn.XLOOKUP(_xlfn.XLOOKUP(returns_long_low[[#This Row],[Year]],helper_ya[[#All],[Year]],helper_ya[[#All],[Category]]),br_er_low[[#All],[Ticker]],br_er_low[[#All],[IUSN]])</f>
        <v>1.2540440648342919E-2</v>
      </c>
      <c r="E13" cm="1">
        <f t="array" ref="E13">_xlfn.XLOOKUP(_xlfn.XLOOKUP(returns_long_low[[#This Row],[Year]],helper_ya[[#All],[Year]],helper_ya[[#All],[Category]]),br_er_low[[#All],[Ticker]],br_er_low[[#All],[JGHY]])</f>
        <v>2.3602686005482761E-2</v>
      </c>
      <c r="F13" cm="1">
        <f t="array" ref="F13">_xlfn.XLOOKUP(_xlfn.XLOOKUP(returns_long_low[[#This Row],[Year]],helper_ya[[#All],[Year]],helper_ya[[#All],[Category]]),br_er_low[[#All],[Ticker]],br_er_low[[#All],[LYXF]])</f>
        <v>-1.5493189014051389E-2</v>
      </c>
      <c r="G13" cm="1">
        <f t="array" ref="G13">_xlfn.XLOOKUP(_xlfn.XLOOKUP(returns_long_low[[#This Row],[Year]],helper_ya[[#All],[Year]],helper_ya[[#All],[Category]]),br_er_low[[#All],[Ticker]],br_er_low[[#All],[SXR4]])</f>
        <v>1.995075392115897E-2</v>
      </c>
      <c r="I13" cm="1">
        <f t="array" ref="I13">_xlfn.XLOOKUP(_xlfn.XLOOKUP(returns_long_low[[#This Row],[Year]],helper_ya[[#All],[Year]],helper_ya[[#All],[Category]]),br_er_low[[#All],[Ticker]],br_er_low[[#All],[SYBB]])</f>
        <v>7.0735200072391544E-3</v>
      </c>
      <c r="J13" cm="1">
        <f t="array" ref="J13">_xlfn.XLOOKUP(_xlfn.XLOOKUP(returns_long_low[[#This Row],[Year]],helper_ya[[#All],[Year]],helper_ya[[#All],[Category]]),br_er_low[[#All],[Ticker]],br_er_low[[#All],[SYBC]])</f>
        <v>1.6604990626092109E-2</v>
      </c>
    </row>
    <row r="14" spans="1:10" x14ac:dyDescent="0.25">
      <c r="A14">
        <v>2047</v>
      </c>
      <c r="B14" cm="1">
        <f t="array" ref="B14">_xlfn.XLOOKUP(_xlfn.XLOOKUP(returns_long_low[[#This Row],[Year]],helper_ya[[#All],[Year]],helper_ya[[#All],[Category]]),br_er_low[[#All],[Ticker]],br_er_low[[#All],[EUNK]])</f>
        <v>2.3751373507521208E-2</v>
      </c>
      <c r="D14" cm="1">
        <f t="array" ref="D14">_xlfn.XLOOKUP(_xlfn.XLOOKUP(returns_long_low[[#This Row],[Year]],helper_ya[[#All],[Year]],helper_ya[[#All],[Category]]),br_er_low[[#All],[Ticker]],br_er_low[[#All],[IUSN]])</f>
        <v>1.2540440648342919E-2</v>
      </c>
      <c r="E14" cm="1">
        <f t="array" ref="E14">_xlfn.XLOOKUP(_xlfn.XLOOKUP(returns_long_low[[#This Row],[Year]],helper_ya[[#All],[Year]],helper_ya[[#All],[Category]]),br_er_low[[#All],[Ticker]],br_er_low[[#All],[JGHY]])</f>
        <v>2.3602686005482761E-2</v>
      </c>
      <c r="F14" cm="1">
        <f t="array" ref="F14">_xlfn.XLOOKUP(_xlfn.XLOOKUP(returns_long_low[[#This Row],[Year]],helper_ya[[#All],[Year]],helper_ya[[#All],[Category]]),br_er_low[[#All],[Ticker]],br_er_low[[#All],[LYXF]])</f>
        <v>-1.5493189014051389E-2</v>
      </c>
      <c r="G14" cm="1">
        <f t="array" ref="G14">_xlfn.XLOOKUP(_xlfn.XLOOKUP(returns_long_low[[#This Row],[Year]],helper_ya[[#All],[Year]],helper_ya[[#All],[Category]]),br_er_low[[#All],[Ticker]],br_er_low[[#All],[SXR4]])</f>
        <v>1.995075392115897E-2</v>
      </c>
      <c r="I14" cm="1">
        <f t="array" ref="I14">_xlfn.XLOOKUP(_xlfn.XLOOKUP(returns_long_low[[#This Row],[Year]],helper_ya[[#All],[Year]],helper_ya[[#All],[Category]]),br_er_low[[#All],[Ticker]],br_er_low[[#All],[SYBB]])</f>
        <v>7.0735200072391544E-3</v>
      </c>
      <c r="J14" cm="1">
        <f t="array" ref="J14">_xlfn.XLOOKUP(_xlfn.XLOOKUP(returns_long_low[[#This Row],[Year]],helper_ya[[#All],[Year]],helper_ya[[#All],[Category]]),br_er_low[[#All],[Ticker]],br_er_low[[#All],[SYBC]])</f>
        <v>1.6604990626092109E-2</v>
      </c>
    </row>
    <row r="15" spans="1:10" x14ac:dyDescent="0.25">
      <c r="A15">
        <v>2048</v>
      </c>
      <c r="B15" cm="1">
        <f t="array" ref="B15">_xlfn.XLOOKUP(_xlfn.XLOOKUP(returns_long_low[[#This Row],[Year]],helper_ya[[#All],[Year]],helper_ya[[#All],[Category]]),br_er_low[[#All],[Ticker]],br_er_low[[#All],[EUNK]])</f>
        <v>2.3751373507521208E-2</v>
      </c>
      <c r="D15" cm="1">
        <f t="array" ref="D15">_xlfn.XLOOKUP(_xlfn.XLOOKUP(returns_long_low[[#This Row],[Year]],helper_ya[[#All],[Year]],helper_ya[[#All],[Category]]),br_er_low[[#All],[Ticker]],br_er_low[[#All],[IUSN]])</f>
        <v>1.2540440648342919E-2</v>
      </c>
      <c r="E15" cm="1">
        <f t="array" ref="E15">_xlfn.XLOOKUP(_xlfn.XLOOKUP(returns_long_low[[#This Row],[Year]],helper_ya[[#All],[Year]],helper_ya[[#All],[Category]]),br_er_low[[#All],[Ticker]],br_er_low[[#All],[JGHY]])</f>
        <v>2.3602686005482761E-2</v>
      </c>
      <c r="F15" cm="1">
        <f t="array" ref="F15">_xlfn.XLOOKUP(_xlfn.XLOOKUP(returns_long_low[[#This Row],[Year]],helper_ya[[#All],[Year]],helper_ya[[#All],[Category]]),br_er_low[[#All],[Ticker]],br_er_low[[#All],[LYXF]])</f>
        <v>-1.5493189014051389E-2</v>
      </c>
      <c r="G15" cm="1">
        <f t="array" ref="G15">_xlfn.XLOOKUP(_xlfn.XLOOKUP(returns_long_low[[#This Row],[Year]],helper_ya[[#All],[Year]],helper_ya[[#All],[Category]]),br_er_low[[#All],[Ticker]],br_er_low[[#All],[SXR4]])</f>
        <v>1.995075392115897E-2</v>
      </c>
      <c r="I15" cm="1">
        <f t="array" ref="I15">_xlfn.XLOOKUP(_xlfn.XLOOKUP(returns_long_low[[#This Row],[Year]],helper_ya[[#All],[Year]],helper_ya[[#All],[Category]]),br_er_low[[#All],[Ticker]],br_er_low[[#All],[SYBB]])</f>
        <v>7.0735200072391544E-3</v>
      </c>
      <c r="J15" cm="1">
        <f t="array" ref="J15">_xlfn.XLOOKUP(_xlfn.XLOOKUP(returns_long_low[[#This Row],[Year]],helper_ya[[#All],[Year]],helper_ya[[#All],[Category]]),br_er_low[[#All],[Ticker]],br_er_low[[#All],[SYBC]])</f>
        <v>1.6604990626092109E-2</v>
      </c>
    </row>
    <row r="16" spans="1:10" x14ac:dyDescent="0.25">
      <c r="A16">
        <v>2049</v>
      </c>
      <c r="B16" cm="1">
        <f t="array" ref="B16">_xlfn.XLOOKUP(_xlfn.XLOOKUP(returns_long_low[[#This Row],[Year]],helper_ya[[#All],[Year]],helper_ya[[#All],[Category]]),br_er_low[[#All],[Ticker]],br_er_low[[#All],[EUNK]])</f>
        <v>2.3751373507521208E-2</v>
      </c>
      <c r="D16" cm="1">
        <f t="array" ref="D16">_xlfn.XLOOKUP(_xlfn.XLOOKUP(returns_long_low[[#This Row],[Year]],helper_ya[[#All],[Year]],helper_ya[[#All],[Category]]),br_er_low[[#All],[Ticker]],br_er_low[[#All],[IUSN]])</f>
        <v>1.2540440648342919E-2</v>
      </c>
      <c r="E16" cm="1">
        <f t="array" ref="E16">_xlfn.XLOOKUP(_xlfn.XLOOKUP(returns_long_low[[#This Row],[Year]],helper_ya[[#All],[Year]],helper_ya[[#All],[Category]]),br_er_low[[#All],[Ticker]],br_er_low[[#All],[JGHY]])</f>
        <v>2.3602686005482761E-2</v>
      </c>
      <c r="F16" cm="1">
        <f t="array" ref="F16">_xlfn.XLOOKUP(_xlfn.XLOOKUP(returns_long_low[[#This Row],[Year]],helper_ya[[#All],[Year]],helper_ya[[#All],[Category]]),br_er_low[[#All],[Ticker]],br_er_low[[#All],[LYXF]])</f>
        <v>-1.5493189014051389E-2</v>
      </c>
      <c r="G16" cm="1">
        <f t="array" ref="G16">_xlfn.XLOOKUP(_xlfn.XLOOKUP(returns_long_low[[#This Row],[Year]],helper_ya[[#All],[Year]],helper_ya[[#All],[Category]]),br_er_low[[#All],[Ticker]],br_er_low[[#All],[SXR4]])</f>
        <v>1.995075392115897E-2</v>
      </c>
      <c r="I16" cm="1">
        <f t="array" ref="I16">_xlfn.XLOOKUP(_xlfn.XLOOKUP(returns_long_low[[#This Row],[Year]],helper_ya[[#All],[Year]],helper_ya[[#All],[Category]]),br_er_low[[#All],[Ticker]],br_er_low[[#All],[SYBB]])</f>
        <v>7.0735200072391544E-3</v>
      </c>
      <c r="J16" cm="1">
        <f t="array" ref="J16">_xlfn.XLOOKUP(_xlfn.XLOOKUP(returns_long_low[[#This Row],[Year]],helper_ya[[#All],[Year]],helper_ya[[#All],[Category]]),br_er_low[[#All],[Ticker]],br_er_low[[#All],[SYBC]])</f>
        <v>1.6604990626092109E-2</v>
      </c>
    </row>
    <row r="17" spans="1:10" x14ac:dyDescent="0.25">
      <c r="A17">
        <v>2050</v>
      </c>
      <c r="B17" cm="1">
        <f t="array" ref="B17">_xlfn.XLOOKUP(_xlfn.XLOOKUP(returns_long_low[[#This Row],[Year]],helper_ya[[#All],[Year]],helper_ya[[#All],[Category]]),br_er_low[[#All],[Ticker]],br_er_low[[#All],[EUNK]])</f>
        <v>2.3751373507521208E-2</v>
      </c>
      <c r="D17" cm="1">
        <f t="array" ref="D17">_xlfn.XLOOKUP(_xlfn.XLOOKUP(returns_long_low[[#This Row],[Year]],helper_ya[[#All],[Year]],helper_ya[[#All],[Category]]),br_er_low[[#All],[Ticker]],br_er_low[[#All],[IUSN]])</f>
        <v>1.2540440648342919E-2</v>
      </c>
      <c r="E17" cm="1">
        <f t="array" ref="E17">_xlfn.XLOOKUP(_xlfn.XLOOKUP(returns_long_low[[#This Row],[Year]],helper_ya[[#All],[Year]],helper_ya[[#All],[Category]]),br_er_low[[#All],[Ticker]],br_er_low[[#All],[JGHY]])</f>
        <v>2.3602686005482761E-2</v>
      </c>
      <c r="F17" cm="1">
        <f t="array" ref="F17">_xlfn.XLOOKUP(_xlfn.XLOOKUP(returns_long_low[[#This Row],[Year]],helper_ya[[#All],[Year]],helper_ya[[#All],[Category]]),br_er_low[[#All],[Ticker]],br_er_low[[#All],[LYXF]])</f>
        <v>-1.5493189014051389E-2</v>
      </c>
      <c r="G17" cm="1">
        <f t="array" ref="G17">_xlfn.XLOOKUP(_xlfn.XLOOKUP(returns_long_low[[#This Row],[Year]],helper_ya[[#All],[Year]],helper_ya[[#All],[Category]]),br_er_low[[#All],[Ticker]],br_er_low[[#All],[SXR4]])</f>
        <v>1.995075392115897E-2</v>
      </c>
      <c r="I17" cm="1">
        <f t="array" ref="I17">_xlfn.XLOOKUP(_xlfn.XLOOKUP(returns_long_low[[#This Row],[Year]],helper_ya[[#All],[Year]],helper_ya[[#All],[Category]]),br_er_low[[#All],[Ticker]],br_er_low[[#All],[SYBB]])</f>
        <v>7.0735200072391544E-3</v>
      </c>
      <c r="J17" cm="1">
        <f t="array" ref="J17">_xlfn.XLOOKUP(_xlfn.XLOOKUP(returns_long_low[[#This Row],[Year]],helper_ya[[#All],[Year]],helper_ya[[#All],[Category]]),br_er_low[[#All],[Ticker]],br_er_low[[#All],[SYBC]])</f>
        <v>1.6604990626092109E-2</v>
      </c>
    </row>
    <row r="18" spans="1:10" x14ac:dyDescent="0.25">
      <c r="A18">
        <v>2051</v>
      </c>
      <c r="B18" cm="1">
        <f t="array" ref="B18">_xlfn.XLOOKUP(_xlfn.XLOOKUP(returns_long_low[[#This Row],[Year]],helper_ya[[#All],[Year]],helper_ya[[#All],[Category]]),br_er_low[[#All],[Ticker]],br_er_low[[#All],[EUNK]])</f>
        <v>2.517913443457576E-2</v>
      </c>
      <c r="D18" cm="1">
        <f t="array" ref="D18">_xlfn.XLOOKUP(_xlfn.XLOOKUP(returns_long_low[[#This Row],[Year]],helper_ya[[#All],[Year]],helper_ya[[#All],[Category]]),br_er_low[[#All],[Ticker]],br_er_low[[#All],[IUSN]])</f>
        <v>1.6553238981621199E-2</v>
      </c>
      <c r="E18" cm="1">
        <f t="array" ref="E18">_xlfn.XLOOKUP(_xlfn.XLOOKUP(returns_long_low[[#This Row],[Year]],helper_ya[[#All],[Year]],helper_ya[[#All],[Category]]),br_er_low[[#All],[Ticker]],br_er_low[[#All],[JGHY]])</f>
        <v>2.4049386364373149E-2</v>
      </c>
      <c r="F18" cm="1">
        <f t="array" ref="F18">_xlfn.XLOOKUP(_xlfn.XLOOKUP(returns_long_low[[#This Row],[Year]],helper_ya[[#All],[Year]],helper_ya[[#All],[Category]]),br_er_low[[#All],[Ticker]],br_er_low[[#All],[LYXF]])</f>
        <v>-1.238685360750502E-2</v>
      </c>
      <c r="G18" cm="1">
        <f t="array" ref="G18">_xlfn.XLOOKUP(_xlfn.XLOOKUP(returns_long_low[[#This Row],[Year]],helper_ya[[#All],[Year]],helper_ya[[#All],[Category]]),br_er_low[[#All],[Ticker]],br_er_low[[#All],[SXR4]])</f>
        <v>2.422390954759357E-2</v>
      </c>
      <c r="I18" cm="1">
        <f t="array" ref="I18">_xlfn.XLOOKUP(_xlfn.XLOOKUP(returns_long_low[[#This Row],[Year]],helper_ya[[#All],[Year]],helper_ya[[#All],[Category]]),br_er_low[[#All],[Ticker]],br_er_low[[#All],[SYBB]])</f>
        <v>7.649514678177205E-3</v>
      </c>
      <c r="J18" cm="1">
        <f t="array" ref="J18">_xlfn.XLOOKUP(_xlfn.XLOOKUP(returns_long_low[[#This Row],[Year]],helper_ya[[#All],[Year]],helper_ya[[#All],[Category]]),br_er_low[[#All],[Ticker]],br_er_low[[#All],[SYBC]])</f>
        <v>1.7508738350035639E-2</v>
      </c>
    </row>
    <row r="19" spans="1:10" x14ac:dyDescent="0.25">
      <c r="A19">
        <v>2052</v>
      </c>
      <c r="B19" cm="1">
        <f t="array" ref="B19">_xlfn.XLOOKUP(_xlfn.XLOOKUP(returns_long_low[[#This Row],[Year]],helper_ya[[#All],[Year]],helper_ya[[#All],[Category]]),br_er_low[[#All],[Ticker]],br_er_low[[#All],[EUNK]])</f>
        <v>2.517913443457576E-2</v>
      </c>
      <c r="D19" cm="1">
        <f t="array" ref="D19">_xlfn.XLOOKUP(_xlfn.XLOOKUP(returns_long_low[[#This Row],[Year]],helper_ya[[#All],[Year]],helper_ya[[#All],[Category]]),br_er_low[[#All],[Ticker]],br_er_low[[#All],[IUSN]])</f>
        <v>1.6553238981621199E-2</v>
      </c>
      <c r="E19" cm="1">
        <f t="array" ref="E19">_xlfn.XLOOKUP(_xlfn.XLOOKUP(returns_long_low[[#This Row],[Year]],helper_ya[[#All],[Year]],helper_ya[[#All],[Category]]),br_er_low[[#All],[Ticker]],br_er_low[[#All],[JGHY]])</f>
        <v>2.4049386364373149E-2</v>
      </c>
      <c r="F19" cm="1">
        <f t="array" ref="F19">_xlfn.XLOOKUP(_xlfn.XLOOKUP(returns_long_low[[#This Row],[Year]],helper_ya[[#All],[Year]],helper_ya[[#All],[Category]]),br_er_low[[#All],[Ticker]],br_er_low[[#All],[LYXF]])</f>
        <v>-1.238685360750502E-2</v>
      </c>
      <c r="G19" cm="1">
        <f t="array" ref="G19">_xlfn.XLOOKUP(_xlfn.XLOOKUP(returns_long_low[[#This Row],[Year]],helper_ya[[#All],[Year]],helper_ya[[#All],[Category]]),br_er_low[[#All],[Ticker]],br_er_low[[#All],[SXR4]])</f>
        <v>2.422390954759357E-2</v>
      </c>
      <c r="I19" cm="1">
        <f t="array" ref="I19">_xlfn.XLOOKUP(_xlfn.XLOOKUP(returns_long_low[[#This Row],[Year]],helper_ya[[#All],[Year]],helper_ya[[#All],[Category]]),br_er_low[[#All],[Ticker]],br_er_low[[#All],[SYBB]])</f>
        <v>7.649514678177205E-3</v>
      </c>
      <c r="J19" cm="1">
        <f t="array" ref="J19">_xlfn.XLOOKUP(_xlfn.XLOOKUP(returns_long_low[[#This Row],[Year]],helper_ya[[#All],[Year]],helper_ya[[#All],[Category]]),br_er_low[[#All],[Ticker]],br_er_low[[#All],[SYBC]])</f>
        <v>1.7508738350035639E-2</v>
      </c>
    </row>
    <row r="20" spans="1:10" x14ac:dyDescent="0.25">
      <c r="A20">
        <v>2053</v>
      </c>
      <c r="B20" cm="1">
        <f t="array" ref="B20">_xlfn.XLOOKUP(_xlfn.XLOOKUP(returns_long_low[[#This Row],[Year]],helper_ya[[#All],[Year]],helper_ya[[#All],[Category]]),br_er_low[[#All],[Ticker]],br_er_low[[#All],[EUNK]])</f>
        <v>2.517913443457576E-2</v>
      </c>
      <c r="D20" cm="1">
        <f t="array" ref="D20">_xlfn.XLOOKUP(_xlfn.XLOOKUP(returns_long_low[[#This Row],[Year]],helper_ya[[#All],[Year]],helper_ya[[#All],[Category]]),br_er_low[[#All],[Ticker]],br_er_low[[#All],[IUSN]])</f>
        <v>1.6553238981621199E-2</v>
      </c>
      <c r="E20" cm="1">
        <f t="array" ref="E20">_xlfn.XLOOKUP(_xlfn.XLOOKUP(returns_long_low[[#This Row],[Year]],helper_ya[[#All],[Year]],helper_ya[[#All],[Category]]),br_er_low[[#All],[Ticker]],br_er_low[[#All],[JGHY]])</f>
        <v>2.4049386364373149E-2</v>
      </c>
      <c r="F20" cm="1">
        <f t="array" ref="F20">_xlfn.XLOOKUP(_xlfn.XLOOKUP(returns_long_low[[#This Row],[Year]],helper_ya[[#All],[Year]],helper_ya[[#All],[Category]]),br_er_low[[#All],[Ticker]],br_er_low[[#All],[LYXF]])</f>
        <v>-1.238685360750502E-2</v>
      </c>
      <c r="G20" cm="1">
        <f t="array" ref="G20">_xlfn.XLOOKUP(_xlfn.XLOOKUP(returns_long_low[[#This Row],[Year]],helper_ya[[#All],[Year]],helper_ya[[#All],[Category]]),br_er_low[[#All],[Ticker]],br_er_low[[#All],[SXR4]])</f>
        <v>2.422390954759357E-2</v>
      </c>
      <c r="I20" cm="1">
        <f t="array" ref="I20">_xlfn.XLOOKUP(_xlfn.XLOOKUP(returns_long_low[[#This Row],[Year]],helper_ya[[#All],[Year]],helper_ya[[#All],[Category]]),br_er_low[[#All],[Ticker]],br_er_low[[#All],[SYBB]])</f>
        <v>7.649514678177205E-3</v>
      </c>
      <c r="J20" cm="1">
        <f t="array" ref="J20">_xlfn.XLOOKUP(_xlfn.XLOOKUP(returns_long_low[[#This Row],[Year]],helper_ya[[#All],[Year]],helper_ya[[#All],[Category]]),br_er_low[[#All],[Ticker]],br_er_low[[#All],[SYBC]])</f>
        <v>1.7508738350035639E-2</v>
      </c>
    </row>
    <row r="21" spans="1:10" x14ac:dyDescent="0.25">
      <c r="A21">
        <v>2054</v>
      </c>
      <c r="B21" cm="1">
        <f t="array" ref="B21">_xlfn.XLOOKUP(_xlfn.XLOOKUP(returns_long_low[[#This Row],[Year]],helper_ya[[#All],[Year]],helper_ya[[#All],[Category]]),br_er_low[[#All],[Ticker]],br_er_low[[#All],[EUNK]])</f>
        <v>2.517913443457576E-2</v>
      </c>
      <c r="D21" cm="1">
        <f t="array" ref="D21">_xlfn.XLOOKUP(_xlfn.XLOOKUP(returns_long_low[[#This Row],[Year]],helper_ya[[#All],[Year]],helper_ya[[#All],[Category]]),br_er_low[[#All],[Ticker]],br_er_low[[#All],[IUSN]])</f>
        <v>1.6553238981621199E-2</v>
      </c>
      <c r="E21" cm="1">
        <f t="array" ref="E21">_xlfn.XLOOKUP(_xlfn.XLOOKUP(returns_long_low[[#This Row],[Year]],helper_ya[[#All],[Year]],helper_ya[[#All],[Category]]),br_er_low[[#All],[Ticker]],br_er_low[[#All],[JGHY]])</f>
        <v>2.4049386364373149E-2</v>
      </c>
      <c r="F21" cm="1">
        <f t="array" ref="F21">_xlfn.XLOOKUP(_xlfn.XLOOKUP(returns_long_low[[#This Row],[Year]],helper_ya[[#All],[Year]],helper_ya[[#All],[Category]]),br_er_low[[#All],[Ticker]],br_er_low[[#All],[LYXF]])</f>
        <v>-1.238685360750502E-2</v>
      </c>
      <c r="G21" cm="1">
        <f t="array" ref="G21">_xlfn.XLOOKUP(_xlfn.XLOOKUP(returns_long_low[[#This Row],[Year]],helper_ya[[#All],[Year]],helper_ya[[#All],[Category]]),br_er_low[[#All],[Ticker]],br_er_low[[#All],[SXR4]])</f>
        <v>2.422390954759357E-2</v>
      </c>
      <c r="I21" cm="1">
        <f t="array" ref="I21">_xlfn.XLOOKUP(_xlfn.XLOOKUP(returns_long_low[[#This Row],[Year]],helper_ya[[#All],[Year]],helper_ya[[#All],[Category]]),br_er_low[[#All],[Ticker]],br_er_low[[#All],[SYBB]])</f>
        <v>7.649514678177205E-3</v>
      </c>
      <c r="J21" cm="1">
        <f t="array" ref="J21">_xlfn.XLOOKUP(_xlfn.XLOOKUP(returns_long_low[[#This Row],[Year]],helper_ya[[#All],[Year]],helper_ya[[#All],[Category]]),br_er_low[[#All],[Ticker]],br_er_low[[#All],[SYBC]])</f>
        <v>1.7508738350035639E-2</v>
      </c>
    </row>
    <row r="22" spans="1:10" x14ac:dyDescent="0.25">
      <c r="A22">
        <v>2055</v>
      </c>
      <c r="B22" cm="1">
        <f t="array" ref="B22">_xlfn.XLOOKUP(_xlfn.XLOOKUP(returns_long_low[[#This Row],[Year]],helper_ya[[#All],[Year]],helper_ya[[#All],[Category]]),br_er_low[[#All],[Ticker]],br_er_low[[#All],[EUNK]])</f>
        <v>2.517913443457576E-2</v>
      </c>
      <c r="D22" cm="1">
        <f t="array" ref="D22">_xlfn.XLOOKUP(_xlfn.XLOOKUP(returns_long_low[[#This Row],[Year]],helper_ya[[#All],[Year]],helper_ya[[#All],[Category]]),br_er_low[[#All],[Ticker]],br_er_low[[#All],[IUSN]])</f>
        <v>1.6553238981621199E-2</v>
      </c>
      <c r="E22" cm="1">
        <f t="array" ref="E22">_xlfn.XLOOKUP(_xlfn.XLOOKUP(returns_long_low[[#This Row],[Year]],helper_ya[[#All],[Year]],helper_ya[[#All],[Category]]),br_er_low[[#All],[Ticker]],br_er_low[[#All],[JGHY]])</f>
        <v>2.4049386364373149E-2</v>
      </c>
      <c r="F22" cm="1">
        <f t="array" ref="F22">_xlfn.XLOOKUP(_xlfn.XLOOKUP(returns_long_low[[#This Row],[Year]],helper_ya[[#All],[Year]],helper_ya[[#All],[Category]]),br_er_low[[#All],[Ticker]],br_er_low[[#All],[LYXF]])</f>
        <v>-1.238685360750502E-2</v>
      </c>
      <c r="G22" cm="1">
        <f t="array" ref="G22">_xlfn.XLOOKUP(_xlfn.XLOOKUP(returns_long_low[[#This Row],[Year]],helper_ya[[#All],[Year]],helper_ya[[#All],[Category]]),br_er_low[[#All],[Ticker]],br_er_low[[#All],[SXR4]])</f>
        <v>2.422390954759357E-2</v>
      </c>
      <c r="I22" cm="1">
        <f t="array" ref="I22">_xlfn.XLOOKUP(_xlfn.XLOOKUP(returns_long_low[[#This Row],[Year]],helper_ya[[#All],[Year]],helper_ya[[#All],[Category]]),br_er_low[[#All],[Ticker]],br_er_low[[#All],[SYBB]])</f>
        <v>7.649514678177205E-3</v>
      </c>
      <c r="J22" cm="1">
        <f t="array" ref="J22">_xlfn.XLOOKUP(_xlfn.XLOOKUP(returns_long_low[[#This Row],[Year]],helper_ya[[#All],[Year]],helper_ya[[#All],[Category]]),br_er_low[[#All],[Ticker]],br_er_low[[#All],[SYBC]])</f>
        <v>1.7508738350035639E-2</v>
      </c>
    </row>
    <row r="23" spans="1:10" x14ac:dyDescent="0.25">
      <c r="A23">
        <v>2056</v>
      </c>
      <c r="B23" cm="1">
        <f t="array" ref="B23">_xlfn.XLOOKUP(_xlfn.XLOOKUP(returns_long_low[[#This Row],[Year]],helper_ya[[#All],[Year]],helper_ya[[#All],[Category]]),br_er_low[[#All],[Ticker]],br_er_low[[#All],[EUNK]])</f>
        <v>2.517913443457576E-2</v>
      </c>
      <c r="D23" cm="1">
        <f t="array" ref="D23">_xlfn.XLOOKUP(_xlfn.XLOOKUP(returns_long_low[[#This Row],[Year]],helper_ya[[#All],[Year]],helper_ya[[#All],[Category]]),br_er_low[[#All],[Ticker]],br_er_low[[#All],[IUSN]])</f>
        <v>1.6553238981621199E-2</v>
      </c>
      <c r="E23" cm="1">
        <f t="array" ref="E23">_xlfn.XLOOKUP(_xlfn.XLOOKUP(returns_long_low[[#This Row],[Year]],helper_ya[[#All],[Year]],helper_ya[[#All],[Category]]),br_er_low[[#All],[Ticker]],br_er_low[[#All],[JGHY]])</f>
        <v>2.4049386364373149E-2</v>
      </c>
      <c r="F23" cm="1">
        <f t="array" ref="F23">_xlfn.XLOOKUP(_xlfn.XLOOKUP(returns_long_low[[#This Row],[Year]],helper_ya[[#All],[Year]],helper_ya[[#All],[Category]]),br_er_low[[#All],[Ticker]],br_er_low[[#All],[LYXF]])</f>
        <v>-1.238685360750502E-2</v>
      </c>
      <c r="G23" cm="1">
        <f t="array" ref="G23">_xlfn.XLOOKUP(_xlfn.XLOOKUP(returns_long_low[[#This Row],[Year]],helper_ya[[#All],[Year]],helper_ya[[#All],[Category]]),br_er_low[[#All],[Ticker]],br_er_low[[#All],[SXR4]])</f>
        <v>2.422390954759357E-2</v>
      </c>
      <c r="I23" cm="1">
        <f t="array" ref="I23">_xlfn.XLOOKUP(_xlfn.XLOOKUP(returns_long_low[[#This Row],[Year]],helper_ya[[#All],[Year]],helper_ya[[#All],[Category]]),br_er_low[[#All],[Ticker]],br_er_low[[#All],[SYBB]])</f>
        <v>7.649514678177205E-3</v>
      </c>
      <c r="J23" cm="1">
        <f t="array" ref="J23">_xlfn.XLOOKUP(_xlfn.XLOOKUP(returns_long_low[[#This Row],[Year]],helper_ya[[#All],[Year]],helper_ya[[#All],[Category]]),br_er_low[[#All],[Ticker]],br_er_low[[#All],[SYBC]])</f>
        <v>1.7508738350035639E-2</v>
      </c>
    </row>
    <row r="24" spans="1:10" x14ac:dyDescent="0.25">
      <c r="A24">
        <v>2057</v>
      </c>
      <c r="B24" cm="1">
        <f t="array" ref="B24">_xlfn.XLOOKUP(_xlfn.XLOOKUP(returns_long_low[[#This Row],[Year]],helper_ya[[#All],[Year]],helper_ya[[#All],[Category]]),br_er_low[[#All],[Ticker]],br_er_low[[#All],[EUNK]])</f>
        <v>2.517913443457576E-2</v>
      </c>
      <c r="D24" cm="1">
        <f t="array" ref="D24">_xlfn.XLOOKUP(_xlfn.XLOOKUP(returns_long_low[[#This Row],[Year]],helper_ya[[#All],[Year]],helper_ya[[#All],[Category]]),br_er_low[[#All],[Ticker]],br_er_low[[#All],[IUSN]])</f>
        <v>1.6553238981621199E-2</v>
      </c>
      <c r="E24" cm="1">
        <f t="array" ref="E24">_xlfn.XLOOKUP(_xlfn.XLOOKUP(returns_long_low[[#This Row],[Year]],helper_ya[[#All],[Year]],helper_ya[[#All],[Category]]),br_er_low[[#All],[Ticker]],br_er_low[[#All],[JGHY]])</f>
        <v>2.4049386364373149E-2</v>
      </c>
      <c r="F24" cm="1">
        <f t="array" ref="F24">_xlfn.XLOOKUP(_xlfn.XLOOKUP(returns_long_low[[#This Row],[Year]],helper_ya[[#All],[Year]],helper_ya[[#All],[Category]]),br_er_low[[#All],[Ticker]],br_er_low[[#All],[LYXF]])</f>
        <v>-1.238685360750502E-2</v>
      </c>
      <c r="G24" cm="1">
        <f t="array" ref="G24">_xlfn.XLOOKUP(_xlfn.XLOOKUP(returns_long_low[[#This Row],[Year]],helper_ya[[#All],[Year]],helper_ya[[#All],[Category]]),br_er_low[[#All],[Ticker]],br_er_low[[#All],[SXR4]])</f>
        <v>2.422390954759357E-2</v>
      </c>
      <c r="I24" cm="1">
        <f t="array" ref="I24">_xlfn.XLOOKUP(_xlfn.XLOOKUP(returns_long_low[[#This Row],[Year]],helper_ya[[#All],[Year]],helper_ya[[#All],[Category]]),br_er_low[[#All],[Ticker]],br_er_low[[#All],[SYBB]])</f>
        <v>7.649514678177205E-3</v>
      </c>
      <c r="J24" cm="1">
        <f t="array" ref="J24">_xlfn.XLOOKUP(_xlfn.XLOOKUP(returns_long_low[[#This Row],[Year]],helper_ya[[#All],[Year]],helper_ya[[#All],[Category]]),br_er_low[[#All],[Ticker]],br_er_low[[#All],[SYBC]])</f>
        <v>1.7508738350035639E-2</v>
      </c>
    </row>
    <row r="25" spans="1:10" x14ac:dyDescent="0.25">
      <c r="A25">
        <v>2058</v>
      </c>
      <c r="B25" cm="1">
        <f t="array" ref="B25">_xlfn.XLOOKUP(_xlfn.XLOOKUP(returns_long_low[[#This Row],[Year]],helper_ya[[#All],[Year]],helper_ya[[#All],[Category]]),br_er_low[[#All],[Ticker]],br_er_low[[#All],[EUNK]])</f>
        <v>2.517913443457576E-2</v>
      </c>
      <c r="D25" cm="1">
        <f t="array" ref="D25">_xlfn.XLOOKUP(_xlfn.XLOOKUP(returns_long_low[[#This Row],[Year]],helper_ya[[#All],[Year]],helper_ya[[#All],[Category]]),br_er_low[[#All],[Ticker]],br_er_low[[#All],[IUSN]])</f>
        <v>1.6553238981621199E-2</v>
      </c>
      <c r="E25" cm="1">
        <f t="array" ref="E25">_xlfn.XLOOKUP(_xlfn.XLOOKUP(returns_long_low[[#This Row],[Year]],helper_ya[[#All],[Year]],helper_ya[[#All],[Category]]),br_er_low[[#All],[Ticker]],br_er_low[[#All],[JGHY]])</f>
        <v>2.4049386364373149E-2</v>
      </c>
      <c r="F25" cm="1">
        <f t="array" ref="F25">_xlfn.XLOOKUP(_xlfn.XLOOKUP(returns_long_low[[#This Row],[Year]],helper_ya[[#All],[Year]],helper_ya[[#All],[Category]]),br_er_low[[#All],[Ticker]],br_er_low[[#All],[LYXF]])</f>
        <v>-1.238685360750502E-2</v>
      </c>
      <c r="G25" cm="1">
        <f t="array" ref="G25">_xlfn.XLOOKUP(_xlfn.XLOOKUP(returns_long_low[[#This Row],[Year]],helper_ya[[#All],[Year]],helper_ya[[#All],[Category]]),br_er_low[[#All],[Ticker]],br_er_low[[#All],[SXR4]])</f>
        <v>2.422390954759357E-2</v>
      </c>
      <c r="I25" cm="1">
        <f t="array" ref="I25">_xlfn.XLOOKUP(_xlfn.XLOOKUP(returns_long_low[[#This Row],[Year]],helper_ya[[#All],[Year]],helper_ya[[#All],[Category]]),br_er_low[[#All],[Ticker]],br_er_low[[#All],[SYBB]])</f>
        <v>7.649514678177205E-3</v>
      </c>
      <c r="J25" cm="1">
        <f t="array" ref="J25">_xlfn.XLOOKUP(_xlfn.XLOOKUP(returns_long_low[[#This Row],[Year]],helper_ya[[#All],[Year]],helper_ya[[#All],[Category]]),br_er_low[[#All],[Ticker]],br_er_low[[#All],[SYBC]])</f>
        <v>1.7508738350035639E-2</v>
      </c>
    </row>
    <row r="26" spans="1:10" x14ac:dyDescent="0.25">
      <c r="A26">
        <v>2059</v>
      </c>
      <c r="B26" cm="1">
        <f t="array" ref="B26">_xlfn.XLOOKUP(_xlfn.XLOOKUP(returns_long_low[[#This Row],[Year]],helper_ya[[#All],[Year]],helper_ya[[#All],[Category]]),br_er_low[[#All],[Ticker]],br_er_low[[#All],[EUNK]])</f>
        <v>2.517913443457576E-2</v>
      </c>
      <c r="D26" cm="1">
        <f t="array" ref="D26">_xlfn.XLOOKUP(_xlfn.XLOOKUP(returns_long_low[[#This Row],[Year]],helper_ya[[#All],[Year]],helper_ya[[#All],[Category]]),br_er_low[[#All],[Ticker]],br_er_low[[#All],[IUSN]])</f>
        <v>1.6553238981621199E-2</v>
      </c>
      <c r="E26" cm="1">
        <f t="array" ref="E26">_xlfn.XLOOKUP(_xlfn.XLOOKUP(returns_long_low[[#This Row],[Year]],helper_ya[[#All],[Year]],helper_ya[[#All],[Category]]),br_er_low[[#All],[Ticker]],br_er_low[[#All],[JGHY]])</f>
        <v>2.4049386364373149E-2</v>
      </c>
      <c r="F26" cm="1">
        <f t="array" ref="F26">_xlfn.XLOOKUP(_xlfn.XLOOKUP(returns_long_low[[#This Row],[Year]],helper_ya[[#All],[Year]],helper_ya[[#All],[Category]]),br_er_low[[#All],[Ticker]],br_er_low[[#All],[LYXF]])</f>
        <v>-1.238685360750502E-2</v>
      </c>
      <c r="G26" cm="1">
        <f t="array" ref="G26">_xlfn.XLOOKUP(_xlfn.XLOOKUP(returns_long_low[[#This Row],[Year]],helper_ya[[#All],[Year]],helper_ya[[#All],[Category]]),br_er_low[[#All],[Ticker]],br_er_low[[#All],[SXR4]])</f>
        <v>2.422390954759357E-2</v>
      </c>
      <c r="I26" cm="1">
        <f t="array" ref="I26">_xlfn.XLOOKUP(_xlfn.XLOOKUP(returns_long_low[[#This Row],[Year]],helper_ya[[#All],[Year]],helper_ya[[#All],[Category]]),br_er_low[[#All],[Ticker]],br_er_low[[#All],[SYBB]])</f>
        <v>7.649514678177205E-3</v>
      </c>
      <c r="J26" cm="1">
        <f t="array" ref="J26">_xlfn.XLOOKUP(_xlfn.XLOOKUP(returns_long_low[[#This Row],[Year]],helper_ya[[#All],[Year]],helper_ya[[#All],[Category]]),br_er_low[[#All],[Ticker]],br_er_low[[#All],[SYBC]])</f>
        <v>1.7508738350035639E-2</v>
      </c>
    </row>
    <row r="27" spans="1:10" x14ac:dyDescent="0.25">
      <c r="A27">
        <v>2060</v>
      </c>
      <c r="B27" cm="1">
        <f t="array" ref="B27">_xlfn.XLOOKUP(_xlfn.XLOOKUP(returns_long_low[[#This Row],[Year]],helper_ya[[#All],[Year]],helper_ya[[#All],[Category]]),br_er_low[[#All],[Ticker]],br_er_low[[#All],[EUNK]])</f>
        <v>2.517913443457576E-2</v>
      </c>
      <c r="D27" cm="1">
        <f t="array" ref="D27">_xlfn.XLOOKUP(_xlfn.XLOOKUP(returns_long_low[[#This Row],[Year]],helper_ya[[#All],[Year]],helper_ya[[#All],[Category]]),br_er_low[[#All],[Ticker]],br_er_low[[#All],[IUSN]])</f>
        <v>1.6553238981621199E-2</v>
      </c>
      <c r="E27" cm="1">
        <f t="array" ref="E27">_xlfn.XLOOKUP(_xlfn.XLOOKUP(returns_long_low[[#This Row],[Year]],helper_ya[[#All],[Year]],helper_ya[[#All],[Category]]),br_er_low[[#All],[Ticker]],br_er_low[[#All],[JGHY]])</f>
        <v>2.4049386364373149E-2</v>
      </c>
      <c r="F27" cm="1">
        <f t="array" ref="F27">_xlfn.XLOOKUP(_xlfn.XLOOKUP(returns_long_low[[#This Row],[Year]],helper_ya[[#All],[Year]],helper_ya[[#All],[Category]]),br_er_low[[#All],[Ticker]],br_er_low[[#All],[LYXF]])</f>
        <v>-1.238685360750502E-2</v>
      </c>
      <c r="G27" cm="1">
        <f t="array" ref="G27">_xlfn.XLOOKUP(_xlfn.XLOOKUP(returns_long_low[[#This Row],[Year]],helper_ya[[#All],[Year]],helper_ya[[#All],[Category]]),br_er_low[[#All],[Ticker]],br_er_low[[#All],[SXR4]])</f>
        <v>2.422390954759357E-2</v>
      </c>
      <c r="I27" cm="1">
        <f t="array" ref="I27">_xlfn.XLOOKUP(_xlfn.XLOOKUP(returns_long_low[[#This Row],[Year]],helper_ya[[#All],[Year]],helper_ya[[#All],[Category]]),br_er_low[[#All],[Ticker]],br_er_low[[#All],[SYBB]])</f>
        <v>7.649514678177205E-3</v>
      </c>
      <c r="J27" cm="1">
        <f t="array" ref="J27">_xlfn.XLOOKUP(_xlfn.XLOOKUP(returns_long_low[[#This Row],[Year]],helper_ya[[#All],[Year]],helper_ya[[#All],[Category]]),br_er_low[[#All],[Ticker]],br_er_low[[#All],[SYBC]])</f>
        <v>1.7508738350035639E-2</v>
      </c>
    </row>
    <row r="28" spans="1:10" x14ac:dyDescent="0.25">
      <c r="A28">
        <v>2061</v>
      </c>
      <c r="B28" cm="1">
        <f t="array" ref="B28">_xlfn.XLOOKUP(_xlfn.XLOOKUP(returns_long_low[[#This Row],[Year]],helper_ya[[#All],[Year]],helper_ya[[#All],[Category]]),br_er_low[[#All],[Ticker]],br_er_low[[#All],[EUNK]])</f>
        <v>2.517913443457576E-2</v>
      </c>
      <c r="D28" cm="1">
        <f t="array" ref="D28">_xlfn.XLOOKUP(_xlfn.XLOOKUP(returns_long_low[[#This Row],[Year]],helper_ya[[#All],[Year]],helper_ya[[#All],[Category]]),br_er_low[[#All],[Ticker]],br_er_low[[#All],[IUSN]])</f>
        <v>1.6553238981621199E-2</v>
      </c>
      <c r="E28" cm="1">
        <f t="array" ref="E28">_xlfn.XLOOKUP(_xlfn.XLOOKUP(returns_long_low[[#This Row],[Year]],helper_ya[[#All],[Year]],helper_ya[[#All],[Category]]),br_er_low[[#All],[Ticker]],br_er_low[[#All],[JGHY]])</f>
        <v>2.4049386364373149E-2</v>
      </c>
      <c r="F28" cm="1">
        <f t="array" ref="F28">_xlfn.XLOOKUP(_xlfn.XLOOKUP(returns_long_low[[#This Row],[Year]],helper_ya[[#All],[Year]],helper_ya[[#All],[Category]]),br_er_low[[#All],[Ticker]],br_er_low[[#All],[LYXF]])</f>
        <v>-1.238685360750502E-2</v>
      </c>
      <c r="G28" cm="1">
        <f t="array" ref="G28">_xlfn.XLOOKUP(_xlfn.XLOOKUP(returns_long_low[[#This Row],[Year]],helper_ya[[#All],[Year]],helper_ya[[#All],[Category]]),br_er_low[[#All],[Ticker]],br_er_low[[#All],[SXR4]])</f>
        <v>2.422390954759357E-2</v>
      </c>
      <c r="I28" cm="1">
        <f t="array" ref="I28">_xlfn.XLOOKUP(_xlfn.XLOOKUP(returns_long_low[[#This Row],[Year]],helper_ya[[#All],[Year]],helper_ya[[#All],[Category]]),br_er_low[[#All],[Ticker]],br_er_low[[#All],[SYBB]])</f>
        <v>7.649514678177205E-3</v>
      </c>
      <c r="J28" cm="1">
        <f t="array" ref="J28">_xlfn.XLOOKUP(_xlfn.XLOOKUP(returns_long_low[[#This Row],[Year]],helper_ya[[#All],[Year]],helper_ya[[#All],[Category]]),br_er_low[[#All],[Ticker]],br_er_low[[#All],[SYBC]])</f>
        <v>1.7508738350035639E-2</v>
      </c>
    </row>
    <row r="29" spans="1:10" x14ac:dyDescent="0.25">
      <c r="A29">
        <v>2062</v>
      </c>
      <c r="B29" cm="1">
        <f t="array" ref="B29">_xlfn.XLOOKUP(_xlfn.XLOOKUP(returns_long_low[[#This Row],[Year]],helper_ya[[#All],[Year]],helper_ya[[#All],[Category]]),br_er_low[[#All],[Ticker]],br_er_low[[#All],[EUNK]])</f>
        <v>2.517913443457576E-2</v>
      </c>
      <c r="D29" cm="1">
        <f t="array" ref="D29">_xlfn.XLOOKUP(_xlfn.XLOOKUP(returns_long_low[[#This Row],[Year]],helper_ya[[#All],[Year]],helper_ya[[#All],[Category]]),br_er_low[[#All],[Ticker]],br_er_low[[#All],[IUSN]])</f>
        <v>1.6553238981621199E-2</v>
      </c>
      <c r="E29" cm="1">
        <f t="array" ref="E29">_xlfn.XLOOKUP(_xlfn.XLOOKUP(returns_long_low[[#This Row],[Year]],helper_ya[[#All],[Year]],helper_ya[[#All],[Category]]),br_er_low[[#All],[Ticker]],br_er_low[[#All],[JGHY]])</f>
        <v>2.4049386364373149E-2</v>
      </c>
      <c r="F29" cm="1">
        <f t="array" ref="F29">_xlfn.XLOOKUP(_xlfn.XLOOKUP(returns_long_low[[#This Row],[Year]],helper_ya[[#All],[Year]],helper_ya[[#All],[Category]]),br_er_low[[#All],[Ticker]],br_er_low[[#All],[LYXF]])</f>
        <v>-1.238685360750502E-2</v>
      </c>
      <c r="G29" cm="1">
        <f t="array" ref="G29">_xlfn.XLOOKUP(_xlfn.XLOOKUP(returns_long_low[[#This Row],[Year]],helper_ya[[#All],[Year]],helper_ya[[#All],[Category]]),br_er_low[[#All],[Ticker]],br_er_low[[#All],[SXR4]])</f>
        <v>2.422390954759357E-2</v>
      </c>
      <c r="I29" cm="1">
        <f t="array" ref="I29">_xlfn.XLOOKUP(_xlfn.XLOOKUP(returns_long_low[[#This Row],[Year]],helper_ya[[#All],[Year]],helper_ya[[#All],[Category]]),br_er_low[[#All],[Ticker]],br_er_low[[#All],[SYBB]])</f>
        <v>7.649514678177205E-3</v>
      </c>
      <c r="J29" cm="1">
        <f t="array" ref="J29">_xlfn.XLOOKUP(_xlfn.XLOOKUP(returns_long_low[[#This Row],[Year]],helper_ya[[#All],[Year]],helper_ya[[#All],[Category]]),br_er_low[[#All],[Ticker]],br_er_low[[#All],[SYBC]])</f>
        <v>1.7508738350035639E-2</v>
      </c>
    </row>
    <row r="30" spans="1:10" x14ac:dyDescent="0.25">
      <c r="A30">
        <v>2063</v>
      </c>
      <c r="B30" cm="1">
        <f t="array" ref="B30">_xlfn.XLOOKUP(_xlfn.XLOOKUP(returns_long_low[[#This Row],[Year]],helper_ya[[#All],[Year]],helper_ya[[#All],[Category]]),br_er_low[[#All],[Ticker]],br_er_low[[#All],[EUNK]])</f>
        <v>2.517913443457576E-2</v>
      </c>
      <c r="D30" cm="1">
        <f t="array" ref="D30">_xlfn.XLOOKUP(_xlfn.XLOOKUP(returns_long_low[[#This Row],[Year]],helper_ya[[#All],[Year]],helper_ya[[#All],[Category]]),br_er_low[[#All],[Ticker]],br_er_low[[#All],[IUSN]])</f>
        <v>1.6553238981621199E-2</v>
      </c>
      <c r="E30" cm="1">
        <f t="array" ref="E30">_xlfn.XLOOKUP(_xlfn.XLOOKUP(returns_long_low[[#This Row],[Year]],helper_ya[[#All],[Year]],helper_ya[[#All],[Category]]),br_er_low[[#All],[Ticker]],br_er_low[[#All],[JGHY]])</f>
        <v>2.4049386364373149E-2</v>
      </c>
      <c r="F30" cm="1">
        <f t="array" ref="F30">_xlfn.XLOOKUP(_xlfn.XLOOKUP(returns_long_low[[#This Row],[Year]],helper_ya[[#All],[Year]],helper_ya[[#All],[Category]]),br_er_low[[#All],[Ticker]],br_er_low[[#All],[LYXF]])</f>
        <v>-1.238685360750502E-2</v>
      </c>
      <c r="G30" cm="1">
        <f t="array" ref="G30">_xlfn.XLOOKUP(_xlfn.XLOOKUP(returns_long_low[[#This Row],[Year]],helper_ya[[#All],[Year]],helper_ya[[#All],[Category]]),br_er_low[[#All],[Ticker]],br_er_low[[#All],[SXR4]])</f>
        <v>2.422390954759357E-2</v>
      </c>
      <c r="I30" cm="1">
        <f t="array" ref="I30">_xlfn.XLOOKUP(_xlfn.XLOOKUP(returns_long_low[[#This Row],[Year]],helper_ya[[#All],[Year]],helper_ya[[#All],[Category]]),br_er_low[[#All],[Ticker]],br_er_low[[#All],[SYBB]])</f>
        <v>7.649514678177205E-3</v>
      </c>
      <c r="J30" cm="1">
        <f t="array" ref="J30">_xlfn.XLOOKUP(_xlfn.XLOOKUP(returns_long_low[[#This Row],[Year]],helper_ya[[#All],[Year]],helper_ya[[#All],[Category]]),br_er_low[[#All],[Ticker]],br_er_low[[#All],[SYBC]])</f>
        <v>1.7508738350035639E-2</v>
      </c>
    </row>
    <row r="31" spans="1:10" x14ac:dyDescent="0.25">
      <c r="A31">
        <v>2064</v>
      </c>
      <c r="B31" cm="1">
        <f t="array" ref="B31">_xlfn.XLOOKUP(_xlfn.XLOOKUP(returns_long_low[[#This Row],[Year]],helper_ya[[#All],[Year]],helper_ya[[#All],[Category]]),br_er_low[[#All],[Ticker]],br_er_low[[#All],[EUNK]])</f>
        <v>2.517913443457576E-2</v>
      </c>
      <c r="D31" cm="1">
        <f t="array" ref="D31">_xlfn.XLOOKUP(_xlfn.XLOOKUP(returns_long_low[[#This Row],[Year]],helper_ya[[#All],[Year]],helper_ya[[#All],[Category]]),br_er_low[[#All],[Ticker]],br_er_low[[#All],[IUSN]])</f>
        <v>1.6553238981621199E-2</v>
      </c>
      <c r="E31" cm="1">
        <f t="array" ref="E31">_xlfn.XLOOKUP(_xlfn.XLOOKUP(returns_long_low[[#This Row],[Year]],helper_ya[[#All],[Year]],helper_ya[[#All],[Category]]),br_er_low[[#All],[Ticker]],br_er_low[[#All],[JGHY]])</f>
        <v>2.4049386364373149E-2</v>
      </c>
      <c r="F31" cm="1">
        <f t="array" ref="F31">_xlfn.XLOOKUP(_xlfn.XLOOKUP(returns_long_low[[#This Row],[Year]],helper_ya[[#All],[Year]],helper_ya[[#All],[Category]]),br_er_low[[#All],[Ticker]],br_er_low[[#All],[LYXF]])</f>
        <v>-1.238685360750502E-2</v>
      </c>
      <c r="G31" cm="1">
        <f t="array" ref="G31">_xlfn.XLOOKUP(_xlfn.XLOOKUP(returns_long_low[[#This Row],[Year]],helper_ya[[#All],[Year]],helper_ya[[#All],[Category]]),br_er_low[[#All],[Ticker]],br_er_low[[#All],[SXR4]])</f>
        <v>2.422390954759357E-2</v>
      </c>
      <c r="I31" cm="1">
        <f t="array" ref="I31">_xlfn.XLOOKUP(_xlfn.XLOOKUP(returns_long_low[[#This Row],[Year]],helper_ya[[#All],[Year]],helper_ya[[#All],[Category]]),br_er_low[[#All],[Ticker]],br_er_low[[#All],[SYBB]])</f>
        <v>7.649514678177205E-3</v>
      </c>
      <c r="J31" cm="1">
        <f t="array" ref="J31">_xlfn.XLOOKUP(_xlfn.XLOOKUP(returns_long_low[[#This Row],[Year]],helper_ya[[#All],[Year]],helper_ya[[#All],[Category]]),br_er_low[[#All],[Ticker]],br_er_low[[#All],[SYBC]])</f>
        <v>1.7508738350035639E-2</v>
      </c>
    </row>
    <row r="32" spans="1:10" x14ac:dyDescent="0.25">
      <c r="A32">
        <v>2065</v>
      </c>
      <c r="B32" cm="1">
        <f t="array" ref="B32">_xlfn.XLOOKUP(_xlfn.XLOOKUP(returns_long_low[[#This Row],[Year]],helper_ya[[#All],[Year]],helper_ya[[#All],[Category]]),br_er_low[[#All],[Ticker]],br_er_low[[#All],[EUNK]])</f>
        <v>2.517913443457576E-2</v>
      </c>
      <c r="D32" cm="1">
        <f t="array" ref="D32">_xlfn.XLOOKUP(_xlfn.XLOOKUP(returns_long_low[[#This Row],[Year]],helper_ya[[#All],[Year]],helper_ya[[#All],[Category]]),br_er_low[[#All],[Ticker]],br_er_low[[#All],[IUSN]])</f>
        <v>1.6553238981621199E-2</v>
      </c>
      <c r="E32" cm="1">
        <f t="array" ref="E32">_xlfn.XLOOKUP(_xlfn.XLOOKUP(returns_long_low[[#This Row],[Year]],helper_ya[[#All],[Year]],helper_ya[[#All],[Category]]),br_er_low[[#All],[Ticker]],br_er_low[[#All],[JGHY]])</f>
        <v>2.4049386364373149E-2</v>
      </c>
      <c r="F32" cm="1">
        <f t="array" ref="F32">_xlfn.XLOOKUP(_xlfn.XLOOKUP(returns_long_low[[#This Row],[Year]],helper_ya[[#All],[Year]],helper_ya[[#All],[Category]]),br_er_low[[#All],[Ticker]],br_er_low[[#All],[LYXF]])</f>
        <v>-1.238685360750502E-2</v>
      </c>
      <c r="G32" cm="1">
        <f t="array" ref="G32">_xlfn.XLOOKUP(_xlfn.XLOOKUP(returns_long_low[[#This Row],[Year]],helper_ya[[#All],[Year]],helper_ya[[#All],[Category]]),br_er_low[[#All],[Ticker]],br_er_low[[#All],[SXR4]])</f>
        <v>2.422390954759357E-2</v>
      </c>
      <c r="I32" cm="1">
        <f t="array" ref="I32">_xlfn.XLOOKUP(_xlfn.XLOOKUP(returns_long_low[[#This Row],[Year]],helper_ya[[#All],[Year]],helper_ya[[#All],[Category]]),br_er_low[[#All],[Ticker]],br_er_low[[#All],[SYBB]])</f>
        <v>7.649514678177205E-3</v>
      </c>
      <c r="J32" cm="1">
        <f t="array" ref="J32">_xlfn.XLOOKUP(_xlfn.XLOOKUP(returns_long_low[[#This Row],[Year]],helper_ya[[#All],[Year]],helper_ya[[#All],[Category]]),br_er_low[[#All],[Ticker]],br_er_low[[#All],[SYBC]])</f>
        <v>1.7508738350035639E-2</v>
      </c>
    </row>
    <row r="33" spans="1:10" x14ac:dyDescent="0.25">
      <c r="A33">
        <v>2066</v>
      </c>
      <c r="B33" cm="1">
        <f t="array" ref="B33">_xlfn.XLOOKUP(_xlfn.XLOOKUP(returns_long_low[[#This Row],[Year]],helper_ya[[#All],[Year]],helper_ya[[#All],[Category]]),br_er_low[[#All],[Ticker]],br_er_low[[#All],[EUNK]])</f>
        <v>2.517913443457576E-2</v>
      </c>
      <c r="D33" cm="1">
        <f t="array" ref="D33">_xlfn.XLOOKUP(_xlfn.XLOOKUP(returns_long_low[[#This Row],[Year]],helper_ya[[#All],[Year]],helper_ya[[#All],[Category]]),br_er_low[[#All],[Ticker]],br_er_low[[#All],[IUSN]])</f>
        <v>1.6553238981621199E-2</v>
      </c>
      <c r="E33" cm="1">
        <f t="array" ref="E33">_xlfn.XLOOKUP(_xlfn.XLOOKUP(returns_long_low[[#This Row],[Year]],helper_ya[[#All],[Year]],helper_ya[[#All],[Category]]),br_er_low[[#All],[Ticker]],br_er_low[[#All],[JGHY]])</f>
        <v>2.4049386364373149E-2</v>
      </c>
      <c r="F33" cm="1">
        <f t="array" ref="F33">_xlfn.XLOOKUP(_xlfn.XLOOKUP(returns_long_low[[#This Row],[Year]],helper_ya[[#All],[Year]],helper_ya[[#All],[Category]]),br_er_low[[#All],[Ticker]],br_er_low[[#All],[LYXF]])</f>
        <v>-1.238685360750502E-2</v>
      </c>
      <c r="G33" cm="1">
        <f t="array" ref="G33">_xlfn.XLOOKUP(_xlfn.XLOOKUP(returns_long_low[[#This Row],[Year]],helper_ya[[#All],[Year]],helper_ya[[#All],[Category]]),br_er_low[[#All],[Ticker]],br_er_low[[#All],[SXR4]])</f>
        <v>2.422390954759357E-2</v>
      </c>
      <c r="I33" cm="1">
        <f t="array" ref="I33">_xlfn.XLOOKUP(_xlfn.XLOOKUP(returns_long_low[[#This Row],[Year]],helper_ya[[#All],[Year]],helper_ya[[#All],[Category]]),br_er_low[[#All],[Ticker]],br_er_low[[#All],[SYBB]])</f>
        <v>7.649514678177205E-3</v>
      </c>
      <c r="J33" cm="1">
        <f t="array" ref="J33">_xlfn.XLOOKUP(_xlfn.XLOOKUP(returns_long_low[[#This Row],[Year]],helper_ya[[#All],[Year]],helper_ya[[#All],[Category]]),br_er_low[[#All],[Ticker]],br_er_low[[#All],[SYBC]])</f>
        <v>1.7508738350035639E-2</v>
      </c>
    </row>
    <row r="34" spans="1:10" x14ac:dyDescent="0.25">
      <c r="A34">
        <v>2067</v>
      </c>
      <c r="B34" cm="1">
        <f t="array" ref="B34">_xlfn.XLOOKUP(_xlfn.XLOOKUP(returns_long_low[[#This Row],[Year]],helper_ya[[#All],[Year]],helper_ya[[#All],[Category]]),br_er_low[[#All],[Ticker]],br_er_low[[#All],[EUNK]])</f>
        <v>2.517913443457576E-2</v>
      </c>
      <c r="D34" cm="1">
        <f t="array" ref="D34">_xlfn.XLOOKUP(_xlfn.XLOOKUP(returns_long_low[[#This Row],[Year]],helper_ya[[#All],[Year]],helper_ya[[#All],[Category]]),br_er_low[[#All],[Ticker]],br_er_low[[#All],[IUSN]])</f>
        <v>1.6553238981621199E-2</v>
      </c>
      <c r="E34" cm="1">
        <f t="array" ref="E34">_xlfn.XLOOKUP(_xlfn.XLOOKUP(returns_long_low[[#This Row],[Year]],helper_ya[[#All],[Year]],helper_ya[[#All],[Category]]),br_er_low[[#All],[Ticker]],br_er_low[[#All],[JGHY]])</f>
        <v>2.4049386364373149E-2</v>
      </c>
      <c r="F34" cm="1">
        <f t="array" ref="F34">_xlfn.XLOOKUP(_xlfn.XLOOKUP(returns_long_low[[#This Row],[Year]],helper_ya[[#All],[Year]],helper_ya[[#All],[Category]]),br_er_low[[#All],[Ticker]],br_er_low[[#All],[LYXF]])</f>
        <v>-1.238685360750502E-2</v>
      </c>
      <c r="G34" cm="1">
        <f t="array" ref="G34">_xlfn.XLOOKUP(_xlfn.XLOOKUP(returns_long_low[[#This Row],[Year]],helper_ya[[#All],[Year]],helper_ya[[#All],[Category]]),br_er_low[[#All],[Ticker]],br_er_low[[#All],[SXR4]])</f>
        <v>2.422390954759357E-2</v>
      </c>
      <c r="I34" cm="1">
        <f t="array" ref="I34">_xlfn.XLOOKUP(_xlfn.XLOOKUP(returns_long_low[[#This Row],[Year]],helper_ya[[#All],[Year]],helper_ya[[#All],[Category]]),br_er_low[[#All],[Ticker]],br_er_low[[#All],[SYBB]])</f>
        <v>7.649514678177205E-3</v>
      </c>
      <c r="J34" cm="1">
        <f t="array" ref="J34">_xlfn.XLOOKUP(_xlfn.XLOOKUP(returns_long_low[[#This Row],[Year]],helper_ya[[#All],[Year]],helper_ya[[#All],[Category]]),br_er_low[[#All],[Ticker]],br_er_low[[#All],[SYBC]])</f>
        <v>1.7508738350035639E-2</v>
      </c>
    </row>
    <row r="35" spans="1:10" x14ac:dyDescent="0.25">
      <c r="A35">
        <v>2068</v>
      </c>
      <c r="B35" cm="1">
        <f t="array" ref="B35">_xlfn.XLOOKUP(_xlfn.XLOOKUP(returns_long_low[[#This Row],[Year]],helper_ya[[#All],[Year]],helper_ya[[#All],[Category]]),br_er_low[[#All],[Ticker]],br_er_low[[#All],[EUNK]])</f>
        <v>2.517913443457576E-2</v>
      </c>
      <c r="D35" cm="1">
        <f t="array" ref="D35">_xlfn.XLOOKUP(_xlfn.XLOOKUP(returns_long_low[[#This Row],[Year]],helper_ya[[#All],[Year]],helper_ya[[#All],[Category]]),br_er_low[[#All],[Ticker]],br_er_low[[#All],[IUSN]])</f>
        <v>1.6553238981621199E-2</v>
      </c>
      <c r="E35" cm="1">
        <f t="array" ref="E35">_xlfn.XLOOKUP(_xlfn.XLOOKUP(returns_long_low[[#This Row],[Year]],helper_ya[[#All],[Year]],helper_ya[[#All],[Category]]),br_er_low[[#All],[Ticker]],br_er_low[[#All],[JGHY]])</f>
        <v>2.4049386364373149E-2</v>
      </c>
      <c r="F35" cm="1">
        <f t="array" ref="F35">_xlfn.XLOOKUP(_xlfn.XLOOKUP(returns_long_low[[#This Row],[Year]],helper_ya[[#All],[Year]],helper_ya[[#All],[Category]]),br_er_low[[#All],[Ticker]],br_er_low[[#All],[LYXF]])</f>
        <v>-1.238685360750502E-2</v>
      </c>
      <c r="G35" cm="1">
        <f t="array" ref="G35">_xlfn.XLOOKUP(_xlfn.XLOOKUP(returns_long_low[[#This Row],[Year]],helper_ya[[#All],[Year]],helper_ya[[#All],[Category]]),br_er_low[[#All],[Ticker]],br_er_low[[#All],[SXR4]])</f>
        <v>2.422390954759357E-2</v>
      </c>
      <c r="I35" cm="1">
        <f t="array" ref="I35">_xlfn.XLOOKUP(_xlfn.XLOOKUP(returns_long_low[[#This Row],[Year]],helper_ya[[#All],[Year]],helper_ya[[#All],[Category]]),br_er_low[[#All],[Ticker]],br_er_low[[#All],[SYBB]])</f>
        <v>7.649514678177205E-3</v>
      </c>
      <c r="J35" cm="1">
        <f t="array" ref="J35">_xlfn.XLOOKUP(_xlfn.XLOOKUP(returns_long_low[[#This Row],[Year]],helper_ya[[#All],[Year]],helper_ya[[#All],[Category]]),br_er_low[[#All],[Ticker]],br_er_low[[#All],[SYBC]])</f>
        <v>1.7508738350035639E-2</v>
      </c>
    </row>
    <row r="36" spans="1:10" x14ac:dyDescent="0.25">
      <c r="A36">
        <v>2069</v>
      </c>
      <c r="B36" cm="1">
        <f t="array" ref="B36">_xlfn.XLOOKUP(_xlfn.XLOOKUP(returns_long_low[[#This Row],[Year]],helper_ya[[#All],[Year]],helper_ya[[#All],[Category]]),br_er_low[[#All],[Ticker]],br_er_low[[#All],[EUNK]])</f>
        <v>2.517913443457576E-2</v>
      </c>
      <c r="D36" cm="1">
        <f t="array" ref="D36">_xlfn.XLOOKUP(_xlfn.XLOOKUP(returns_long_low[[#This Row],[Year]],helper_ya[[#All],[Year]],helper_ya[[#All],[Category]]),br_er_low[[#All],[Ticker]],br_er_low[[#All],[IUSN]])</f>
        <v>1.6553238981621199E-2</v>
      </c>
      <c r="E36" cm="1">
        <f t="array" ref="E36">_xlfn.XLOOKUP(_xlfn.XLOOKUP(returns_long_low[[#This Row],[Year]],helper_ya[[#All],[Year]],helper_ya[[#All],[Category]]),br_er_low[[#All],[Ticker]],br_er_low[[#All],[JGHY]])</f>
        <v>2.4049386364373149E-2</v>
      </c>
      <c r="F36" cm="1">
        <f t="array" ref="F36">_xlfn.XLOOKUP(_xlfn.XLOOKUP(returns_long_low[[#This Row],[Year]],helper_ya[[#All],[Year]],helper_ya[[#All],[Category]]),br_er_low[[#All],[Ticker]],br_er_low[[#All],[LYXF]])</f>
        <v>-1.238685360750502E-2</v>
      </c>
      <c r="G36" cm="1">
        <f t="array" ref="G36">_xlfn.XLOOKUP(_xlfn.XLOOKUP(returns_long_low[[#This Row],[Year]],helper_ya[[#All],[Year]],helper_ya[[#All],[Category]]),br_er_low[[#All],[Ticker]],br_er_low[[#All],[SXR4]])</f>
        <v>2.422390954759357E-2</v>
      </c>
      <c r="I36" cm="1">
        <f t="array" ref="I36">_xlfn.XLOOKUP(_xlfn.XLOOKUP(returns_long_low[[#This Row],[Year]],helper_ya[[#All],[Year]],helper_ya[[#All],[Category]]),br_er_low[[#All],[Ticker]],br_er_low[[#All],[SYBB]])</f>
        <v>7.649514678177205E-3</v>
      </c>
      <c r="J36" cm="1">
        <f t="array" ref="J36">_xlfn.XLOOKUP(_xlfn.XLOOKUP(returns_long_low[[#This Row],[Year]],helper_ya[[#All],[Year]],helper_ya[[#All],[Category]]),br_er_low[[#All],[Ticker]],br_er_low[[#All],[SYBC]])</f>
        <v>1.7508738350035639E-2</v>
      </c>
    </row>
    <row r="37" spans="1:10" x14ac:dyDescent="0.25">
      <c r="A37">
        <v>2070</v>
      </c>
      <c r="B37" cm="1">
        <f t="array" ref="B37">_xlfn.XLOOKUP(_xlfn.XLOOKUP(returns_long_low[[#This Row],[Year]],helper_ya[[#All],[Year]],helper_ya[[#All],[Category]]),br_er_low[[#All],[Ticker]],br_er_low[[#All],[EUNK]])</f>
        <v>2.517913443457576E-2</v>
      </c>
      <c r="D37" cm="1">
        <f t="array" ref="D37">_xlfn.XLOOKUP(_xlfn.XLOOKUP(returns_long_low[[#This Row],[Year]],helper_ya[[#All],[Year]],helper_ya[[#All],[Category]]),br_er_low[[#All],[Ticker]],br_er_low[[#All],[IUSN]])</f>
        <v>1.6553238981621199E-2</v>
      </c>
      <c r="E37" cm="1">
        <f t="array" ref="E37">_xlfn.XLOOKUP(_xlfn.XLOOKUP(returns_long_low[[#This Row],[Year]],helper_ya[[#All],[Year]],helper_ya[[#All],[Category]]),br_er_low[[#All],[Ticker]],br_er_low[[#All],[JGHY]])</f>
        <v>2.4049386364373149E-2</v>
      </c>
      <c r="F37" cm="1">
        <f t="array" ref="F37">_xlfn.XLOOKUP(_xlfn.XLOOKUP(returns_long_low[[#This Row],[Year]],helper_ya[[#All],[Year]],helper_ya[[#All],[Category]]),br_er_low[[#All],[Ticker]],br_er_low[[#All],[LYXF]])</f>
        <v>-1.238685360750502E-2</v>
      </c>
      <c r="G37" cm="1">
        <f t="array" ref="G37">_xlfn.XLOOKUP(_xlfn.XLOOKUP(returns_long_low[[#This Row],[Year]],helper_ya[[#All],[Year]],helper_ya[[#All],[Category]]),br_er_low[[#All],[Ticker]],br_er_low[[#All],[SXR4]])</f>
        <v>2.422390954759357E-2</v>
      </c>
      <c r="I37" cm="1">
        <f t="array" ref="I37">_xlfn.XLOOKUP(_xlfn.XLOOKUP(returns_long_low[[#This Row],[Year]],helper_ya[[#All],[Year]],helper_ya[[#All],[Category]]),br_er_low[[#All],[Ticker]],br_er_low[[#All],[SYBB]])</f>
        <v>7.649514678177205E-3</v>
      </c>
      <c r="J37" cm="1">
        <f t="array" ref="J37">_xlfn.XLOOKUP(_xlfn.XLOOKUP(returns_long_low[[#This Row],[Year]],helper_ya[[#All],[Year]],helper_ya[[#All],[Category]]),br_er_low[[#All],[Ticker]],br_er_low[[#All],[SYBC]])</f>
        <v>1.7508738350035639E-2</v>
      </c>
    </row>
    <row r="38" spans="1:10" x14ac:dyDescent="0.25">
      <c r="A38">
        <v>2071</v>
      </c>
      <c r="B38" cm="1">
        <f t="array" ref="B38">_xlfn.XLOOKUP(_xlfn.XLOOKUP(returns_long_low[[#This Row],[Year]],helper_ya[[#All],[Year]],helper_ya[[#All],[Category]]),br_er_low[[#All],[Ticker]],br_er_low[[#All],[EUNK]])</f>
        <v>2.517913443457576E-2</v>
      </c>
      <c r="D38" cm="1">
        <f t="array" ref="D38">_xlfn.XLOOKUP(_xlfn.XLOOKUP(returns_long_low[[#This Row],[Year]],helper_ya[[#All],[Year]],helper_ya[[#All],[Category]]),br_er_low[[#All],[Ticker]],br_er_low[[#All],[IUSN]])</f>
        <v>1.6553238981621199E-2</v>
      </c>
      <c r="E38" cm="1">
        <f t="array" ref="E38">_xlfn.XLOOKUP(_xlfn.XLOOKUP(returns_long_low[[#This Row],[Year]],helper_ya[[#All],[Year]],helper_ya[[#All],[Category]]),br_er_low[[#All],[Ticker]],br_er_low[[#All],[JGHY]])</f>
        <v>2.4049386364373149E-2</v>
      </c>
      <c r="F38" cm="1">
        <f t="array" ref="F38">_xlfn.XLOOKUP(_xlfn.XLOOKUP(returns_long_low[[#This Row],[Year]],helper_ya[[#All],[Year]],helper_ya[[#All],[Category]]),br_er_low[[#All],[Ticker]],br_er_low[[#All],[LYXF]])</f>
        <v>-1.238685360750502E-2</v>
      </c>
      <c r="G38" cm="1">
        <f t="array" ref="G38">_xlfn.XLOOKUP(_xlfn.XLOOKUP(returns_long_low[[#This Row],[Year]],helper_ya[[#All],[Year]],helper_ya[[#All],[Category]]),br_er_low[[#All],[Ticker]],br_er_low[[#All],[SXR4]])</f>
        <v>2.422390954759357E-2</v>
      </c>
      <c r="I38" cm="1">
        <f t="array" ref="I38">_xlfn.XLOOKUP(_xlfn.XLOOKUP(returns_long_low[[#This Row],[Year]],helper_ya[[#All],[Year]],helper_ya[[#All],[Category]]),br_er_low[[#All],[Ticker]],br_er_low[[#All],[SYBB]])</f>
        <v>7.649514678177205E-3</v>
      </c>
      <c r="J38" cm="1">
        <f t="array" ref="J38">_xlfn.XLOOKUP(_xlfn.XLOOKUP(returns_long_low[[#This Row],[Year]],helper_ya[[#All],[Year]],helper_ya[[#All],[Category]]),br_er_low[[#All],[Ticker]],br_er_low[[#All],[SYBC]])</f>
        <v>1.7508738350035639E-2</v>
      </c>
    </row>
    <row r="39" spans="1:10" x14ac:dyDescent="0.25">
      <c r="A39">
        <v>2072</v>
      </c>
      <c r="B39" cm="1">
        <f t="array" ref="B39">_xlfn.XLOOKUP(_xlfn.XLOOKUP(returns_long_low[[#This Row],[Year]],helper_ya[[#All],[Year]],helper_ya[[#All],[Category]]),br_er_low[[#All],[Ticker]],br_er_low[[#All],[EUNK]])</f>
        <v>2.517913443457576E-2</v>
      </c>
      <c r="D39" cm="1">
        <f t="array" ref="D39">_xlfn.XLOOKUP(_xlfn.XLOOKUP(returns_long_low[[#This Row],[Year]],helper_ya[[#All],[Year]],helper_ya[[#All],[Category]]),br_er_low[[#All],[Ticker]],br_er_low[[#All],[IUSN]])</f>
        <v>1.6553238981621199E-2</v>
      </c>
      <c r="E39" cm="1">
        <f t="array" ref="E39">_xlfn.XLOOKUP(_xlfn.XLOOKUP(returns_long_low[[#This Row],[Year]],helper_ya[[#All],[Year]],helper_ya[[#All],[Category]]),br_er_low[[#All],[Ticker]],br_er_low[[#All],[JGHY]])</f>
        <v>2.4049386364373149E-2</v>
      </c>
      <c r="F39" cm="1">
        <f t="array" ref="F39">_xlfn.XLOOKUP(_xlfn.XLOOKUP(returns_long_low[[#This Row],[Year]],helper_ya[[#All],[Year]],helper_ya[[#All],[Category]]),br_er_low[[#All],[Ticker]],br_er_low[[#All],[LYXF]])</f>
        <v>-1.238685360750502E-2</v>
      </c>
      <c r="G39" cm="1">
        <f t="array" ref="G39">_xlfn.XLOOKUP(_xlfn.XLOOKUP(returns_long_low[[#This Row],[Year]],helper_ya[[#All],[Year]],helper_ya[[#All],[Category]]),br_er_low[[#All],[Ticker]],br_er_low[[#All],[SXR4]])</f>
        <v>2.422390954759357E-2</v>
      </c>
      <c r="I39" cm="1">
        <f t="array" ref="I39">_xlfn.XLOOKUP(_xlfn.XLOOKUP(returns_long_low[[#This Row],[Year]],helper_ya[[#All],[Year]],helper_ya[[#All],[Category]]),br_er_low[[#All],[Ticker]],br_er_low[[#All],[SYBB]])</f>
        <v>7.649514678177205E-3</v>
      </c>
      <c r="J39" cm="1">
        <f t="array" ref="J39">_xlfn.XLOOKUP(_xlfn.XLOOKUP(returns_long_low[[#This Row],[Year]],helper_ya[[#All],[Year]],helper_ya[[#All],[Category]]),br_er_low[[#All],[Ticker]],br_er_low[[#All],[SYBC]])</f>
        <v>1.7508738350035639E-2</v>
      </c>
    </row>
    <row r="40" spans="1:10" x14ac:dyDescent="0.25">
      <c r="A40">
        <v>2073</v>
      </c>
      <c r="B40" cm="1">
        <f t="array" ref="B40">_xlfn.XLOOKUP(_xlfn.XLOOKUP(returns_long_low[[#This Row],[Year]],helper_ya[[#All],[Year]],helper_ya[[#All],[Category]]),br_er_low[[#All],[Ticker]],br_er_low[[#All],[EUNK]])</f>
        <v>2.517913443457576E-2</v>
      </c>
      <c r="D40" cm="1">
        <f t="array" ref="D40">_xlfn.XLOOKUP(_xlfn.XLOOKUP(returns_long_low[[#This Row],[Year]],helper_ya[[#All],[Year]],helper_ya[[#All],[Category]]),br_er_low[[#All],[Ticker]],br_er_low[[#All],[IUSN]])</f>
        <v>1.6553238981621199E-2</v>
      </c>
      <c r="E40" cm="1">
        <f t="array" ref="E40">_xlfn.XLOOKUP(_xlfn.XLOOKUP(returns_long_low[[#This Row],[Year]],helper_ya[[#All],[Year]],helper_ya[[#All],[Category]]),br_er_low[[#All],[Ticker]],br_er_low[[#All],[JGHY]])</f>
        <v>2.4049386364373149E-2</v>
      </c>
      <c r="F40" cm="1">
        <f t="array" ref="F40">_xlfn.XLOOKUP(_xlfn.XLOOKUP(returns_long_low[[#This Row],[Year]],helper_ya[[#All],[Year]],helper_ya[[#All],[Category]]),br_er_low[[#All],[Ticker]],br_er_low[[#All],[LYXF]])</f>
        <v>-1.238685360750502E-2</v>
      </c>
      <c r="G40" cm="1">
        <f t="array" ref="G40">_xlfn.XLOOKUP(_xlfn.XLOOKUP(returns_long_low[[#This Row],[Year]],helper_ya[[#All],[Year]],helper_ya[[#All],[Category]]),br_er_low[[#All],[Ticker]],br_er_low[[#All],[SXR4]])</f>
        <v>2.422390954759357E-2</v>
      </c>
      <c r="I40" cm="1">
        <f t="array" ref="I40">_xlfn.XLOOKUP(_xlfn.XLOOKUP(returns_long_low[[#This Row],[Year]],helper_ya[[#All],[Year]],helper_ya[[#All],[Category]]),br_er_low[[#All],[Ticker]],br_er_low[[#All],[SYBB]])</f>
        <v>7.649514678177205E-3</v>
      </c>
      <c r="J40" cm="1">
        <f t="array" ref="J40">_xlfn.XLOOKUP(_xlfn.XLOOKUP(returns_long_low[[#This Row],[Year]],helper_ya[[#All],[Year]],helper_ya[[#All],[Category]]),br_er_low[[#All],[Ticker]],br_er_low[[#All],[SYBC]])</f>
        <v>1.7508738350035639E-2</v>
      </c>
    </row>
    <row r="41" spans="1:10" x14ac:dyDescent="0.25">
      <c r="A41">
        <v>2074</v>
      </c>
      <c r="B41" cm="1">
        <f t="array" ref="B41">_xlfn.XLOOKUP(_xlfn.XLOOKUP(returns_long_low[[#This Row],[Year]],helper_ya[[#All],[Year]],helper_ya[[#All],[Category]]),br_er_low[[#All],[Ticker]],br_er_low[[#All],[EUNK]])</f>
        <v>2.517913443457576E-2</v>
      </c>
      <c r="D41" cm="1">
        <f t="array" ref="D41">_xlfn.XLOOKUP(_xlfn.XLOOKUP(returns_long_low[[#This Row],[Year]],helper_ya[[#All],[Year]],helper_ya[[#All],[Category]]),br_er_low[[#All],[Ticker]],br_er_low[[#All],[IUSN]])</f>
        <v>1.6553238981621199E-2</v>
      </c>
      <c r="E41" cm="1">
        <f t="array" ref="E41">_xlfn.XLOOKUP(_xlfn.XLOOKUP(returns_long_low[[#This Row],[Year]],helper_ya[[#All],[Year]],helper_ya[[#All],[Category]]),br_er_low[[#All],[Ticker]],br_er_low[[#All],[JGHY]])</f>
        <v>2.4049386364373149E-2</v>
      </c>
      <c r="F41" cm="1">
        <f t="array" ref="F41">_xlfn.XLOOKUP(_xlfn.XLOOKUP(returns_long_low[[#This Row],[Year]],helper_ya[[#All],[Year]],helper_ya[[#All],[Category]]),br_er_low[[#All],[Ticker]],br_er_low[[#All],[LYXF]])</f>
        <v>-1.238685360750502E-2</v>
      </c>
      <c r="G41" cm="1">
        <f t="array" ref="G41">_xlfn.XLOOKUP(_xlfn.XLOOKUP(returns_long_low[[#This Row],[Year]],helper_ya[[#All],[Year]],helper_ya[[#All],[Category]]),br_er_low[[#All],[Ticker]],br_er_low[[#All],[SXR4]])</f>
        <v>2.422390954759357E-2</v>
      </c>
      <c r="I41" cm="1">
        <f t="array" ref="I41">_xlfn.XLOOKUP(_xlfn.XLOOKUP(returns_long_low[[#This Row],[Year]],helper_ya[[#All],[Year]],helper_ya[[#All],[Category]]),br_er_low[[#All],[Ticker]],br_er_low[[#All],[SYBB]])</f>
        <v>7.649514678177205E-3</v>
      </c>
      <c r="J41" cm="1">
        <f t="array" ref="J41">_xlfn.XLOOKUP(_xlfn.XLOOKUP(returns_long_low[[#This Row],[Year]],helper_ya[[#All],[Year]],helper_ya[[#All],[Category]]),br_er_low[[#All],[Ticker]],br_er_low[[#All],[SYBC]])</f>
        <v>1.7508738350035639E-2</v>
      </c>
    </row>
    <row r="42" spans="1:10" x14ac:dyDescent="0.25">
      <c r="A42">
        <v>2075</v>
      </c>
      <c r="B42" cm="1">
        <f t="array" ref="B42">_xlfn.XLOOKUP(_xlfn.XLOOKUP(returns_long_low[[#This Row],[Year]],helper_ya[[#All],[Year]],helper_ya[[#All],[Category]]),br_er_low[[#All],[Ticker]],br_er_low[[#All],[EUNK]])</f>
        <v>2.517913443457576E-2</v>
      </c>
      <c r="D42" cm="1">
        <f t="array" ref="D42">_xlfn.XLOOKUP(_xlfn.XLOOKUP(returns_long_low[[#This Row],[Year]],helper_ya[[#All],[Year]],helper_ya[[#All],[Category]]),br_er_low[[#All],[Ticker]],br_er_low[[#All],[IUSN]])</f>
        <v>1.6553238981621199E-2</v>
      </c>
      <c r="E42" cm="1">
        <f t="array" ref="E42">_xlfn.XLOOKUP(_xlfn.XLOOKUP(returns_long_low[[#This Row],[Year]],helper_ya[[#All],[Year]],helper_ya[[#All],[Category]]),br_er_low[[#All],[Ticker]],br_er_low[[#All],[JGHY]])</f>
        <v>2.4049386364373149E-2</v>
      </c>
      <c r="F42" cm="1">
        <f t="array" ref="F42">_xlfn.XLOOKUP(_xlfn.XLOOKUP(returns_long_low[[#This Row],[Year]],helper_ya[[#All],[Year]],helper_ya[[#All],[Category]]),br_er_low[[#All],[Ticker]],br_er_low[[#All],[LYXF]])</f>
        <v>-1.238685360750502E-2</v>
      </c>
      <c r="G42" cm="1">
        <f t="array" ref="G42">_xlfn.XLOOKUP(_xlfn.XLOOKUP(returns_long_low[[#This Row],[Year]],helper_ya[[#All],[Year]],helper_ya[[#All],[Category]]),br_er_low[[#All],[Ticker]],br_er_low[[#All],[SXR4]])</f>
        <v>2.422390954759357E-2</v>
      </c>
      <c r="I42" cm="1">
        <f t="array" ref="I42">_xlfn.XLOOKUP(_xlfn.XLOOKUP(returns_long_low[[#This Row],[Year]],helper_ya[[#All],[Year]],helper_ya[[#All],[Category]]),br_er_low[[#All],[Ticker]],br_er_low[[#All],[SYBB]])</f>
        <v>7.649514678177205E-3</v>
      </c>
      <c r="J42" cm="1">
        <f t="array" ref="J42">_xlfn.XLOOKUP(_xlfn.XLOOKUP(returns_long_low[[#This Row],[Year]],helper_ya[[#All],[Year]],helper_ya[[#All],[Category]]),br_er_low[[#All],[Ticker]],br_er_low[[#All],[SYBC]])</f>
        <v>1.7508738350035639E-2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A1713-CB91-4E54-B6DD-754E9CFDD44B}">
  <dimension ref="A1:J42"/>
  <sheetViews>
    <sheetView zoomScaleNormal="100" workbookViewId="0">
      <selection activeCell="B2" sqref="B2"/>
    </sheetView>
  </sheetViews>
  <sheetFormatPr defaultColWidth="8.7109375" defaultRowHeight="15" x14ac:dyDescent="0.25"/>
  <cols>
    <col min="2" max="10" width="10.85546875" customWidth="1"/>
  </cols>
  <sheetData>
    <row r="1" spans="1:10" x14ac:dyDescent="0.25">
      <c r="A1" t="s">
        <v>1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</row>
    <row r="2" spans="1:10" x14ac:dyDescent="0.25">
      <c r="A2">
        <v>2035</v>
      </c>
      <c r="B2" cm="1">
        <f t="array" ref="B2">_xlfn.XLOOKUP(_xlfn.XLOOKUP(returns_long_medium[[#This Row],[Year]],helper_ya[[#All],[Year]],helper_ya[[#All],[Category]]),br_er_medium[[#All],[Ticker]],br_er_medium[[#All],[EUNK]])</f>
        <v>7.4581405552304414E-2</v>
      </c>
      <c r="D2" cm="1">
        <f t="array" ref="D2">_xlfn.XLOOKUP(_xlfn.XLOOKUP(returns_long_medium[[#This Row],[Year]],helper_ya[[#All],[Year]],helper_ya[[#All],[Category]]),br_er_medium[[#All],[Ticker]],br_er_medium[[#All],[IUSN]])</f>
        <v>4.679383214666033E-2</v>
      </c>
      <c r="E2" cm="1">
        <f t="array" ref="E2">_xlfn.XLOOKUP(_xlfn.XLOOKUP(returns_long_medium[[#This Row],[Year]],helper_ya[[#All],[Year]],helper_ya[[#All],[Category]]),br_er_medium[[#All],[Ticker]],br_er_medium[[#All],[JGHY]])</f>
        <v>4.1717663933219962E-2</v>
      </c>
      <c r="F2" cm="1">
        <f t="array" ref="F2">_xlfn.XLOOKUP(_xlfn.XLOOKUP(returns_long_medium[[#This Row],[Year]],helper_ya[[#All],[Year]],helper_ya[[#All],[Category]]),br_er_medium[[#All],[Ticker]],br_er_medium[[#All],[LYXF]])</f>
        <v>1.5671955048208511E-2</v>
      </c>
      <c r="G2" cm="1">
        <f t="array" ref="G2">_xlfn.XLOOKUP(_xlfn.XLOOKUP(returns_long_medium[[#This Row],[Year]],helper_ya[[#All],[Year]],helper_ya[[#All],[Category]]),br_er_medium[[#All],[Ticker]],br_er_medium[[#All],[SXR4]])</f>
        <v>3.820179847444205E-2</v>
      </c>
      <c r="I2" cm="1">
        <f t="array" ref="I2">_xlfn.XLOOKUP(_xlfn.XLOOKUP(returns_long_medium[[#This Row],[Year]],helper_ya[[#All],[Year]],helper_ya[[#All],[Category]]),br_er_medium[[#All],[Ticker]],br_er_medium[[#All],[SYBB]])</f>
        <v>2.4270784531460698E-2</v>
      </c>
      <c r="J2" cm="1">
        <f t="array" ref="J2">_xlfn.XLOOKUP(_xlfn.XLOOKUP(returns_long_medium[[#This Row],[Year]],helper_ya[[#All],[Year]],helper_ya[[#All],[Category]]),br_er_medium[[#All],[Ticker]],br_er_medium[[#All],[SYBC]])</f>
        <v>2.7927576278665489E-2</v>
      </c>
    </row>
    <row r="3" spans="1:10" x14ac:dyDescent="0.25">
      <c r="A3">
        <v>2036</v>
      </c>
      <c r="B3" cm="1">
        <f t="array" ref="B3">_xlfn.XLOOKUP(_xlfn.XLOOKUP(returns_long_medium[[#This Row],[Year]],helper_ya[[#All],[Year]],helper_ya[[#All],[Category]]),br_er_medium[[#All],[Ticker]],br_er_medium[[#All],[EUNK]])</f>
        <v>7.2275414934353188E-2</v>
      </c>
      <c r="D3" cm="1">
        <f t="array" ref="D3">_xlfn.XLOOKUP(_xlfn.XLOOKUP(returns_long_medium[[#This Row],[Year]],helper_ya[[#All],[Year]],helper_ya[[#All],[Category]]),br_er_medium[[#All],[Ticker]],br_er_medium[[#All],[IUSN]])</f>
        <v>4.9458029305462503E-2</v>
      </c>
      <c r="E3" cm="1">
        <f t="array" ref="E3">_xlfn.XLOOKUP(_xlfn.XLOOKUP(returns_long_medium[[#This Row],[Year]],helper_ya[[#All],[Year]],helper_ya[[#All],[Category]]),br_er_medium[[#All],[Ticker]],br_er_medium[[#All],[JGHY]])</f>
        <v>4.1463969832174603E-2</v>
      </c>
      <c r="F3" cm="1">
        <f t="array" ref="F3">_xlfn.XLOOKUP(_xlfn.XLOOKUP(returns_long_medium[[#This Row],[Year]],helper_ya[[#All],[Year]],helper_ya[[#All],[Category]]),br_er_medium[[#All],[Ticker]],br_er_medium[[#All],[LYXF]])</f>
        <v>1.997758353756152E-2</v>
      </c>
      <c r="G3" cm="1">
        <f t="array" ref="G3">_xlfn.XLOOKUP(_xlfn.XLOOKUP(returns_long_medium[[#This Row],[Year]],helper_ya[[#All],[Year]],helper_ya[[#All],[Category]]),br_er_medium[[#All],[Ticker]],br_er_medium[[#All],[SXR4]])</f>
        <v>4.5583684302457517E-2</v>
      </c>
      <c r="I3" cm="1">
        <f t="array" ref="I3">_xlfn.XLOOKUP(_xlfn.XLOOKUP(returns_long_medium[[#This Row],[Year]],helper_ya[[#All],[Year]],helper_ya[[#All],[Category]]),br_er_medium[[#All],[Ticker]],br_er_medium[[#All],[SYBB]])</f>
        <v>2.4257140876089659E-2</v>
      </c>
      <c r="J3" cm="1">
        <f t="array" ref="J3">_xlfn.XLOOKUP(_xlfn.XLOOKUP(returns_long_medium[[#This Row],[Year]],helper_ya[[#All],[Year]],helper_ya[[#All],[Category]]),br_er_medium[[#All],[Ticker]],br_er_medium[[#All],[SYBC]])</f>
        <v>2.8894698894837308E-2</v>
      </c>
    </row>
    <row r="4" spans="1:10" x14ac:dyDescent="0.25">
      <c r="A4">
        <v>2037</v>
      </c>
      <c r="B4" cm="1">
        <f t="array" ref="B4">_xlfn.XLOOKUP(_xlfn.XLOOKUP(returns_long_medium[[#This Row],[Year]],helper_ya[[#All],[Year]],helper_ya[[#All],[Category]]),br_er_medium[[#All],[Ticker]],br_er_medium[[#All],[EUNK]])</f>
        <v>7.2275414934353188E-2</v>
      </c>
      <c r="D4" cm="1">
        <f t="array" ref="D4">_xlfn.XLOOKUP(_xlfn.XLOOKUP(returns_long_medium[[#This Row],[Year]],helper_ya[[#All],[Year]],helper_ya[[#All],[Category]]),br_er_medium[[#All],[Ticker]],br_er_medium[[#All],[IUSN]])</f>
        <v>4.9458029305462503E-2</v>
      </c>
      <c r="E4" cm="1">
        <f t="array" ref="E4">_xlfn.XLOOKUP(_xlfn.XLOOKUP(returns_long_medium[[#This Row],[Year]],helper_ya[[#All],[Year]],helper_ya[[#All],[Category]]),br_er_medium[[#All],[Ticker]],br_er_medium[[#All],[JGHY]])</f>
        <v>4.1463969832174603E-2</v>
      </c>
      <c r="F4" cm="1">
        <f t="array" ref="F4">_xlfn.XLOOKUP(_xlfn.XLOOKUP(returns_long_medium[[#This Row],[Year]],helper_ya[[#All],[Year]],helper_ya[[#All],[Category]]),br_er_medium[[#All],[Ticker]],br_er_medium[[#All],[LYXF]])</f>
        <v>1.997758353756152E-2</v>
      </c>
      <c r="G4" cm="1">
        <f t="array" ref="G4">_xlfn.XLOOKUP(_xlfn.XLOOKUP(returns_long_medium[[#This Row],[Year]],helper_ya[[#All],[Year]],helper_ya[[#All],[Category]]),br_er_medium[[#All],[Ticker]],br_er_medium[[#All],[SXR4]])</f>
        <v>4.5583684302457517E-2</v>
      </c>
      <c r="I4" cm="1">
        <f t="array" ref="I4">_xlfn.XLOOKUP(_xlfn.XLOOKUP(returns_long_medium[[#This Row],[Year]],helper_ya[[#All],[Year]],helper_ya[[#All],[Category]]),br_er_medium[[#All],[Ticker]],br_er_medium[[#All],[SYBB]])</f>
        <v>2.4257140876089659E-2</v>
      </c>
      <c r="J4" cm="1">
        <f t="array" ref="J4">_xlfn.XLOOKUP(_xlfn.XLOOKUP(returns_long_medium[[#This Row],[Year]],helper_ya[[#All],[Year]],helper_ya[[#All],[Category]]),br_er_medium[[#All],[Ticker]],br_er_medium[[#All],[SYBC]])</f>
        <v>2.8894698894837308E-2</v>
      </c>
    </row>
    <row r="5" spans="1:10" x14ac:dyDescent="0.25">
      <c r="A5">
        <v>2038</v>
      </c>
      <c r="B5" cm="1">
        <f t="array" ref="B5">_xlfn.XLOOKUP(_xlfn.XLOOKUP(returns_long_medium[[#This Row],[Year]],helper_ya[[#All],[Year]],helper_ya[[#All],[Category]]),br_er_medium[[#All],[Ticker]],br_er_medium[[#All],[EUNK]])</f>
        <v>7.2275414934353188E-2</v>
      </c>
      <c r="D5" cm="1">
        <f t="array" ref="D5">_xlfn.XLOOKUP(_xlfn.XLOOKUP(returns_long_medium[[#This Row],[Year]],helper_ya[[#All],[Year]],helper_ya[[#All],[Category]]),br_er_medium[[#All],[Ticker]],br_er_medium[[#All],[IUSN]])</f>
        <v>4.9458029305462503E-2</v>
      </c>
      <c r="E5" cm="1">
        <f t="array" ref="E5">_xlfn.XLOOKUP(_xlfn.XLOOKUP(returns_long_medium[[#This Row],[Year]],helper_ya[[#All],[Year]],helper_ya[[#All],[Category]]),br_er_medium[[#All],[Ticker]],br_er_medium[[#All],[JGHY]])</f>
        <v>4.1463969832174603E-2</v>
      </c>
      <c r="F5" cm="1">
        <f t="array" ref="F5">_xlfn.XLOOKUP(_xlfn.XLOOKUP(returns_long_medium[[#This Row],[Year]],helper_ya[[#All],[Year]],helper_ya[[#All],[Category]]),br_er_medium[[#All],[Ticker]],br_er_medium[[#All],[LYXF]])</f>
        <v>1.997758353756152E-2</v>
      </c>
      <c r="G5" cm="1">
        <f t="array" ref="G5">_xlfn.XLOOKUP(_xlfn.XLOOKUP(returns_long_medium[[#This Row],[Year]],helper_ya[[#All],[Year]],helper_ya[[#All],[Category]]),br_er_medium[[#All],[Ticker]],br_er_medium[[#All],[SXR4]])</f>
        <v>4.5583684302457517E-2</v>
      </c>
      <c r="I5" cm="1">
        <f t="array" ref="I5">_xlfn.XLOOKUP(_xlfn.XLOOKUP(returns_long_medium[[#This Row],[Year]],helper_ya[[#All],[Year]],helper_ya[[#All],[Category]]),br_er_medium[[#All],[Ticker]],br_er_medium[[#All],[SYBB]])</f>
        <v>2.4257140876089659E-2</v>
      </c>
      <c r="J5" cm="1">
        <f t="array" ref="J5">_xlfn.XLOOKUP(_xlfn.XLOOKUP(returns_long_medium[[#This Row],[Year]],helper_ya[[#All],[Year]],helper_ya[[#All],[Category]]),br_er_medium[[#All],[Ticker]],br_er_medium[[#All],[SYBC]])</f>
        <v>2.8894698894837308E-2</v>
      </c>
    </row>
    <row r="6" spans="1:10" x14ac:dyDescent="0.25">
      <c r="A6">
        <v>2039</v>
      </c>
      <c r="B6" cm="1">
        <f t="array" ref="B6">_xlfn.XLOOKUP(_xlfn.XLOOKUP(returns_long_medium[[#This Row],[Year]],helper_ya[[#All],[Year]],helper_ya[[#All],[Category]]),br_er_medium[[#All],[Ticker]],br_er_medium[[#All],[EUNK]])</f>
        <v>7.2275414934353188E-2</v>
      </c>
      <c r="D6" cm="1">
        <f t="array" ref="D6">_xlfn.XLOOKUP(_xlfn.XLOOKUP(returns_long_medium[[#This Row],[Year]],helper_ya[[#All],[Year]],helper_ya[[#All],[Category]]),br_er_medium[[#All],[Ticker]],br_er_medium[[#All],[IUSN]])</f>
        <v>4.9458029305462503E-2</v>
      </c>
      <c r="E6" cm="1">
        <f t="array" ref="E6">_xlfn.XLOOKUP(_xlfn.XLOOKUP(returns_long_medium[[#This Row],[Year]],helper_ya[[#All],[Year]],helper_ya[[#All],[Category]]),br_er_medium[[#All],[Ticker]],br_er_medium[[#All],[JGHY]])</f>
        <v>4.1463969832174603E-2</v>
      </c>
      <c r="F6" cm="1">
        <f t="array" ref="F6">_xlfn.XLOOKUP(_xlfn.XLOOKUP(returns_long_medium[[#This Row],[Year]],helper_ya[[#All],[Year]],helper_ya[[#All],[Category]]),br_er_medium[[#All],[Ticker]],br_er_medium[[#All],[LYXF]])</f>
        <v>1.997758353756152E-2</v>
      </c>
      <c r="G6" cm="1">
        <f t="array" ref="G6">_xlfn.XLOOKUP(_xlfn.XLOOKUP(returns_long_medium[[#This Row],[Year]],helper_ya[[#All],[Year]],helper_ya[[#All],[Category]]),br_er_medium[[#All],[Ticker]],br_er_medium[[#All],[SXR4]])</f>
        <v>4.5583684302457517E-2</v>
      </c>
      <c r="I6" cm="1">
        <f t="array" ref="I6">_xlfn.XLOOKUP(_xlfn.XLOOKUP(returns_long_medium[[#This Row],[Year]],helper_ya[[#All],[Year]],helper_ya[[#All],[Category]]),br_er_medium[[#All],[Ticker]],br_er_medium[[#All],[SYBB]])</f>
        <v>2.4257140876089659E-2</v>
      </c>
      <c r="J6" cm="1">
        <f t="array" ref="J6">_xlfn.XLOOKUP(_xlfn.XLOOKUP(returns_long_medium[[#This Row],[Year]],helper_ya[[#All],[Year]],helper_ya[[#All],[Category]]),br_er_medium[[#All],[Ticker]],br_er_medium[[#All],[SYBC]])</f>
        <v>2.8894698894837308E-2</v>
      </c>
    </row>
    <row r="7" spans="1:10" x14ac:dyDescent="0.25">
      <c r="A7">
        <v>2040</v>
      </c>
      <c r="B7" cm="1">
        <f t="array" ref="B7">_xlfn.XLOOKUP(_xlfn.XLOOKUP(returns_long_medium[[#This Row],[Year]],helper_ya[[#All],[Year]],helper_ya[[#All],[Category]]),br_er_medium[[#All],[Ticker]],br_er_medium[[#All],[EUNK]])</f>
        <v>7.2275414934353188E-2</v>
      </c>
      <c r="D7" cm="1">
        <f t="array" ref="D7">_xlfn.XLOOKUP(_xlfn.XLOOKUP(returns_long_medium[[#This Row],[Year]],helper_ya[[#All],[Year]],helper_ya[[#All],[Category]]),br_er_medium[[#All],[Ticker]],br_er_medium[[#All],[IUSN]])</f>
        <v>4.9458029305462503E-2</v>
      </c>
      <c r="E7" cm="1">
        <f t="array" ref="E7">_xlfn.XLOOKUP(_xlfn.XLOOKUP(returns_long_medium[[#This Row],[Year]],helper_ya[[#All],[Year]],helper_ya[[#All],[Category]]),br_er_medium[[#All],[Ticker]],br_er_medium[[#All],[JGHY]])</f>
        <v>4.1463969832174603E-2</v>
      </c>
      <c r="F7" cm="1">
        <f t="array" ref="F7">_xlfn.XLOOKUP(_xlfn.XLOOKUP(returns_long_medium[[#This Row],[Year]],helper_ya[[#All],[Year]],helper_ya[[#All],[Category]]),br_er_medium[[#All],[Ticker]],br_er_medium[[#All],[LYXF]])</f>
        <v>1.997758353756152E-2</v>
      </c>
      <c r="G7" cm="1">
        <f t="array" ref="G7">_xlfn.XLOOKUP(_xlfn.XLOOKUP(returns_long_medium[[#This Row],[Year]],helper_ya[[#All],[Year]],helper_ya[[#All],[Category]]),br_er_medium[[#All],[Ticker]],br_er_medium[[#All],[SXR4]])</f>
        <v>4.5583684302457517E-2</v>
      </c>
      <c r="I7" cm="1">
        <f t="array" ref="I7">_xlfn.XLOOKUP(_xlfn.XLOOKUP(returns_long_medium[[#This Row],[Year]],helper_ya[[#All],[Year]],helper_ya[[#All],[Category]]),br_er_medium[[#All],[Ticker]],br_er_medium[[#All],[SYBB]])</f>
        <v>2.4257140876089659E-2</v>
      </c>
      <c r="J7" cm="1">
        <f t="array" ref="J7">_xlfn.XLOOKUP(_xlfn.XLOOKUP(returns_long_medium[[#This Row],[Year]],helper_ya[[#All],[Year]],helper_ya[[#All],[Category]]),br_er_medium[[#All],[Ticker]],br_er_medium[[#All],[SYBC]])</f>
        <v>2.8894698894837308E-2</v>
      </c>
    </row>
    <row r="8" spans="1:10" x14ac:dyDescent="0.25">
      <c r="A8">
        <v>2041</v>
      </c>
      <c r="B8" cm="1">
        <f t="array" ref="B8">_xlfn.XLOOKUP(_xlfn.XLOOKUP(returns_long_medium[[#This Row],[Year]],helper_ya[[#All],[Year]],helper_ya[[#All],[Category]]),br_er_medium[[#All],[Ticker]],br_er_medium[[#All],[EUNK]])</f>
        <v>7.0709767516992317E-2</v>
      </c>
      <c r="D8" cm="1">
        <f t="array" ref="D8">_xlfn.XLOOKUP(_xlfn.XLOOKUP(returns_long_medium[[#This Row],[Year]],helper_ya[[#All],[Year]],helper_ya[[#All],[Category]]),br_er_medium[[#All],[Ticker]],br_er_medium[[#All],[IUSN]])</f>
        <v>5.1269731788126771E-2</v>
      </c>
      <c r="E8" cm="1">
        <f t="array" ref="E8">_xlfn.XLOOKUP(_xlfn.XLOOKUP(returns_long_medium[[#This Row],[Year]],helper_ya[[#All],[Year]],helper_ya[[#All],[Category]]),br_er_medium[[#All],[Ticker]],br_er_medium[[#All],[JGHY]])</f>
        <v>4.1289723440985471E-2</v>
      </c>
      <c r="F8" cm="1">
        <f t="array" ref="F8">_xlfn.XLOOKUP(_xlfn.XLOOKUP(returns_long_medium[[#This Row],[Year]],helper_ya[[#All],[Year]],helper_ya[[#All],[Category]]),br_er_medium[[#All],[Ticker]],br_er_medium[[#All],[LYXF]])</f>
        <v>2.2910910068764331E-2</v>
      </c>
      <c r="G8" cm="1">
        <f t="array" ref="G8">_xlfn.XLOOKUP(_xlfn.XLOOKUP(returns_long_medium[[#This Row],[Year]],helper_ya[[#All],[Year]],helper_ya[[#All],[Category]]),br_er_medium[[#All],[Ticker]],br_er_medium[[#All],[SXR4]])</f>
        <v>5.0626182888258597E-2</v>
      </c>
      <c r="I8" cm="1">
        <f t="array" ref="I8">_xlfn.XLOOKUP(_xlfn.XLOOKUP(returns_long_medium[[#This Row],[Year]],helper_ya[[#All],[Year]],helper_ya[[#All],[Category]]),br_er_medium[[#All],[Ticker]],br_er_medium[[#All],[SYBB]])</f>
        <v>2.4245958516616369E-2</v>
      </c>
      <c r="J8" cm="1">
        <f t="array" ref="J8">_xlfn.XLOOKUP(_xlfn.XLOOKUP(returns_long_medium[[#This Row],[Year]],helper_ya[[#All],[Year]],helper_ya[[#All],[Category]]),br_er_medium[[#All],[Ticker]],br_er_medium[[#All],[SYBC]])</f>
        <v>2.9550264273434879E-2</v>
      </c>
    </row>
    <row r="9" spans="1:10" x14ac:dyDescent="0.25">
      <c r="A9">
        <v>2042</v>
      </c>
      <c r="B9" cm="1">
        <f t="array" ref="B9">_xlfn.XLOOKUP(_xlfn.XLOOKUP(returns_long_medium[[#This Row],[Year]],helper_ya[[#All],[Year]],helper_ya[[#All],[Category]]),br_er_medium[[#All],[Ticker]],br_er_medium[[#All],[EUNK]])</f>
        <v>7.0709767516992317E-2</v>
      </c>
      <c r="D9" cm="1">
        <f t="array" ref="D9">_xlfn.XLOOKUP(_xlfn.XLOOKUP(returns_long_medium[[#This Row],[Year]],helper_ya[[#All],[Year]],helper_ya[[#All],[Category]]),br_er_medium[[#All],[Ticker]],br_er_medium[[#All],[IUSN]])</f>
        <v>5.1269731788126771E-2</v>
      </c>
      <c r="E9" cm="1">
        <f t="array" ref="E9">_xlfn.XLOOKUP(_xlfn.XLOOKUP(returns_long_medium[[#This Row],[Year]],helper_ya[[#All],[Year]],helper_ya[[#All],[Category]]),br_er_medium[[#All],[Ticker]],br_er_medium[[#All],[JGHY]])</f>
        <v>4.1289723440985471E-2</v>
      </c>
      <c r="F9" cm="1">
        <f t="array" ref="F9">_xlfn.XLOOKUP(_xlfn.XLOOKUP(returns_long_medium[[#This Row],[Year]],helper_ya[[#All],[Year]],helper_ya[[#All],[Category]]),br_er_medium[[#All],[Ticker]],br_er_medium[[#All],[LYXF]])</f>
        <v>2.2910910068764331E-2</v>
      </c>
      <c r="G9" cm="1">
        <f t="array" ref="G9">_xlfn.XLOOKUP(_xlfn.XLOOKUP(returns_long_medium[[#This Row],[Year]],helper_ya[[#All],[Year]],helper_ya[[#All],[Category]]),br_er_medium[[#All],[Ticker]],br_er_medium[[#All],[SXR4]])</f>
        <v>5.0626182888258597E-2</v>
      </c>
      <c r="I9" cm="1">
        <f t="array" ref="I9">_xlfn.XLOOKUP(_xlfn.XLOOKUP(returns_long_medium[[#This Row],[Year]],helper_ya[[#All],[Year]],helper_ya[[#All],[Category]]),br_er_medium[[#All],[Ticker]],br_er_medium[[#All],[SYBB]])</f>
        <v>2.4245958516616369E-2</v>
      </c>
      <c r="J9" cm="1">
        <f t="array" ref="J9">_xlfn.XLOOKUP(_xlfn.XLOOKUP(returns_long_medium[[#This Row],[Year]],helper_ya[[#All],[Year]],helper_ya[[#All],[Category]]),br_er_medium[[#All],[Ticker]],br_er_medium[[#All],[SYBC]])</f>
        <v>2.9550264273434879E-2</v>
      </c>
    </row>
    <row r="10" spans="1:10" x14ac:dyDescent="0.25">
      <c r="A10">
        <v>2043</v>
      </c>
      <c r="B10" cm="1">
        <f t="array" ref="B10">_xlfn.XLOOKUP(_xlfn.XLOOKUP(returns_long_medium[[#This Row],[Year]],helper_ya[[#All],[Year]],helper_ya[[#All],[Category]]),br_er_medium[[#All],[Ticker]],br_er_medium[[#All],[EUNK]])</f>
        <v>7.0709767516992317E-2</v>
      </c>
      <c r="D10" cm="1">
        <f t="array" ref="D10">_xlfn.XLOOKUP(_xlfn.XLOOKUP(returns_long_medium[[#This Row],[Year]],helper_ya[[#All],[Year]],helper_ya[[#All],[Category]]),br_er_medium[[#All],[Ticker]],br_er_medium[[#All],[IUSN]])</f>
        <v>5.1269731788126771E-2</v>
      </c>
      <c r="E10" cm="1">
        <f t="array" ref="E10">_xlfn.XLOOKUP(_xlfn.XLOOKUP(returns_long_medium[[#This Row],[Year]],helper_ya[[#All],[Year]],helper_ya[[#All],[Category]]),br_er_medium[[#All],[Ticker]],br_er_medium[[#All],[JGHY]])</f>
        <v>4.1289723440985471E-2</v>
      </c>
      <c r="F10" cm="1">
        <f t="array" ref="F10">_xlfn.XLOOKUP(_xlfn.XLOOKUP(returns_long_medium[[#This Row],[Year]],helper_ya[[#All],[Year]],helper_ya[[#All],[Category]]),br_er_medium[[#All],[Ticker]],br_er_medium[[#All],[LYXF]])</f>
        <v>2.2910910068764331E-2</v>
      </c>
      <c r="G10" cm="1">
        <f t="array" ref="G10">_xlfn.XLOOKUP(_xlfn.XLOOKUP(returns_long_medium[[#This Row],[Year]],helper_ya[[#All],[Year]],helper_ya[[#All],[Category]]),br_er_medium[[#All],[Ticker]],br_er_medium[[#All],[SXR4]])</f>
        <v>5.0626182888258597E-2</v>
      </c>
      <c r="I10" cm="1">
        <f t="array" ref="I10">_xlfn.XLOOKUP(_xlfn.XLOOKUP(returns_long_medium[[#This Row],[Year]],helper_ya[[#All],[Year]],helper_ya[[#All],[Category]]),br_er_medium[[#All],[Ticker]],br_er_medium[[#All],[SYBB]])</f>
        <v>2.4245958516616369E-2</v>
      </c>
      <c r="J10" cm="1">
        <f t="array" ref="J10">_xlfn.XLOOKUP(_xlfn.XLOOKUP(returns_long_medium[[#This Row],[Year]],helper_ya[[#All],[Year]],helper_ya[[#All],[Category]]),br_er_medium[[#All],[Ticker]],br_er_medium[[#All],[SYBC]])</f>
        <v>2.9550264273434879E-2</v>
      </c>
    </row>
    <row r="11" spans="1:10" x14ac:dyDescent="0.25">
      <c r="A11">
        <v>2044</v>
      </c>
      <c r="B11" cm="1">
        <f t="array" ref="B11">_xlfn.XLOOKUP(_xlfn.XLOOKUP(returns_long_medium[[#This Row],[Year]],helper_ya[[#All],[Year]],helper_ya[[#All],[Category]]),br_er_medium[[#All],[Ticker]],br_er_medium[[#All],[EUNK]])</f>
        <v>7.0709767516992317E-2</v>
      </c>
      <c r="D11" cm="1">
        <f t="array" ref="D11">_xlfn.XLOOKUP(_xlfn.XLOOKUP(returns_long_medium[[#This Row],[Year]],helper_ya[[#All],[Year]],helper_ya[[#All],[Category]]),br_er_medium[[#All],[Ticker]],br_er_medium[[#All],[IUSN]])</f>
        <v>5.1269731788126771E-2</v>
      </c>
      <c r="E11" cm="1">
        <f t="array" ref="E11">_xlfn.XLOOKUP(_xlfn.XLOOKUP(returns_long_medium[[#This Row],[Year]],helper_ya[[#All],[Year]],helper_ya[[#All],[Category]]),br_er_medium[[#All],[Ticker]],br_er_medium[[#All],[JGHY]])</f>
        <v>4.1289723440985471E-2</v>
      </c>
      <c r="F11" cm="1">
        <f t="array" ref="F11">_xlfn.XLOOKUP(_xlfn.XLOOKUP(returns_long_medium[[#This Row],[Year]],helper_ya[[#All],[Year]],helper_ya[[#All],[Category]]),br_er_medium[[#All],[Ticker]],br_er_medium[[#All],[LYXF]])</f>
        <v>2.2910910068764331E-2</v>
      </c>
      <c r="G11" cm="1">
        <f t="array" ref="G11">_xlfn.XLOOKUP(_xlfn.XLOOKUP(returns_long_medium[[#This Row],[Year]],helper_ya[[#All],[Year]],helper_ya[[#All],[Category]]),br_er_medium[[#All],[Ticker]],br_er_medium[[#All],[SXR4]])</f>
        <v>5.0626182888258597E-2</v>
      </c>
      <c r="I11" cm="1">
        <f t="array" ref="I11">_xlfn.XLOOKUP(_xlfn.XLOOKUP(returns_long_medium[[#This Row],[Year]],helper_ya[[#All],[Year]],helper_ya[[#All],[Category]]),br_er_medium[[#All],[Ticker]],br_er_medium[[#All],[SYBB]])</f>
        <v>2.4245958516616369E-2</v>
      </c>
      <c r="J11" cm="1">
        <f t="array" ref="J11">_xlfn.XLOOKUP(_xlfn.XLOOKUP(returns_long_medium[[#This Row],[Year]],helper_ya[[#All],[Year]],helper_ya[[#All],[Category]]),br_er_medium[[#All],[Ticker]],br_er_medium[[#All],[SYBC]])</f>
        <v>2.9550264273434879E-2</v>
      </c>
    </row>
    <row r="12" spans="1:10" x14ac:dyDescent="0.25">
      <c r="A12">
        <v>2045</v>
      </c>
      <c r="B12" cm="1">
        <f t="array" ref="B12">_xlfn.XLOOKUP(_xlfn.XLOOKUP(returns_long_medium[[#This Row],[Year]],helper_ya[[#All],[Year]],helper_ya[[#All],[Category]]),br_er_medium[[#All],[Ticker]],br_er_medium[[#All],[EUNK]])</f>
        <v>7.0709767516992317E-2</v>
      </c>
      <c r="D12" cm="1">
        <f t="array" ref="D12">_xlfn.XLOOKUP(_xlfn.XLOOKUP(returns_long_medium[[#This Row],[Year]],helper_ya[[#All],[Year]],helper_ya[[#All],[Category]]),br_er_medium[[#All],[Ticker]],br_er_medium[[#All],[IUSN]])</f>
        <v>5.1269731788126771E-2</v>
      </c>
      <c r="E12" cm="1">
        <f t="array" ref="E12">_xlfn.XLOOKUP(_xlfn.XLOOKUP(returns_long_medium[[#This Row],[Year]],helper_ya[[#All],[Year]],helper_ya[[#All],[Category]]),br_er_medium[[#All],[Ticker]],br_er_medium[[#All],[JGHY]])</f>
        <v>4.1289723440985471E-2</v>
      </c>
      <c r="F12" cm="1">
        <f t="array" ref="F12">_xlfn.XLOOKUP(_xlfn.XLOOKUP(returns_long_medium[[#This Row],[Year]],helper_ya[[#All],[Year]],helper_ya[[#All],[Category]]),br_er_medium[[#All],[Ticker]],br_er_medium[[#All],[LYXF]])</f>
        <v>2.2910910068764331E-2</v>
      </c>
      <c r="G12" cm="1">
        <f t="array" ref="G12">_xlfn.XLOOKUP(_xlfn.XLOOKUP(returns_long_medium[[#This Row],[Year]],helper_ya[[#All],[Year]],helper_ya[[#All],[Category]]),br_er_medium[[#All],[Ticker]],br_er_medium[[#All],[SXR4]])</f>
        <v>5.0626182888258597E-2</v>
      </c>
      <c r="I12" cm="1">
        <f t="array" ref="I12">_xlfn.XLOOKUP(_xlfn.XLOOKUP(returns_long_medium[[#This Row],[Year]],helper_ya[[#All],[Year]],helper_ya[[#All],[Category]]),br_er_medium[[#All],[Ticker]],br_er_medium[[#All],[SYBB]])</f>
        <v>2.4245958516616369E-2</v>
      </c>
      <c r="J12" cm="1">
        <f t="array" ref="J12">_xlfn.XLOOKUP(_xlfn.XLOOKUP(returns_long_medium[[#This Row],[Year]],helper_ya[[#All],[Year]],helper_ya[[#All],[Category]]),br_er_medium[[#All],[Ticker]],br_er_medium[[#All],[SYBC]])</f>
        <v>2.9550264273434879E-2</v>
      </c>
    </row>
    <row r="13" spans="1:10" x14ac:dyDescent="0.25">
      <c r="A13">
        <v>2046</v>
      </c>
      <c r="B13" cm="1">
        <f t="array" ref="B13">_xlfn.XLOOKUP(_xlfn.XLOOKUP(returns_long_medium[[#This Row],[Year]],helper_ya[[#All],[Year]],helper_ya[[#All],[Category]]),br_er_medium[[#All],[Ticker]],br_er_medium[[#All],[EUNK]])</f>
        <v>6.9652237378861281E-2</v>
      </c>
      <c r="D13" cm="1">
        <f t="array" ref="D13">_xlfn.XLOOKUP(_xlfn.XLOOKUP(returns_long_medium[[#This Row],[Year]],helper_ya[[#All],[Year]],helper_ya[[#All],[Category]]),br_er_medium[[#All],[Ticker]],br_er_medium[[#All],[IUSN]])</f>
        <v>5.2494763295437341E-2</v>
      </c>
      <c r="E13" cm="1">
        <f t="array" ref="E13">_xlfn.XLOOKUP(_xlfn.XLOOKUP(returns_long_medium[[#This Row],[Year]],helper_ya[[#All],[Year]],helper_ya[[#All],[Category]]),br_er_medium[[#All],[Ticker]],br_er_medium[[#All],[JGHY]])</f>
        <v>4.1171107760519243E-2</v>
      </c>
      <c r="F13" cm="1">
        <f t="array" ref="F13">_xlfn.XLOOKUP(_xlfn.XLOOKUP(returns_long_medium[[#This Row],[Year]],helper_ya[[#All],[Year]],helper_ya[[#All],[Category]]),br_er_medium[[#All],[Ticker]],br_er_medium[[#All],[LYXF]])</f>
        <v>2.4896849264145929E-2</v>
      </c>
      <c r="G13" cm="1">
        <f t="array" ref="G13">_xlfn.XLOOKUP(_xlfn.XLOOKUP(returns_long_medium[[#This Row],[Year]],helper_ya[[#All],[Year]],helper_ya[[#All],[Category]]),br_er_medium[[#All],[Ticker]],br_er_medium[[#All],[SXR4]])</f>
        <v>5.4046247795384923E-2</v>
      </c>
      <c r="I13" cm="1">
        <f t="array" ref="I13">_xlfn.XLOOKUP(_xlfn.XLOOKUP(returns_long_medium[[#This Row],[Year]],helper_ya[[#All],[Year]],helper_ya[[#All],[Category]]),br_er_medium[[#All],[Ticker]],br_er_medium[[#All],[SYBB]])</f>
        <v>2.4237523100187449E-2</v>
      </c>
      <c r="J13" cm="1">
        <f t="array" ref="J13">_xlfn.XLOOKUP(_xlfn.XLOOKUP(returns_long_medium[[#This Row],[Year]],helper_ya[[#All],[Year]],helper_ya[[#All],[Category]]),br_er_medium[[#All],[Ticker]],br_er_medium[[#All],[SYBC]])</f>
        <v>2.9992580896704309E-2</v>
      </c>
    </row>
    <row r="14" spans="1:10" x14ac:dyDescent="0.25">
      <c r="A14">
        <v>2047</v>
      </c>
      <c r="B14" cm="1">
        <f t="array" ref="B14">_xlfn.XLOOKUP(_xlfn.XLOOKUP(returns_long_medium[[#This Row],[Year]],helper_ya[[#All],[Year]],helper_ya[[#All],[Category]]),br_er_medium[[#All],[Ticker]],br_er_medium[[#All],[EUNK]])</f>
        <v>6.9652237378861281E-2</v>
      </c>
      <c r="D14" cm="1">
        <f t="array" ref="D14">_xlfn.XLOOKUP(_xlfn.XLOOKUP(returns_long_medium[[#This Row],[Year]],helper_ya[[#All],[Year]],helper_ya[[#All],[Category]]),br_er_medium[[#All],[Ticker]],br_er_medium[[#All],[IUSN]])</f>
        <v>5.2494763295437341E-2</v>
      </c>
      <c r="E14" cm="1">
        <f t="array" ref="E14">_xlfn.XLOOKUP(_xlfn.XLOOKUP(returns_long_medium[[#This Row],[Year]],helper_ya[[#All],[Year]],helper_ya[[#All],[Category]]),br_er_medium[[#All],[Ticker]],br_er_medium[[#All],[JGHY]])</f>
        <v>4.1171107760519243E-2</v>
      </c>
      <c r="F14" cm="1">
        <f t="array" ref="F14">_xlfn.XLOOKUP(_xlfn.XLOOKUP(returns_long_medium[[#This Row],[Year]],helper_ya[[#All],[Year]],helper_ya[[#All],[Category]]),br_er_medium[[#All],[Ticker]],br_er_medium[[#All],[LYXF]])</f>
        <v>2.4896849264145929E-2</v>
      </c>
      <c r="G14" cm="1">
        <f t="array" ref="G14">_xlfn.XLOOKUP(_xlfn.XLOOKUP(returns_long_medium[[#This Row],[Year]],helper_ya[[#All],[Year]],helper_ya[[#All],[Category]]),br_er_medium[[#All],[Ticker]],br_er_medium[[#All],[SXR4]])</f>
        <v>5.4046247795384923E-2</v>
      </c>
      <c r="I14" cm="1">
        <f t="array" ref="I14">_xlfn.XLOOKUP(_xlfn.XLOOKUP(returns_long_medium[[#This Row],[Year]],helper_ya[[#All],[Year]],helper_ya[[#All],[Category]]),br_er_medium[[#All],[Ticker]],br_er_medium[[#All],[SYBB]])</f>
        <v>2.4237523100187449E-2</v>
      </c>
      <c r="J14" cm="1">
        <f t="array" ref="J14">_xlfn.XLOOKUP(_xlfn.XLOOKUP(returns_long_medium[[#This Row],[Year]],helper_ya[[#All],[Year]],helper_ya[[#All],[Category]]),br_er_medium[[#All],[Ticker]],br_er_medium[[#All],[SYBC]])</f>
        <v>2.9992580896704309E-2</v>
      </c>
    </row>
    <row r="15" spans="1:10" x14ac:dyDescent="0.25">
      <c r="A15">
        <v>2048</v>
      </c>
      <c r="B15" cm="1">
        <f t="array" ref="B15">_xlfn.XLOOKUP(_xlfn.XLOOKUP(returns_long_medium[[#This Row],[Year]],helper_ya[[#All],[Year]],helper_ya[[#All],[Category]]),br_er_medium[[#All],[Ticker]],br_er_medium[[#All],[EUNK]])</f>
        <v>6.9652237378861281E-2</v>
      </c>
      <c r="D15" cm="1">
        <f t="array" ref="D15">_xlfn.XLOOKUP(_xlfn.XLOOKUP(returns_long_medium[[#This Row],[Year]],helper_ya[[#All],[Year]],helper_ya[[#All],[Category]]),br_er_medium[[#All],[Ticker]],br_er_medium[[#All],[IUSN]])</f>
        <v>5.2494763295437341E-2</v>
      </c>
      <c r="E15" cm="1">
        <f t="array" ref="E15">_xlfn.XLOOKUP(_xlfn.XLOOKUP(returns_long_medium[[#This Row],[Year]],helper_ya[[#All],[Year]],helper_ya[[#All],[Category]]),br_er_medium[[#All],[Ticker]],br_er_medium[[#All],[JGHY]])</f>
        <v>4.1171107760519243E-2</v>
      </c>
      <c r="F15" cm="1">
        <f t="array" ref="F15">_xlfn.XLOOKUP(_xlfn.XLOOKUP(returns_long_medium[[#This Row],[Year]],helper_ya[[#All],[Year]],helper_ya[[#All],[Category]]),br_er_medium[[#All],[Ticker]],br_er_medium[[#All],[LYXF]])</f>
        <v>2.4896849264145929E-2</v>
      </c>
      <c r="G15" cm="1">
        <f t="array" ref="G15">_xlfn.XLOOKUP(_xlfn.XLOOKUP(returns_long_medium[[#This Row],[Year]],helper_ya[[#All],[Year]],helper_ya[[#All],[Category]]),br_er_medium[[#All],[Ticker]],br_er_medium[[#All],[SXR4]])</f>
        <v>5.4046247795384923E-2</v>
      </c>
      <c r="I15" cm="1">
        <f t="array" ref="I15">_xlfn.XLOOKUP(_xlfn.XLOOKUP(returns_long_medium[[#This Row],[Year]],helper_ya[[#All],[Year]],helper_ya[[#All],[Category]]),br_er_medium[[#All],[Ticker]],br_er_medium[[#All],[SYBB]])</f>
        <v>2.4237523100187449E-2</v>
      </c>
      <c r="J15" cm="1">
        <f t="array" ref="J15">_xlfn.XLOOKUP(_xlfn.XLOOKUP(returns_long_medium[[#This Row],[Year]],helper_ya[[#All],[Year]],helper_ya[[#All],[Category]]),br_er_medium[[#All],[Ticker]],br_er_medium[[#All],[SYBC]])</f>
        <v>2.9992580896704309E-2</v>
      </c>
    </row>
    <row r="16" spans="1:10" x14ac:dyDescent="0.25">
      <c r="A16">
        <v>2049</v>
      </c>
      <c r="B16" cm="1">
        <f t="array" ref="B16">_xlfn.XLOOKUP(_xlfn.XLOOKUP(returns_long_medium[[#This Row],[Year]],helper_ya[[#All],[Year]],helper_ya[[#All],[Category]]),br_er_medium[[#All],[Ticker]],br_er_medium[[#All],[EUNK]])</f>
        <v>6.9652237378861281E-2</v>
      </c>
      <c r="D16" cm="1">
        <f t="array" ref="D16">_xlfn.XLOOKUP(_xlfn.XLOOKUP(returns_long_medium[[#This Row],[Year]],helper_ya[[#All],[Year]],helper_ya[[#All],[Category]]),br_er_medium[[#All],[Ticker]],br_er_medium[[#All],[IUSN]])</f>
        <v>5.2494763295437341E-2</v>
      </c>
      <c r="E16" cm="1">
        <f t="array" ref="E16">_xlfn.XLOOKUP(_xlfn.XLOOKUP(returns_long_medium[[#This Row],[Year]],helper_ya[[#All],[Year]],helper_ya[[#All],[Category]]),br_er_medium[[#All],[Ticker]],br_er_medium[[#All],[JGHY]])</f>
        <v>4.1171107760519243E-2</v>
      </c>
      <c r="F16" cm="1">
        <f t="array" ref="F16">_xlfn.XLOOKUP(_xlfn.XLOOKUP(returns_long_medium[[#This Row],[Year]],helper_ya[[#All],[Year]],helper_ya[[#All],[Category]]),br_er_medium[[#All],[Ticker]],br_er_medium[[#All],[LYXF]])</f>
        <v>2.4896849264145929E-2</v>
      </c>
      <c r="G16" cm="1">
        <f t="array" ref="G16">_xlfn.XLOOKUP(_xlfn.XLOOKUP(returns_long_medium[[#This Row],[Year]],helper_ya[[#All],[Year]],helper_ya[[#All],[Category]]),br_er_medium[[#All],[Ticker]],br_er_medium[[#All],[SXR4]])</f>
        <v>5.4046247795384923E-2</v>
      </c>
      <c r="I16" cm="1">
        <f t="array" ref="I16">_xlfn.XLOOKUP(_xlfn.XLOOKUP(returns_long_medium[[#This Row],[Year]],helper_ya[[#All],[Year]],helper_ya[[#All],[Category]]),br_er_medium[[#All],[Ticker]],br_er_medium[[#All],[SYBB]])</f>
        <v>2.4237523100187449E-2</v>
      </c>
      <c r="J16" cm="1">
        <f t="array" ref="J16">_xlfn.XLOOKUP(_xlfn.XLOOKUP(returns_long_medium[[#This Row],[Year]],helper_ya[[#All],[Year]],helper_ya[[#All],[Category]]),br_er_medium[[#All],[Ticker]],br_er_medium[[#All],[SYBC]])</f>
        <v>2.9992580896704309E-2</v>
      </c>
    </row>
    <row r="17" spans="1:10" x14ac:dyDescent="0.25">
      <c r="A17">
        <v>2050</v>
      </c>
      <c r="B17" cm="1">
        <f t="array" ref="B17">_xlfn.XLOOKUP(_xlfn.XLOOKUP(returns_long_medium[[#This Row],[Year]],helper_ya[[#All],[Year]],helper_ya[[#All],[Category]]),br_er_medium[[#All],[Ticker]],br_er_medium[[#All],[EUNK]])</f>
        <v>6.9652237378861281E-2</v>
      </c>
      <c r="D17" cm="1">
        <f t="array" ref="D17">_xlfn.XLOOKUP(_xlfn.XLOOKUP(returns_long_medium[[#This Row],[Year]],helper_ya[[#All],[Year]],helper_ya[[#All],[Category]]),br_er_medium[[#All],[Ticker]],br_er_medium[[#All],[IUSN]])</f>
        <v>5.2494763295437341E-2</v>
      </c>
      <c r="E17" cm="1">
        <f t="array" ref="E17">_xlfn.XLOOKUP(_xlfn.XLOOKUP(returns_long_medium[[#This Row],[Year]],helper_ya[[#All],[Year]],helper_ya[[#All],[Category]]),br_er_medium[[#All],[Ticker]],br_er_medium[[#All],[JGHY]])</f>
        <v>4.1171107760519243E-2</v>
      </c>
      <c r="F17" cm="1">
        <f t="array" ref="F17">_xlfn.XLOOKUP(_xlfn.XLOOKUP(returns_long_medium[[#This Row],[Year]],helper_ya[[#All],[Year]],helper_ya[[#All],[Category]]),br_er_medium[[#All],[Ticker]],br_er_medium[[#All],[LYXF]])</f>
        <v>2.4896849264145929E-2</v>
      </c>
      <c r="G17" cm="1">
        <f t="array" ref="G17">_xlfn.XLOOKUP(_xlfn.XLOOKUP(returns_long_medium[[#This Row],[Year]],helper_ya[[#All],[Year]],helper_ya[[#All],[Category]]),br_er_medium[[#All],[Ticker]],br_er_medium[[#All],[SXR4]])</f>
        <v>5.4046247795384923E-2</v>
      </c>
      <c r="I17" cm="1">
        <f t="array" ref="I17">_xlfn.XLOOKUP(_xlfn.XLOOKUP(returns_long_medium[[#This Row],[Year]],helper_ya[[#All],[Year]],helper_ya[[#All],[Category]]),br_er_medium[[#All],[Ticker]],br_er_medium[[#All],[SYBB]])</f>
        <v>2.4237523100187449E-2</v>
      </c>
      <c r="J17" cm="1">
        <f t="array" ref="J17">_xlfn.XLOOKUP(_xlfn.XLOOKUP(returns_long_medium[[#This Row],[Year]],helper_ya[[#All],[Year]],helper_ya[[#All],[Category]]),br_er_medium[[#All],[Ticker]],br_er_medium[[#All],[SYBC]])</f>
        <v>2.9992580896704309E-2</v>
      </c>
    </row>
    <row r="18" spans="1:10" x14ac:dyDescent="0.25">
      <c r="A18">
        <v>2051</v>
      </c>
      <c r="B18" cm="1">
        <f t="array" ref="B18">_xlfn.XLOOKUP(_xlfn.XLOOKUP(returns_long_medium[[#This Row],[Year]],helper_ya[[#All],[Year]],helper_ya[[#All],[Category]]),br_er_medium[[#All],[Ticker]],br_er_medium[[#All],[EUNK]])</f>
        <v>6.8912050001716185E-2</v>
      </c>
      <c r="D18" cm="1">
        <f t="array" ref="D18">_xlfn.XLOOKUP(_xlfn.XLOOKUP(returns_long_medium[[#This Row],[Year]],helper_ya[[#All],[Year]],helper_ya[[#All],[Category]]),br_er_medium[[#All],[Ticker]],br_er_medium[[#All],[IUSN]])</f>
        <v>5.3352909398189707E-2</v>
      </c>
      <c r="E18" cm="1">
        <f t="array" ref="E18">_xlfn.XLOOKUP(_xlfn.XLOOKUP(returns_long_medium[[#This Row],[Year]],helper_ya[[#All],[Year]],helper_ya[[#All],[Category]]),br_er_medium[[#All],[Ticker]],br_er_medium[[#All],[JGHY]])</f>
        <v>4.1087683326209927E-2</v>
      </c>
      <c r="F18" cm="1">
        <f t="array" ref="F18">_xlfn.XLOOKUP(_xlfn.XLOOKUP(returns_long_medium[[#This Row],[Year]],helper_ya[[#All],[Year]],helper_ya[[#All],[Category]]),br_er_medium[[#All],[Ticker]],br_er_medium[[#All],[LYXF]])</f>
        <v>2.6289187805909719E-2</v>
      </c>
      <c r="G18" cm="1">
        <f t="array" ref="G18">_xlfn.XLOOKUP(_xlfn.XLOOKUP(returns_long_medium[[#This Row],[Year]],helper_ya[[#All],[Year]],helper_ya[[#All],[Category]]),br_er_medium[[#All],[Ticker]],br_er_medium[[#All],[SXR4]])</f>
        <v>5.6446985548124003E-2</v>
      </c>
      <c r="I18" cm="1">
        <f t="array" ref="I18">_xlfn.XLOOKUP(_xlfn.XLOOKUP(returns_long_medium[[#This Row],[Year]],helper_ya[[#All],[Year]],helper_ya[[#All],[Category]]),br_er_medium[[#All],[Ticker]],br_er_medium[[#All],[SYBB]])</f>
        <v>2.4231237901194861E-2</v>
      </c>
      <c r="J18" cm="1">
        <f t="array" ref="J18">_xlfn.XLOOKUP(_xlfn.XLOOKUP(returns_long_medium[[#This Row],[Year]],helper_ya[[#All],[Year]],helper_ya[[#All],[Category]]),br_er_medium[[#All],[Ticker]],br_er_medium[[#All],[SYBC]])</f>
        <v>3.030199351028862E-2</v>
      </c>
    </row>
    <row r="19" spans="1:10" x14ac:dyDescent="0.25">
      <c r="A19">
        <v>2052</v>
      </c>
      <c r="B19" cm="1">
        <f t="array" ref="B19">_xlfn.XLOOKUP(_xlfn.XLOOKUP(returns_long_medium[[#This Row],[Year]],helper_ya[[#All],[Year]],helper_ya[[#All],[Category]]),br_er_medium[[#All],[Ticker]],br_er_medium[[#All],[EUNK]])</f>
        <v>6.8912050001716185E-2</v>
      </c>
      <c r="D19" cm="1">
        <f t="array" ref="D19">_xlfn.XLOOKUP(_xlfn.XLOOKUP(returns_long_medium[[#This Row],[Year]],helper_ya[[#All],[Year]],helper_ya[[#All],[Category]]),br_er_medium[[#All],[Ticker]],br_er_medium[[#All],[IUSN]])</f>
        <v>5.3352909398189707E-2</v>
      </c>
      <c r="E19" cm="1">
        <f t="array" ref="E19">_xlfn.XLOOKUP(_xlfn.XLOOKUP(returns_long_medium[[#This Row],[Year]],helper_ya[[#All],[Year]],helper_ya[[#All],[Category]]),br_er_medium[[#All],[Ticker]],br_er_medium[[#All],[JGHY]])</f>
        <v>4.1087683326209927E-2</v>
      </c>
      <c r="F19" cm="1">
        <f t="array" ref="F19">_xlfn.XLOOKUP(_xlfn.XLOOKUP(returns_long_medium[[#This Row],[Year]],helper_ya[[#All],[Year]],helper_ya[[#All],[Category]]),br_er_medium[[#All],[Ticker]],br_er_medium[[#All],[LYXF]])</f>
        <v>2.6289187805909719E-2</v>
      </c>
      <c r="G19" cm="1">
        <f t="array" ref="G19">_xlfn.XLOOKUP(_xlfn.XLOOKUP(returns_long_medium[[#This Row],[Year]],helper_ya[[#All],[Year]],helper_ya[[#All],[Category]]),br_er_medium[[#All],[Ticker]],br_er_medium[[#All],[SXR4]])</f>
        <v>5.6446985548124003E-2</v>
      </c>
      <c r="I19" cm="1">
        <f t="array" ref="I19">_xlfn.XLOOKUP(_xlfn.XLOOKUP(returns_long_medium[[#This Row],[Year]],helper_ya[[#All],[Year]],helper_ya[[#All],[Category]]),br_er_medium[[#All],[Ticker]],br_er_medium[[#All],[SYBB]])</f>
        <v>2.4231237901194861E-2</v>
      </c>
      <c r="J19" cm="1">
        <f t="array" ref="J19">_xlfn.XLOOKUP(_xlfn.XLOOKUP(returns_long_medium[[#This Row],[Year]],helper_ya[[#All],[Year]],helper_ya[[#All],[Category]]),br_er_medium[[#All],[Ticker]],br_er_medium[[#All],[SYBC]])</f>
        <v>3.030199351028862E-2</v>
      </c>
    </row>
    <row r="20" spans="1:10" x14ac:dyDescent="0.25">
      <c r="A20">
        <v>2053</v>
      </c>
      <c r="B20" cm="1">
        <f t="array" ref="B20">_xlfn.XLOOKUP(_xlfn.XLOOKUP(returns_long_medium[[#This Row],[Year]],helper_ya[[#All],[Year]],helper_ya[[#All],[Category]]),br_er_medium[[#All],[Ticker]],br_er_medium[[#All],[EUNK]])</f>
        <v>6.8912050001716185E-2</v>
      </c>
      <c r="D20" cm="1">
        <f t="array" ref="D20">_xlfn.XLOOKUP(_xlfn.XLOOKUP(returns_long_medium[[#This Row],[Year]],helper_ya[[#All],[Year]],helper_ya[[#All],[Category]]),br_er_medium[[#All],[Ticker]],br_er_medium[[#All],[IUSN]])</f>
        <v>5.3352909398189707E-2</v>
      </c>
      <c r="E20" cm="1">
        <f t="array" ref="E20">_xlfn.XLOOKUP(_xlfn.XLOOKUP(returns_long_medium[[#This Row],[Year]],helper_ya[[#All],[Year]],helper_ya[[#All],[Category]]),br_er_medium[[#All],[Ticker]],br_er_medium[[#All],[JGHY]])</f>
        <v>4.1087683326209927E-2</v>
      </c>
      <c r="F20" cm="1">
        <f t="array" ref="F20">_xlfn.XLOOKUP(_xlfn.XLOOKUP(returns_long_medium[[#This Row],[Year]],helper_ya[[#All],[Year]],helper_ya[[#All],[Category]]),br_er_medium[[#All],[Ticker]],br_er_medium[[#All],[LYXF]])</f>
        <v>2.6289187805909719E-2</v>
      </c>
      <c r="G20" cm="1">
        <f t="array" ref="G20">_xlfn.XLOOKUP(_xlfn.XLOOKUP(returns_long_medium[[#This Row],[Year]],helper_ya[[#All],[Year]],helper_ya[[#All],[Category]]),br_er_medium[[#All],[Ticker]],br_er_medium[[#All],[SXR4]])</f>
        <v>5.6446985548124003E-2</v>
      </c>
      <c r="I20" cm="1">
        <f t="array" ref="I20">_xlfn.XLOOKUP(_xlfn.XLOOKUP(returns_long_medium[[#This Row],[Year]],helper_ya[[#All],[Year]],helper_ya[[#All],[Category]]),br_er_medium[[#All],[Ticker]],br_er_medium[[#All],[SYBB]])</f>
        <v>2.4231237901194861E-2</v>
      </c>
      <c r="J20" cm="1">
        <f t="array" ref="J20">_xlfn.XLOOKUP(_xlfn.XLOOKUP(returns_long_medium[[#This Row],[Year]],helper_ya[[#All],[Year]],helper_ya[[#All],[Category]]),br_er_medium[[#All],[Ticker]],br_er_medium[[#All],[SYBC]])</f>
        <v>3.030199351028862E-2</v>
      </c>
    </row>
    <row r="21" spans="1:10" x14ac:dyDescent="0.25">
      <c r="A21">
        <v>2054</v>
      </c>
      <c r="B21" cm="1">
        <f t="array" ref="B21">_xlfn.XLOOKUP(_xlfn.XLOOKUP(returns_long_medium[[#This Row],[Year]],helper_ya[[#All],[Year]],helper_ya[[#All],[Category]]),br_er_medium[[#All],[Ticker]],br_er_medium[[#All],[EUNK]])</f>
        <v>6.8912050001716185E-2</v>
      </c>
      <c r="D21" cm="1">
        <f t="array" ref="D21">_xlfn.XLOOKUP(_xlfn.XLOOKUP(returns_long_medium[[#This Row],[Year]],helper_ya[[#All],[Year]],helper_ya[[#All],[Category]]),br_er_medium[[#All],[Ticker]],br_er_medium[[#All],[IUSN]])</f>
        <v>5.3352909398189707E-2</v>
      </c>
      <c r="E21" cm="1">
        <f t="array" ref="E21">_xlfn.XLOOKUP(_xlfn.XLOOKUP(returns_long_medium[[#This Row],[Year]],helper_ya[[#All],[Year]],helper_ya[[#All],[Category]]),br_er_medium[[#All],[Ticker]],br_er_medium[[#All],[JGHY]])</f>
        <v>4.1087683326209927E-2</v>
      </c>
      <c r="F21" cm="1">
        <f t="array" ref="F21">_xlfn.XLOOKUP(_xlfn.XLOOKUP(returns_long_medium[[#This Row],[Year]],helper_ya[[#All],[Year]],helper_ya[[#All],[Category]]),br_er_medium[[#All],[Ticker]],br_er_medium[[#All],[LYXF]])</f>
        <v>2.6289187805909719E-2</v>
      </c>
      <c r="G21" cm="1">
        <f t="array" ref="G21">_xlfn.XLOOKUP(_xlfn.XLOOKUP(returns_long_medium[[#This Row],[Year]],helper_ya[[#All],[Year]],helper_ya[[#All],[Category]]),br_er_medium[[#All],[Ticker]],br_er_medium[[#All],[SXR4]])</f>
        <v>5.6446985548124003E-2</v>
      </c>
      <c r="I21" cm="1">
        <f t="array" ref="I21">_xlfn.XLOOKUP(_xlfn.XLOOKUP(returns_long_medium[[#This Row],[Year]],helper_ya[[#All],[Year]],helper_ya[[#All],[Category]]),br_er_medium[[#All],[Ticker]],br_er_medium[[#All],[SYBB]])</f>
        <v>2.4231237901194861E-2</v>
      </c>
      <c r="J21" cm="1">
        <f t="array" ref="J21">_xlfn.XLOOKUP(_xlfn.XLOOKUP(returns_long_medium[[#This Row],[Year]],helper_ya[[#All],[Year]],helper_ya[[#All],[Category]]),br_er_medium[[#All],[Ticker]],br_er_medium[[#All],[SYBC]])</f>
        <v>3.030199351028862E-2</v>
      </c>
    </row>
    <row r="22" spans="1:10" x14ac:dyDescent="0.25">
      <c r="A22">
        <v>2055</v>
      </c>
      <c r="B22" cm="1">
        <f t="array" ref="B22">_xlfn.XLOOKUP(_xlfn.XLOOKUP(returns_long_medium[[#This Row],[Year]],helper_ya[[#All],[Year]],helper_ya[[#All],[Category]]),br_er_medium[[#All],[Ticker]],br_er_medium[[#All],[EUNK]])</f>
        <v>6.8912050001716185E-2</v>
      </c>
      <c r="D22" cm="1">
        <f t="array" ref="D22">_xlfn.XLOOKUP(_xlfn.XLOOKUP(returns_long_medium[[#This Row],[Year]],helper_ya[[#All],[Year]],helper_ya[[#All],[Category]]),br_er_medium[[#All],[Ticker]],br_er_medium[[#All],[IUSN]])</f>
        <v>5.3352909398189707E-2</v>
      </c>
      <c r="E22" cm="1">
        <f t="array" ref="E22">_xlfn.XLOOKUP(_xlfn.XLOOKUP(returns_long_medium[[#This Row],[Year]],helper_ya[[#All],[Year]],helper_ya[[#All],[Category]]),br_er_medium[[#All],[Ticker]],br_er_medium[[#All],[JGHY]])</f>
        <v>4.1087683326209927E-2</v>
      </c>
      <c r="F22" cm="1">
        <f t="array" ref="F22">_xlfn.XLOOKUP(_xlfn.XLOOKUP(returns_long_medium[[#This Row],[Year]],helper_ya[[#All],[Year]],helper_ya[[#All],[Category]]),br_er_medium[[#All],[Ticker]],br_er_medium[[#All],[LYXF]])</f>
        <v>2.6289187805909719E-2</v>
      </c>
      <c r="G22" cm="1">
        <f t="array" ref="G22">_xlfn.XLOOKUP(_xlfn.XLOOKUP(returns_long_medium[[#This Row],[Year]],helper_ya[[#All],[Year]],helper_ya[[#All],[Category]]),br_er_medium[[#All],[Ticker]],br_er_medium[[#All],[SXR4]])</f>
        <v>5.6446985548124003E-2</v>
      </c>
      <c r="I22" cm="1">
        <f t="array" ref="I22">_xlfn.XLOOKUP(_xlfn.XLOOKUP(returns_long_medium[[#This Row],[Year]],helper_ya[[#All],[Year]],helper_ya[[#All],[Category]]),br_er_medium[[#All],[Ticker]],br_er_medium[[#All],[SYBB]])</f>
        <v>2.4231237901194861E-2</v>
      </c>
      <c r="J22" cm="1">
        <f t="array" ref="J22">_xlfn.XLOOKUP(_xlfn.XLOOKUP(returns_long_medium[[#This Row],[Year]],helper_ya[[#All],[Year]],helper_ya[[#All],[Category]]),br_er_medium[[#All],[Ticker]],br_er_medium[[#All],[SYBC]])</f>
        <v>3.030199351028862E-2</v>
      </c>
    </row>
    <row r="23" spans="1:10" x14ac:dyDescent="0.25">
      <c r="A23">
        <v>2056</v>
      </c>
      <c r="B23" cm="1">
        <f t="array" ref="B23">_xlfn.XLOOKUP(_xlfn.XLOOKUP(returns_long_medium[[#This Row],[Year]],helper_ya[[#All],[Year]],helper_ya[[#All],[Category]]),br_er_medium[[#All],[Ticker]],br_er_medium[[#All],[EUNK]])</f>
        <v>6.8912050001716185E-2</v>
      </c>
      <c r="D23" cm="1">
        <f t="array" ref="D23">_xlfn.XLOOKUP(_xlfn.XLOOKUP(returns_long_medium[[#This Row],[Year]],helper_ya[[#All],[Year]],helper_ya[[#All],[Category]]),br_er_medium[[#All],[Ticker]],br_er_medium[[#All],[IUSN]])</f>
        <v>5.3352909398189707E-2</v>
      </c>
      <c r="E23" cm="1">
        <f t="array" ref="E23">_xlfn.XLOOKUP(_xlfn.XLOOKUP(returns_long_medium[[#This Row],[Year]],helper_ya[[#All],[Year]],helper_ya[[#All],[Category]]),br_er_medium[[#All],[Ticker]],br_er_medium[[#All],[JGHY]])</f>
        <v>4.1087683326209927E-2</v>
      </c>
      <c r="F23" cm="1">
        <f t="array" ref="F23">_xlfn.XLOOKUP(_xlfn.XLOOKUP(returns_long_medium[[#This Row],[Year]],helper_ya[[#All],[Year]],helper_ya[[#All],[Category]]),br_er_medium[[#All],[Ticker]],br_er_medium[[#All],[LYXF]])</f>
        <v>2.6289187805909719E-2</v>
      </c>
      <c r="G23" cm="1">
        <f t="array" ref="G23">_xlfn.XLOOKUP(_xlfn.XLOOKUP(returns_long_medium[[#This Row],[Year]],helper_ya[[#All],[Year]],helper_ya[[#All],[Category]]),br_er_medium[[#All],[Ticker]],br_er_medium[[#All],[SXR4]])</f>
        <v>5.6446985548124003E-2</v>
      </c>
      <c r="I23" cm="1">
        <f t="array" ref="I23">_xlfn.XLOOKUP(_xlfn.XLOOKUP(returns_long_medium[[#This Row],[Year]],helper_ya[[#All],[Year]],helper_ya[[#All],[Category]]),br_er_medium[[#All],[Ticker]],br_er_medium[[#All],[SYBB]])</f>
        <v>2.4231237901194861E-2</v>
      </c>
      <c r="J23" cm="1">
        <f t="array" ref="J23">_xlfn.XLOOKUP(_xlfn.XLOOKUP(returns_long_medium[[#This Row],[Year]],helper_ya[[#All],[Year]],helper_ya[[#All],[Category]]),br_er_medium[[#All],[Ticker]],br_er_medium[[#All],[SYBC]])</f>
        <v>3.030199351028862E-2</v>
      </c>
    </row>
    <row r="24" spans="1:10" x14ac:dyDescent="0.25">
      <c r="A24">
        <v>2057</v>
      </c>
      <c r="B24" cm="1">
        <f t="array" ref="B24">_xlfn.XLOOKUP(_xlfn.XLOOKUP(returns_long_medium[[#This Row],[Year]],helper_ya[[#All],[Year]],helper_ya[[#All],[Category]]),br_er_medium[[#All],[Ticker]],br_er_medium[[#All],[EUNK]])</f>
        <v>6.8912050001716185E-2</v>
      </c>
      <c r="D24" cm="1">
        <f t="array" ref="D24">_xlfn.XLOOKUP(_xlfn.XLOOKUP(returns_long_medium[[#This Row],[Year]],helper_ya[[#All],[Year]],helper_ya[[#All],[Category]]),br_er_medium[[#All],[Ticker]],br_er_medium[[#All],[IUSN]])</f>
        <v>5.3352909398189707E-2</v>
      </c>
      <c r="E24" cm="1">
        <f t="array" ref="E24">_xlfn.XLOOKUP(_xlfn.XLOOKUP(returns_long_medium[[#This Row],[Year]],helper_ya[[#All],[Year]],helper_ya[[#All],[Category]]),br_er_medium[[#All],[Ticker]],br_er_medium[[#All],[JGHY]])</f>
        <v>4.1087683326209927E-2</v>
      </c>
      <c r="F24" cm="1">
        <f t="array" ref="F24">_xlfn.XLOOKUP(_xlfn.XLOOKUP(returns_long_medium[[#This Row],[Year]],helper_ya[[#All],[Year]],helper_ya[[#All],[Category]]),br_er_medium[[#All],[Ticker]],br_er_medium[[#All],[LYXF]])</f>
        <v>2.6289187805909719E-2</v>
      </c>
      <c r="G24" cm="1">
        <f t="array" ref="G24">_xlfn.XLOOKUP(_xlfn.XLOOKUP(returns_long_medium[[#This Row],[Year]],helper_ya[[#All],[Year]],helper_ya[[#All],[Category]]),br_er_medium[[#All],[Ticker]],br_er_medium[[#All],[SXR4]])</f>
        <v>5.6446985548124003E-2</v>
      </c>
      <c r="I24" cm="1">
        <f t="array" ref="I24">_xlfn.XLOOKUP(_xlfn.XLOOKUP(returns_long_medium[[#This Row],[Year]],helper_ya[[#All],[Year]],helper_ya[[#All],[Category]]),br_er_medium[[#All],[Ticker]],br_er_medium[[#All],[SYBB]])</f>
        <v>2.4231237901194861E-2</v>
      </c>
      <c r="J24" cm="1">
        <f t="array" ref="J24">_xlfn.XLOOKUP(_xlfn.XLOOKUP(returns_long_medium[[#This Row],[Year]],helper_ya[[#All],[Year]],helper_ya[[#All],[Category]]),br_er_medium[[#All],[Ticker]],br_er_medium[[#All],[SYBC]])</f>
        <v>3.030199351028862E-2</v>
      </c>
    </row>
    <row r="25" spans="1:10" x14ac:dyDescent="0.25">
      <c r="A25">
        <v>2058</v>
      </c>
      <c r="B25" cm="1">
        <f t="array" ref="B25">_xlfn.XLOOKUP(_xlfn.XLOOKUP(returns_long_medium[[#This Row],[Year]],helper_ya[[#All],[Year]],helper_ya[[#All],[Category]]),br_er_medium[[#All],[Ticker]],br_er_medium[[#All],[EUNK]])</f>
        <v>6.8912050001716185E-2</v>
      </c>
      <c r="D25" cm="1">
        <f t="array" ref="D25">_xlfn.XLOOKUP(_xlfn.XLOOKUP(returns_long_medium[[#This Row],[Year]],helper_ya[[#All],[Year]],helper_ya[[#All],[Category]]),br_er_medium[[#All],[Ticker]],br_er_medium[[#All],[IUSN]])</f>
        <v>5.3352909398189707E-2</v>
      </c>
      <c r="E25" cm="1">
        <f t="array" ref="E25">_xlfn.XLOOKUP(_xlfn.XLOOKUP(returns_long_medium[[#This Row],[Year]],helper_ya[[#All],[Year]],helper_ya[[#All],[Category]]),br_er_medium[[#All],[Ticker]],br_er_medium[[#All],[JGHY]])</f>
        <v>4.1087683326209927E-2</v>
      </c>
      <c r="F25" cm="1">
        <f t="array" ref="F25">_xlfn.XLOOKUP(_xlfn.XLOOKUP(returns_long_medium[[#This Row],[Year]],helper_ya[[#All],[Year]],helper_ya[[#All],[Category]]),br_er_medium[[#All],[Ticker]],br_er_medium[[#All],[LYXF]])</f>
        <v>2.6289187805909719E-2</v>
      </c>
      <c r="G25" cm="1">
        <f t="array" ref="G25">_xlfn.XLOOKUP(_xlfn.XLOOKUP(returns_long_medium[[#This Row],[Year]],helper_ya[[#All],[Year]],helper_ya[[#All],[Category]]),br_er_medium[[#All],[Ticker]],br_er_medium[[#All],[SXR4]])</f>
        <v>5.6446985548124003E-2</v>
      </c>
      <c r="I25" cm="1">
        <f t="array" ref="I25">_xlfn.XLOOKUP(_xlfn.XLOOKUP(returns_long_medium[[#This Row],[Year]],helper_ya[[#All],[Year]],helper_ya[[#All],[Category]]),br_er_medium[[#All],[Ticker]],br_er_medium[[#All],[SYBB]])</f>
        <v>2.4231237901194861E-2</v>
      </c>
      <c r="J25" cm="1">
        <f t="array" ref="J25">_xlfn.XLOOKUP(_xlfn.XLOOKUP(returns_long_medium[[#This Row],[Year]],helper_ya[[#All],[Year]],helper_ya[[#All],[Category]]),br_er_medium[[#All],[Ticker]],br_er_medium[[#All],[SYBC]])</f>
        <v>3.030199351028862E-2</v>
      </c>
    </row>
    <row r="26" spans="1:10" x14ac:dyDescent="0.25">
      <c r="A26">
        <v>2059</v>
      </c>
      <c r="B26" cm="1">
        <f t="array" ref="B26">_xlfn.XLOOKUP(_xlfn.XLOOKUP(returns_long_medium[[#This Row],[Year]],helper_ya[[#All],[Year]],helper_ya[[#All],[Category]]),br_er_medium[[#All],[Ticker]],br_er_medium[[#All],[EUNK]])</f>
        <v>6.8912050001716185E-2</v>
      </c>
      <c r="D26" cm="1">
        <f t="array" ref="D26">_xlfn.XLOOKUP(_xlfn.XLOOKUP(returns_long_medium[[#This Row],[Year]],helper_ya[[#All],[Year]],helper_ya[[#All],[Category]]),br_er_medium[[#All],[Ticker]],br_er_medium[[#All],[IUSN]])</f>
        <v>5.3352909398189707E-2</v>
      </c>
      <c r="E26" cm="1">
        <f t="array" ref="E26">_xlfn.XLOOKUP(_xlfn.XLOOKUP(returns_long_medium[[#This Row],[Year]],helper_ya[[#All],[Year]],helper_ya[[#All],[Category]]),br_er_medium[[#All],[Ticker]],br_er_medium[[#All],[JGHY]])</f>
        <v>4.1087683326209927E-2</v>
      </c>
      <c r="F26" cm="1">
        <f t="array" ref="F26">_xlfn.XLOOKUP(_xlfn.XLOOKUP(returns_long_medium[[#This Row],[Year]],helper_ya[[#All],[Year]],helper_ya[[#All],[Category]]),br_er_medium[[#All],[Ticker]],br_er_medium[[#All],[LYXF]])</f>
        <v>2.6289187805909719E-2</v>
      </c>
      <c r="G26" cm="1">
        <f t="array" ref="G26">_xlfn.XLOOKUP(_xlfn.XLOOKUP(returns_long_medium[[#This Row],[Year]],helper_ya[[#All],[Year]],helper_ya[[#All],[Category]]),br_er_medium[[#All],[Ticker]],br_er_medium[[#All],[SXR4]])</f>
        <v>5.6446985548124003E-2</v>
      </c>
      <c r="I26" cm="1">
        <f t="array" ref="I26">_xlfn.XLOOKUP(_xlfn.XLOOKUP(returns_long_medium[[#This Row],[Year]],helper_ya[[#All],[Year]],helper_ya[[#All],[Category]]),br_er_medium[[#All],[Ticker]],br_er_medium[[#All],[SYBB]])</f>
        <v>2.4231237901194861E-2</v>
      </c>
      <c r="J26" cm="1">
        <f t="array" ref="J26">_xlfn.XLOOKUP(_xlfn.XLOOKUP(returns_long_medium[[#This Row],[Year]],helper_ya[[#All],[Year]],helper_ya[[#All],[Category]]),br_er_medium[[#All],[Ticker]],br_er_medium[[#All],[SYBC]])</f>
        <v>3.030199351028862E-2</v>
      </c>
    </row>
    <row r="27" spans="1:10" x14ac:dyDescent="0.25">
      <c r="A27">
        <v>2060</v>
      </c>
      <c r="B27" cm="1">
        <f t="array" ref="B27">_xlfn.XLOOKUP(_xlfn.XLOOKUP(returns_long_medium[[#This Row],[Year]],helper_ya[[#All],[Year]],helper_ya[[#All],[Category]]),br_er_medium[[#All],[Ticker]],br_er_medium[[#All],[EUNK]])</f>
        <v>6.8912050001716185E-2</v>
      </c>
      <c r="D27" cm="1">
        <f t="array" ref="D27">_xlfn.XLOOKUP(_xlfn.XLOOKUP(returns_long_medium[[#This Row],[Year]],helper_ya[[#All],[Year]],helper_ya[[#All],[Category]]),br_er_medium[[#All],[Ticker]],br_er_medium[[#All],[IUSN]])</f>
        <v>5.3352909398189707E-2</v>
      </c>
      <c r="E27" cm="1">
        <f t="array" ref="E27">_xlfn.XLOOKUP(_xlfn.XLOOKUP(returns_long_medium[[#This Row],[Year]],helper_ya[[#All],[Year]],helper_ya[[#All],[Category]]),br_er_medium[[#All],[Ticker]],br_er_medium[[#All],[JGHY]])</f>
        <v>4.1087683326209927E-2</v>
      </c>
      <c r="F27" cm="1">
        <f t="array" ref="F27">_xlfn.XLOOKUP(_xlfn.XLOOKUP(returns_long_medium[[#This Row],[Year]],helper_ya[[#All],[Year]],helper_ya[[#All],[Category]]),br_er_medium[[#All],[Ticker]],br_er_medium[[#All],[LYXF]])</f>
        <v>2.6289187805909719E-2</v>
      </c>
      <c r="G27" cm="1">
        <f t="array" ref="G27">_xlfn.XLOOKUP(_xlfn.XLOOKUP(returns_long_medium[[#This Row],[Year]],helper_ya[[#All],[Year]],helper_ya[[#All],[Category]]),br_er_medium[[#All],[Ticker]],br_er_medium[[#All],[SXR4]])</f>
        <v>5.6446985548124003E-2</v>
      </c>
      <c r="I27" cm="1">
        <f t="array" ref="I27">_xlfn.XLOOKUP(_xlfn.XLOOKUP(returns_long_medium[[#This Row],[Year]],helper_ya[[#All],[Year]],helper_ya[[#All],[Category]]),br_er_medium[[#All],[Ticker]],br_er_medium[[#All],[SYBB]])</f>
        <v>2.4231237901194861E-2</v>
      </c>
      <c r="J27" cm="1">
        <f t="array" ref="J27">_xlfn.XLOOKUP(_xlfn.XLOOKUP(returns_long_medium[[#This Row],[Year]],helper_ya[[#All],[Year]],helper_ya[[#All],[Category]]),br_er_medium[[#All],[Ticker]],br_er_medium[[#All],[SYBC]])</f>
        <v>3.030199351028862E-2</v>
      </c>
    </row>
    <row r="28" spans="1:10" x14ac:dyDescent="0.25">
      <c r="A28">
        <v>2061</v>
      </c>
      <c r="B28" cm="1">
        <f t="array" ref="B28">_xlfn.XLOOKUP(_xlfn.XLOOKUP(returns_long_medium[[#This Row],[Year]],helper_ya[[#All],[Year]],helper_ya[[#All],[Category]]),br_er_medium[[#All],[Ticker]],br_er_medium[[#All],[EUNK]])</f>
        <v>6.8912050001716185E-2</v>
      </c>
      <c r="D28" cm="1">
        <f t="array" ref="D28">_xlfn.XLOOKUP(_xlfn.XLOOKUP(returns_long_medium[[#This Row],[Year]],helper_ya[[#All],[Year]],helper_ya[[#All],[Category]]),br_er_medium[[#All],[Ticker]],br_er_medium[[#All],[IUSN]])</f>
        <v>5.3352909398189707E-2</v>
      </c>
      <c r="E28" cm="1">
        <f t="array" ref="E28">_xlfn.XLOOKUP(_xlfn.XLOOKUP(returns_long_medium[[#This Row],[Year]],helper_ya[[#All],[Year]],helper_ya[[#All],[Category]]),br_er_medium[[#All],[Ticker]],br_er_medium[[#All],[JGHY]])</f>
        <v>4.1087683326209927E-2</v>
      </c>
      <c r="F28" cm="1">
        <f t="array" ref="F28">_xlfn.XLOOKUP(_xlfn.XLOOKUP(returns_long_medium[[#This Row],[Year]],helper_ya[[#All],[Year]],helper_ya[[#All],[Category]]),br_er_medium[[#All],[Ticker]],br_er_medium[[#All],[LYXF]])</f>
        <v>2.6289187805909719E-2</v>
      </c>
      <c r="G28" cm="1">
        <f t="array" ref="G28">_xlfn.XLOOKUP(_xlfn.XLOOKUP(returns_long_medium[[#This Row],[Year]],helper_ya[[#All],[Year]],helper_ya[[#All],[Category]]),br_er_medium[[#All],[Ticker]],br_er_medium[[#All],[SXR4]])</f>
        <v>5.6446985548124003E-2</v>
      </c>
      <c r="I28" cm="1">
        <f t="array" ref="I28">_xlfn.XLOOKUP(_xlfn.XLOOKUP(returns_long_medium[[#This Row],[Year]],helper_ya[[#All],[Year]],helper_ya[[#All],[Category]]),br_er_medium[[#All],[Ticker]],br_er_medium[[#All],[SYBB]])</f>
        <v>2.4231237901194861E-2</v>
      </c>
      <c r="J28" cm="1">
        <f t="array" ref="J28">_xlfn.XLOOKUP(_xlfn.XLOOKUP(returns_long_medium[[#This Row],[Year]],helper_ya[[#All],[Year]],helper_ya[[#All],[Category]]),br_er_medium[[#All],[Ticker]],br_er_medium[[#All],[SYBC]])</f>
        <v>3.030199351028862E-2</v>
      </c>
    </row>
    <row r="29" spans="1:10" x14ac:dyDescent="0.25">
      <c r="A29">
        <v>2062</v>
      </c>
      <c r="B29" cm="1">
        <f t="array" ref="B29">_xlfn.XLOOKUP(_xlfn.XLOOKUP(returns_long_medium[[#This Row],[Year]],helper_ya[[#All],[Year]],helper_ya[[#All],[Category]]),br_er_medium[[#All],[Ticker]],br_er_medium[[#All],[EUNK]])</f>
        <v>6.8912050001716185E-2</v>
      </c>
      <c r="D29" cm="1">
        <f t="array" ref="D29">_xlfn.XLOOKUP(_xlfn.XLOOKUP(returns_long_medium[[#This Row],[Year]],helper_ya[[#All],[Year]],helper_ya[[#All],[Category]]),br_er_medium[[#All],[Ticker]],br_er_medium[[#All],[IUSN]])</f>
        <v>5.3352909398189707E-2</v>
      </c>
      <c r="E29" cm="1">
        <f t="array" ref="E29">_xlfn.XLOOKUP(_xlfn.XLOOKUP(returns_long_medium[[#This Row],[Year]],helper_ya[[#All],[Year]],helper_ya[[#All],[Category]]),br_er_medium[[#All],[Ticker]],br_er_medium[[#All],[JGHY]])</f>
        <v>4.1087683326209927E-2</v>
      </c>
      <c r="F29" cm="1">
        <f t="array" ref="F29">_xlfn.XLOOKUP(_xlfn.XLOOKUP(returns_long_medium[[#This Row],[Year]],helper_ya[[#All],[Year]],helper_ya[[#All],[Category]]),br_er_medium[[#All],[Ticker]],br_er_medium[[#All],[LYXF]])</f>
        <v>2.6289187805909719E-2</v>
      </c>
      <c r="G29" cm="1">
        <f t="array" ref="G29">_xlfn.XLOOKUP(_xlfn.XLOOKUP(returns_long_medium[[#This Row],[Year]],helper_ya[[#All],[Year]],helper_ya[[#All],[Category]]),br_er_medium[[#All],[Ticker]],br_er_medium[[#All],[SXR4]])</f>
        <v>5.6446985548124003E-2</v>
      </c>
      <c r="I29" cm="1">
        <f t="array" ref="I29">_xlfn.XLOOKUP(_xlfn.XLOOKUP(returns_long_medium[[#This Row],[Year]],helper_ya[[#All],[Year]],helper_ya[[#All],[Category]]),br_er_medium[[#All],[Ticker]],br_er_medium[[#All],[SYBB]])</f>
        <v>2.4231237901194861E-2</v>
      </c>
      <c r="J29" cm="1">
        <f t="array" ref="J29">_xlfn.XLOOKUP(_xlfn.XLOOKUP(returns_long_medium[[#This Row],[Year]],helper_ya[[#All],[Year]],helper_ya[[#All],[Category]]),br_er_medium[[#All],[Ticker]],br_er_medium[[#All],[SYBC]])</f>
        <v>3.030199351028862E-2</v>
      </c>
    </row>
    <row r="30" spans="1:10" x14ac:dyDescent="0.25">
      <c r="A30">
        <v>2063</v>
      </c>
      <c r="B30" cm="1">
        <f t="array" ref="B30">_xlfn.XLOOKUP(_xlfn.XLOOKUP(returns_long_medium[[#This Row],[Year]],helper_ya[[#All],[Year]],helper_ya[[#All],[Category]]),br_er_medium[[#All],[Ticker]],br_er_medium[[#All],[EUNK]])</f>
        <v>6.8912050001716185E-2</v>
      </c>
      <c r="D30" cm="1">
        <f t="array" ref="D30">_xlfn.XLOOKUP(_xlfn.XLOOKUP(returns_long_medium[[#This Row],[Year]],helper_ya[[#All],[Year]],helper_ya[[#All],[Category]]),br_er_medium[[#All],[Ticker]],br_er_medium[[#All],[IUSN]])</f>
        <v>5.3352909398189707E-2</v>
      </c>
      <c r="E30" cm="1">
        <f t="array" ref="E30">_xlfn.XLOOKUP(_xlfn.XLOOKUP(returns_long_medium[[#This Row],[Year]],helper_ya[[#All],[Year]],helper_ya[[#All],[Category]]),br_er_medium[[#All],[Ticker]],br_er_medium[[#All],[JGHY]])</f>
        <v>4.1087683326209927E-2</v>
      </c>
      <c r="F30" cm="1">
        <f t="array" ref="F30">_xlfn.XLOOKUP(_xlfn.XLOOKUP(returns_long_medium[[#This Row],[Year]],helper_ya[[#All],[Year]],helper_ya[[#All],[Category]]),br_er_medium[[#All],[Ticker]],br_er_medium[[#All],[LYXF]])</f>
        <v>2.6289187805909719E-2</v>
      </c>
      <c r="G30" cm="1">
        <f t="array" ref="G30">_xlfn.XLOOKUP(_xlfn.XLOOKUP(returns_long_medium[[#This Row],[Year]],helper_ya[[#All],[Year]],helper_ya[[#All],[Category]]),br_er_medium[[#All],[Ticker]],br_er_medium[[#All],[SXR4]])</f>
        <v>5.6446985548124003E-2</v>
      </c>
      <c r="I30" cm="1">
        <f t="array" ref="I30">_xlfn.XLOOKUP(_xlfn.XLOOKUP(returns_long_medium[[#This Row],[Year]],helper_ya[[#All],[Year]],helper_ya[[#All],[Category]]),br_er_medium[[#All],[Ticker]],br_er_medium[[#All],[SYBB]])</f>
        <v>2.4231237901194861E-2</v>
      </c>
      <c r="J30" cm="1">
        <f t="array" ref="J30">_xlfn.XLOOKUP(_xlfn.XLOOKUP(returns_long_medium[[#This Row],[Year]],helper_ya[[#All],[Year]],helper_ya[[#All],[Category]]),br_er_medium[[#All],[Ticker]],br_er_medium[[#All],[SYBC]])</f>
        <v>3.030199351028862E-2</v>
      </c>
    </row>
    <row r="31" spans="1:10" x14ac:dyDescent="0.25">
      <c r="A31">
        <v>2064</v>
      </c>
      <c r="B31" cm="1">
        <f t="array" ref="B31">_xlfn.XLOOKUP(_xlfn.XLOOKUP(returns_long_medium[[#This Row],[Year]],helper_ya[[#All],[Year]],helper_ya[[#All],[Category]]),br_er_medium[[#All],[Ticker]],br_er_medium[[#All],[EUNK]])</f>
        <v>6.8912050001716185E-2</v>
      </c>
      <c r="D31" cm="1">
        <f t="array" ref="D31">_xlfn.XLOOKUP(_xlfn.XLOOKUP(returns_long_medium[[#This Row],[Year]],helper_ya[[#All],[Year]],helper_ya[[#All],[Category]]),br_er_medium[[#All],[Ticker]],br_er_medium[[#All],[IUSN]])</f>
        <v>5.3352909398189707E-2</v>
      </c>
      <c r="E31" cm="1">
        <f t="array" ref="E31">_xlfn.XLOOKUP(_xlfn.XLOOKUP(returns_long_medium[[#This Row],[Year]],helper_ya[[#All],[Year]],helper_ya[[#All],[Category]]),br_er_medium[[#All],[Ticker]],br_er_medium[[#All],[JGHY]])</f>
        <v>4.1087683326209927E-2</v>
      </c>
      <c r="F31" cm="1">
        <f t="array" ref="F31">_xlfn.XLOOKUP(_xlfn.XLOOKUP(returns_long_medium[[#This Row],[Year]],helper_ya[[#All],[Year]],helper_ya[[#All],[Category]]),br_er_medium[[#All],[Ticker]],br_er_medium[[#All],[LYXF]])</f>
        <v>2.6289187805909719E-2</v>
      </c>
      <c r="G31" cm="1">
        <f t="array" ref="G31">_xlfn.XLOOKUP(_xlfn.XLOOKUP(returns_long_medium[[#This Row],[Year]],helper_ya[[#All],[Year]],helper_ya[[#All],[Category]]),br_er_medium[[#All],[Ticker]],br_er_medium[[#All],[SXR4]])</f>
        <v>5.6446985548124003E-2</v>
      </c>
      <c r="I31" cm="1">
        <f t="array" ref="I31">_xlfn.XLOOKUP(_xlfn.XLOOKUP(returns_long_medium[[#This Row],[Year]],helper_ya[[#All],[Year]],helper_ya[[#All],[Category]]),br_er_medium[[#All],[Ticker]],br_er_medium[[#All],[SYBB]])</f>
        <v>2.4231237901194861E-2</v>
      </c>
      <c r="J31" cm="1">
        <f t="array" ref="J31">_xlfn.XLOOKUP(_xlfn.XLOOKUP(returns_long_medium[[#This Row],[Year]],helper_ya[[#All],[Year]],helper_ya[[#All],[Category]]),br_er_medium[[#All],[Ticker]],br_er_medium[[#All],[SYBC]])</f>
        <v>3.030199351028862E-2</v>
      </c>
    </row>
    <row r="32" spans="1:10" x14ac:dyDescent="0.25">
      <c r="A32">
        <v>2065</v>
      </c>
      <c r="B32" cm="1">
        <f t="array" ref="B32">_xlfn.XLOOKUP(_xlfn.XLOOKUP(returns_long_medium[[#This Row],[Year]],helper_ya[[#All],[Year]],helper_ya[[#All],[Category]]),br_er_medium[[#All],[Ticker]],br_er_medium[[#All],[EUNK]])</f>
        <v>6.8912050001716185E-2</v>
      </c>
      <c r="D32" cm="1">
        <f t="array" ref="D32">_xlfn.XLOOKUP(_xlfn.XLOOKUP(returns_long_medium[[#This Row],[Year]],helper_ya[[#All],[Year]],helper_ya[[#All],[Category]]),br_er_medium[[#All],[Ticker]],br_er_medium[[#All],[IUSN]])</f>
        <v>5.3352909398189707E-2</v>
      </c>
      <c r="E32" cm="1">
        <f t="array" ref="E32">_xlfn.XLOOKUP(_xlfn.XLOOKUP(returns_long_medium[[#This Row],[Year]],helper_ya[[#All],[Year]],helper_ya[[#All],[Category]]),br_er_medium[[#All],[Ticker]],br_er_medium[[#All],[JGHY]])</f>
        <v>4.1087683326209927E-2</v>
      </c>
      <c r="F32" cm="1">
        <f t="array" ref="F32">_xlfn.XLOOKUP(_xlfn.XLOOKUP(returns_long_medium[[#This Row],[Year]],helper_ya[[#All],[Year]],helper_ya[[#All],[Category]]),br_er_medium[[#All],[Ticker]],br_er_medium[[#All],[LYXF]])</f>
        <v>2.6289187805909719E-2</v>
      </c>
      <c r="G32" cm="1">
        <f t="array" ref="G32">_xlfn.XLOOKUP(_xlfn.XLOOKUP(returns_long_medium[[#This Row],[Year]],helper_ya[[#All],[Year]],helper_ya[[#All],[Category]]),br_er_medium[[#All],[Ticker]],br_er_medium[[#All],[SXR4]])</f>
        <v>5.6446985548124003E-2</v>
      </c>
      <c r="I32" cm="1">
        <f t="array" ref="I32">_xlfn.XLOOKUP(_xlfn.XLOOKUP(returns_long_medium[[#This Row],[Year]],helper_ya[[#All],[Year]],helper_ya[[#All],[Category]]),br_er_medium[[#All],[Ticker]],br_er_medium[[#All],[SYBB]])</f>
        <v>2.4231237901194861E-2</v>
      </c>
      <c r="J32" cm="1">
        <f t="array" ref="J32">_xlfn.XLOOKUP(_xlfn.XLOOKUP(returns_long_medium[[#This Row],[Year]],helper_ya[[#All],[Year]],helper_ya[[#All],[Category]]),br_er_medium[[#All],[Ticker]],br_er_medium[[#All],[SYBC]])</f>
        <v>3.030199351028862E-2</v>
      </c>
    </row>
    <row r="33" spans="1:10" x14ac:dyDescent="0.25">
      <c r="A33">
        <v>2066</v>
      </c>
      <c r="B33" cm="1">
        <f t="array" ref="B33">_xlfn.XLOOKUP(_xlfn.XLOOKUP(returns_long_medium[[#This Row],[Year]],helper_ya[[#All],[Year]],helper_ya[[#All],[Category]]),br_er_medium[[#All],[Ticker]],br_er_medium[[#All],[EUNK]])</f>
        <v>6.8912050001716185E-2</v>
      </c>
      <c r="D33" cm="1">
        <f t="array" ref="D33">_xlfn.XLOOKUP(_xlfn.XLOOKUP(returns_long_medium[[#This Row],[Year]],helper_ya[[#All],[Year]],helper_ya[[#All],[Category]]),br_er_medium[[#All],[Ticker]],br_er_medium[[#All],[IUSN]])</f>
        <v>5.3352909398189707E-2</v>
      </c>
      <c r="E33" cm="1">
        <f t="array" ref="E33">_xlfn.XLOOKUP(_xlfn.XLOOKUP(returns_long_medium[[#This Row],[Year]],helper_ya[[#All],[Year]],helper_ya[[#All],[Category]]),br_er_medium[[#All],[Ticker]],br_er_medium[[#All],[JGHY]])</f>
        <v>4.1087683326209927E-2</v>
      </c>
      <c r="F33" cm="1">
        <f t="array" ref="F33">_xlfn.XLOOKUP(_xlfn.XLOOKUP(returns_long_medium[[#This Row],[Year]],helper_ya[[#All],[Year]],helper_ya[[#All],[Category]]),br_er_medium[[#All],[Ticker]],br_er_medium[[#All],[LYXF]])</f>
        <v>2.6289187805909719E-2</v>
      </c>
      <c r="G33" cm="1">
        <f t="array" ref="G33">_xlfn.XLOOKUP(_xlfn.XLOOKUP(returns_long_medium[[#This Row],[Year]],helper_ya[[#All],[Year]],helper_ya[[#All],[Category]]),br_er_medium[[#All],[Ticker]],br_er_medium[[#All],[SXR4]])</f>
        <v>5.6446985548124003E-2</v>
      </c>
      <c r="I33" cm="1">
        <f t="array" ref="I33">_xlfn.XLOOKUP(_xlfn.XLOOKUP(returns_long_medium[[#This Row],[Year]],helper_ya[[#All],[Year]],helper_ya[[#All],[Category]]),br_er_medium[[#All],[Ticker]],br_er_medium[[#All],[SYBB]])</f>
        <v>2.4231237901194861E-2</v>
      </c>
      <c r="J33" cm="1">
        <f t="array" ref="J33">_xlfn.XLOOKUP(_xlfn.XLOOKUP(returns_long_medium[[#This Row],[Year]],helper_ya[[#All],[Year]],helper_ya[[#All],[Category]]),br_er_medium[[#All],[Ticker]],br_er_medium[[#All],[SYBC]])</f>
        <v>3.030199351028862E-2</v>
      </c>
    </row>
    <row r="34" spans="1:10" x14ac:dyDescent="0.25">
      <c r="A34">
        <v>2067</v>
      </c>
      <c r="B34" cm="1">
        <f t="array" ref="B34">_xlfn.XLOOKUP(_xlfn.XLOOKUP(returns_long_medium[[#This Row],[Year]],helper_ya[[#All],[Year]],helper_ya[[#All],[Category]]),br_er_medium[[#All],[Ticker]],br_er_medium[[#All],[EUNK]])</f>
        <v>6.8912050001716185E-2</v>
      </c>
      <c r="D34" cm="1">
        <f t="array" ref="D34">_xlfn.XLOOKUP(_xlfn.XLOOKUP(returns_long_medium[[#This Row],[Year]],helper_ya[[#All],[Year]],helper_ya[[#All],[Category]]),br_er_medium[[#All],[Ticker]],br_er_medium[[#All],[IUSN]])</f>
        <v>5.3352909398189707E-2</v>
      </c>
      <c r="E34" cm="1">
        <f t="array" ref="E34">_xlfn.XLOOKUP(_xlfn.XLOOKUP(returns_long_medium[[#This Row],[Year]],helper_ya[[#All],[Year]],helper_ya[[#All],[Category]]),br_er_medium[[#All],[Ticker]],br_er_medium[[#All],[JGHY]])</f>
        <v>4.1087683326209927E-2</v>
      </c>
      <c r="F34" cm="1">
        <f t="array" ref="F34">_xlfn.XLOOKUP(_xlfn.XLOOKUP(returns_long_medium[[#This Row],[Year]],helper_ya[[#All],[Year]],helper_ya[[#All],[Category]]),br_er_medium[[#All],[Ticker]],br_er_medium[[#All],[LYXF]])</f>
        <v>2.6289187805909719E-2</v>
      </c>
      <c r="G34" cm="1">
        <f t="array" ref="G34">_xlfn.XLOOKUP(_xlfn.XLOOKUP(returns_long_medium[[#This Row],[Year]],helper_ya[[#All],[Year]],helper_ya[[#All],[Category]]),br_er_medium[[#All],[Ticker]],br_er_medium[[#All],[SXR4]])</f>
        <v>5.6446985548124003E-2</v>
      </c>
      <c r="I34" cm="1">
        <f t="array" ref="I34">_xlfn.XLOOKUP(_xlfn.XLOOKUP(returns_long_medium[[#This Row],[Year]],helper_ya[[#All],[Year]],helper_ya[[#All],[Category]]),br_er_medium[[#All],[Ticker]],br_er_medium[[#All],[SYBB]])</f>
        <v>2.4231237901194861E-2</v>
      </c>
      <c r="J34" cm="1">
        <f t="array" ref="J34">_xlfn.XLOOKUP(_xlfn.XLOOKUP(returns_long_medium[[#This Row],[Year]],helper_ya[[#All],[Year]],helper_ya[[#All],[Category]]),br_er_medium[[#All],[Ticker]],br_er_medium[[#All],[SYBC]])</f>
        <v>3.030199351028862E-2</v>
      </c>
    </row>
    <row r="35" spans="1:10" x14ac:dyDescent="0.25">
      <c r="A35">
        <v>2068</v>
      </c>
      <c r="B35" cm="1">
        <f t="array" ref="B35">_xlfn.XLOOKUP(_xlfn.XLOOKUP(returns_long_medium[[#This Row],[Year]],helper_ya[[#All],[Year]],helper_ya[[#All],[Category]]),br_er_medium[[#All],[Ticker]],br_er_medium[[#All],[EUNK]])</f>
        <v>6.8912050001716185E-2</v>
      </c>
      <c r="D35" cm="1">
        <f t="array" ref="D35">_xlfn.XLOOKUP(_xlfn.XLOOKUP(returns_long_medium[[#This Row],[Year]],helper_ya[[#All],[Year]],helper_ya[[#All],[Category]]),br_er_medium[[#All],[Ticker]],br_er_medium[[#All],[IUSN]])</f>
        <v>5.3352909398189707E-2</v>
      </c>
      <c r="E35" cm="1">
        <f t="array" ref="E35">_xlfn.XLOOKUP(_xlfn.XLOOKUP(returns_long_medium[[#This Row],[Year]],helper_ya[[#All],[Year]],helper_ya[[#All],[Category]]),br_er_medium[[#All],[Ticker]],br_er_medium[[#All],[JGHY]])</f>
        <v>4.1087683326209927E-2</v>
      </c>
      <c r="F35" cm="1">
        <f t="array" ref="F35">_xlfn.XLOOKUP(_xlfn.XLOOKUP(returns_long_medium[[#This Row],[Year]],helper_ya[[#All],[Year]],helper_ya[[#All],[Category]]),br_er_medium[[#All],[Ticker]],br_er_medium[[#All],[LYXF]])</f>
        <v>2.6289187805909719E-2</v>
      </c>
      <c r="G35" cm="1">
        <f t="array" ref="G35">_xlfn.XLOOKUP(_xlfn.XLOOKUP(returns_long_medium[[#This Row],[Year]],helper_ya[[#All],[Year]],helper_ya[[#All],[Category]]),br_er_medium[[#All],[Ticker]],br_er_medium[[#All],[SXR4]])</f>
        <v>5.6446985548124003E-2</v>
      </c>
      <c r="I35" cm="1">
        <f t="array" ref="I35">_xlfn.XLOOKUP(_xlfn.XLOOKUP(returns_long_medium[[#This Row],[Year]],helper_ya[[#All],[Year]],helper_ya[[#All],[Category]]),br_er_medium[[#All],[Ticker]],br_er_medium[[#All],[SYBB]])</f>
        <v>2.4231237901194861E-2</v>
      </c>
      <c r="J35" cm="1">
        <f t="array" ref="J35">_xlfn.XLOOKUP(_xlfn.XLOOKUP(returns_long_medium[[#This Row],[Year]],helper_ya[[#All],[Year]],helper_ya[[#All],[Category]]),br_er_medium[[#All],[Ticker]],br_er_medium[[#All],[SYBC]])</f>
        <v>3.030199351028862E-2</v>
      </c>
    </row>
    <row r="36" spans="1:10" x14ac:dyDescent="0.25">
      <c r="A36">
        <v>2069</v>
      </c>
      <c r="B36" cm="1">
        <f t="array" ref="B36">_xlfn.XLOOKUP(_xlfn.XLOOKUP(returns_long_medium[[#This Row],[Year]],helper_ya[[#All],[Year]],helper_ya[[#All],[Category]]),br_er_medium[[#All],[Ticker]],br_er_medium[[#All],[EUNK]])</f>
        <v>6.8912050001716185E-2</v>
      </c>
      <c r="D36" cm="1">
        <f t="array" ref="D36">_xlfn.XLOOKUP(_xlfn.XLOOKUP(returns_long_medium[[#This Row],[Year]],helper_ya[[#All],[Year]],helper_ya[[#All],[Category]]),br_er_medium[[#All],[Ticker]],br_er_medium[[#All],[IUSN]])</f>
        <v>5.3352909398189707E-2</v>
      </c>
      <c r="E36" cm="1">
        <f t="array" ref="E36">_xlfn.XLOOKUP(_xlfn.XLOOKUP(returns_long_medium[[#This Row],[Year]],helper_ya[[#All],[Year]],helper_ya[[#All],[Category]]),br_er_medium[[#All],[Ticker]],br_er_medium[[#All],[JGHY]])</f>
        <v>4.1087683326209927E-2</v>
      </c>
      <c r="F36" cm="1">
        <f t="array" ref="F36">_xlfn.XLOOKUP(_xlfn.XLOOKUP(returns_long_medium[[#This Row],[Year]],helper_ya[[#All],[Year]],helper_ya[[#All],[Category]]),br_er_medium[[#All],[Ticker]],br_er_medium[[#All],[LYXF]])</f>
        <v>2.6289187805909719E-2</v>
      </c>
      <c r="G36" cm="1">
        <f t="array" ref="G36">_xlfn.XLOOKUP(_xlfn.XLOOKUP(returns_long_medium[[#This Row],[Year]],helper_ya[[#All],[Year]],helper_ya[[#All],[Category]]),br_er_medium[[#All],[Ticker]],br_er_medium[[#All],[SXR4]])</f>
        <v>5.6446985548124003E-2</v>
      </c>
      <c r="I36" cm="1">
        <f t="array" ref="I36">_xlfn.XLOOKUP(_xlfn.XLOOKUP(returns_long_medium[[#This Row],[Year]],helper_ya[[#All],[Year]],helper_ya[[#All],[Category]]),br_er_medium[[#All],[Ticker]],br_er_medium[[#All],[SYBB]])</f>
        <v>2.4231237901194861E-2</v>
      </c>
      <c r="J36" cm="1">
        <f t="array" ref="J36">_xlfn.XLOOKUP(_xlfn.XLOOKUP(returns_long_medium[[#This Row],[Year]],helper_ya[[#All],[Year]],helper_ya[[#All],[Category]]),br_er_medium[[#All],[Ticker]],br_er_medium[[#All],[SYBC]])</f>
        <v>3.030199351028862E-2</v>
      </c>
    </row>
    <row r="37" spans="1:10" x14ac:dyDescent="0.25">
      <c r="A37">
        <v>2070</v>
      </c>
      <c r="B37" cm="1">
        <f t="array" ref="B37">_xlfn.XLOOKUP(_xlfn.XLOOKUP(returns_long_medium[[#This Row],[Year]],helper_ya[[#All],[Year]],helper_ya[[#All],[Category]]),br_er_medium[[#All],[Ticker]],br_er_medium[[#All],[EUNK]])</f>
        <v>6.8912050001716185E-2</v>
      </c>
      <c r="D37" cm="1">
        <f t="array" ref="D37">_xlfn.XLOOKUP(_xlfn.XLOOKUP(returns_long_medium[[#This Row],[Year]],helper_ya[[#All],[Year]],helper_ya[[#All],[Category]]),br_er_medium[[#All],[Ticker]],br_er_medium[[#All],[IUSN]])</f>
        <v>5.3352909398189707E-2</v>
      </c>
      <c r="E37" cm="1">
        <f t="array" ref="E37">_xlfn.XLOOKUP(_xlfn.XLOOKUP(returns_long_medium[[#This Row],[Year]],helper_ya[[#All],[Year]],helper_ya[[#All],[Category]]),br_er_medium[[#All],[Ticker]],br_er_medium[[#All],[JGHY]])</f>
        <v>4.1087683326209927E-2</v>
      </c>
      <c r="F37" cm="1">
        <f t="array" ref="F37">_xlfn.XLOOKUP(_xlfn.XLOOKUP(returns_long_medium[[#This Row],[Year]],helper_ya[[#All],[Year]],helper_ya[[#All],[Category]]),br_er_medium[[#All],[Ticker]],br_er_medium[[#All],[LYXF]])</f>
        <v>2.6289187805909719E-2</v>
      </c>
      <c r="G37" cm="1">
        <f t="array" ref="G37">_xlfn.XLOOKUP(_xlfn.XLOOKUP(returns_long_medium[[#This Row],[Year]],helper_ya[[#All],[Year]],helper_ya[[#All],[Category]]),br_er_medium[[#All],[Ticker]],br_er_medium[[#All],[SXR4]])</f>
        <v>5.6446985548124003E-2</v>
      </c>
      <c r="I37" cm="1">
        <f t="array" ref="I37">_xlfn.XLOOKUP(_xlfn.XLOOKUP(returns_long_medium[[#This Row],[Year]],helper_ya[[#All],[Year]],helper_ya[[#All],[Category]]),br_er_medium[[#All],[Ticker]],br_er_medium[[#All],[SYBB]])</f>
        <v>2.4231237901194861E-2</v>
      </c>
      <c r="J37" cm="1">
        <f t="array" ref="J37">_xlfn.XLOOKUP(_xlfn.XLOOKUP(returns_long_medium[[#This Row],[Year]],helper_ya[[#All],[Year]],helper_ya[[#All],[Category]]),br_er_medium[[#All],[Ticker]],br_er_medium[[#All],[SYBC]])</f>
        <v>3.030199351028862E-2</v>
      </c>
    </row>
    <row r="38" spans="1:10" x14ac:dyDescent="0.25">
      <c r="A38">
        <v>2071</v>
      </c>
      <c r="B38" cm="1">
        <f t="array" ref="B38">_xlfn.XLOOKUP(_xlfn.XLOOKUP(returns_long_medium[[#This Row],[Year]],helper_ya[[#All],[Year]],helper_ya[[#All],[Category]]),br_er_medium[[#All],[Ticker]],br_er_medium[[#All],[EUNK]])</f>
        <v>6.8912050001716185E-2</v>
      </c>
      <c r="D38" cm="1">
        <f t="array" ref="D38">_xlfn.XLOOKUP(_xlfn.XLOOKUP(returns_long_medium[[#This Row],[Year]],helper_ya[[#All],[Year]],helper_ya[[#All],[Category]]),br_er_medium[[#All],[Ticker]],br_er_medium[[#All],[IUSN]])</f>
        <v>5.3352909398189707E-2</v>
      </c>
      <c r="E38" cm="1">
        <f t="array" ref="E38">_xlfn.XLOOKUP(_xlfn.XLOOKUP(returns_long_medium[[#This Row],[Year]],helper_ya[[#All],[Year]],helper_ya[[#All],[Category]]),br_er_medium[[#All],[Ticker]],br_er_medium[[#All],[JGHY]])</f>
        <v>4.1087683326209927E-2</v>
      </c>
      <c r="F38" cm="1">
        <f t="array" ref="F38">_xlfn.XLOOKUP(_xlfn.XLOOKUP(returns_long_medium[[#This Row],[Year]],helper_ya[[#All],[Year]],helper_ya[[#All],[Category]]),br_er_medium[[#All],[Ticker]],br_er_medium[[#All],[LYXF]])</f>
        <v>2.6289187805909719E-2</v>
      </c>
      <c r="G38" cm="1">
        <f t="array" ref="G38">_xlfn.XLOOKUP(_xlfn.XLOOKUP(returns_long_medium[[#This Row],[Year]],helper_ya[[#All],[Year]],helper_ya[[#All],[Category]]),br_er_medium[[#All],[Ticker]],br_er_medium[[#All],[SXR4]])</f>
        <v>5.6446985548124003E-2</v>
      </c>
      <c r="I38" cm="1">
        <f t="array" ref="I38">_xlfn.XLOOKUP(_xlfn.XLOOKUP(returns_long_medium[[#This Row],[Year]],helper_ya[[#All],[Year]],helper_ya[[#All],[Category]]),br_er_medium[[#All],[Ticker]],br_er_medium[[#All],[SYBB]])</f>
        <v>2.4231237901194861E-2</v>
      </c>
      <c r="J38" cm="1">
        <f t="array" ref="J38">_xlfn.XLOOKUP(_xlfn.XLOOKUP(returns_long_medium[[#This Row],[Year]],helper_ya[[#All],[Year]],helper_ya[[#All],[Category]]),br_er_medium[[#All],[Ticker]],br_er_medium[[#All],[SYBC]])</f>
        <v>3.030199351028862E-2</v>
      </c>
    </row>
    <row r="39" spans="1:10" x14ac:dyDescent="0.25">
      <c r="A39">
        <v>2072</v>
      </c>
      <c r="B39" cm="1">
        <f t="array" ref="B39">_xlfn.XLOOKUP(_xlfn.XLOOKUP(returns_long_medium[[#This Row],[Year]],helper_ya[[#All],[Year]],helper_ya[[#All],[Category]]),br_er_medium[[#All],[Ticker]],br_er_medium[[#All],[EUNK]])</f>
        <v>6.8912050001716185E-2</v>
      </c>
      <c r="D39" cm="1">
        <f t="array" ref="D39">_xlfn.XLOOKUP(_xlfn.XLOOKUP(returns_long_medium[[#This Row],[Year]],helper_ya[[#All],[Year]],helper_ya[[#All],[Category]]),br_er_medium[[#All],[Ticker]],br_er_medium[[#All],[IUSN]])</f>
        <v>5.3352909398189707E-2</v>
      </c>
      <c r="E39" cm="1">
        <f t="array" ref="E39">_xlfn.XLOOKUP(_xlfn.XLOOKUP(returns_long_medium[[#This Row],[Year]],helper_ya[[#All],[Year]],helper_ya[[#All],[Category]]),br_er_medium[[#All],[Ticker]],br_er_medium[[#All],[JGHY]])</f>
        <v>4.1087683326209927E-2</v>
      </c>
      <c r="F39" cm="1">
        <f t="array" ref="F39">_xlfn.XLOOKUP(_xlfn.XLOOKUP(returns_long_medium[[#This Row],[Year]],helper_ya[[#All],[Year]],helper_ya[[#All],[Category]]),br_er_medium[[#All],[Ticker]],br_er_medium[[#All],[LYXF]])</f>
        <v>2.6289187805909719E-2</v>
      </c>
      <c r="G39" cm="1">
        <f t="array" ref="G39">_xlfn.XLOOKUP(_xlfn.XLOOKUP(returns_long_medium[[#This Row],[Year]],helper_ya[[#All],[Year]],helper_ya[[#All],[Category]]),br_er_medium[[#All],[Ticker]],br_er_medium[[#All],[SXR4]])</f>
        <v>5.6446985548124003E-2</v>
      </c>
      <c r="I39" cm="1">
        <f t="array" ref="I39">_xlfn.XLOOKUP(_xlfn.XLOOKUP(returns_long_medium[[#This Row],[Year]],helper_ya[[#All],[Year]],helper_ya[[#All],[Category]]),br_er_medium[[#All],[Ticker]],br_er_medium[[#All],[SYBB]])</f>
        <v>2.4231237901194861E-2</v>
      </c>
      <c r="J39" cm="1">
        <f t="array" ref="J39">_xlfn.XLOOKUP(_xlfn.XLOOKUP(returns_long_medium[[#This Row],[Year]],helper_ya[[#All],[Year]],helper_ya[[#All],[Category]]),br_er_medium[[#All],[Ticker]],br_er_medium[[#All],[SYBC]])</f>
        <v>3.030199351028862E-2</v>
      </c>
    </row>
    <row r="40" spans="1:10" x14ac:dyDescent="0.25">
      <c r="A40">
        <v>2073</v>
      </c>
      <c r="B40" cm="1">
        <f t="array" ref="B40">_xlfn.XLOOKUP(_xlfn.XLOOKUP(returns_long_medium[[#This Row],[Year]],helper_ya[[#All],[Year]],helper_ya[[#All],[Category]]),br_er_medium[[#All],[Ticker]],br_er_medium[[#All],[EUNK]])</f>
        <v>6.8912050001716185E-2</v>
      </c>
      <c r="D40" cm="1">
        <f t="array" ref="D40">_xlfn.XLOOKUP(_xlfn.XLOOKUP(returns_long_medium[[#This Row],[Year]],helper_ya[[#All],[Year]],helper_ya[[#All],[Category]]),br_er_medium[[#All],[Ticker]],br_er_medium[[#All],[IUSN]])</f>
        <v>5.3352909398189707E-2</v>
      </c>
      <c r="E40" cm="1">
        <f t="array" ref="E40">_xlfn.XLOOKUP(_xlfn.XLOOKUP(returns_long_medium[[#This Row],[Year]],helper_ya[[#All],[Year]],helper_ya[[#All],[Category]]),br_er_medium[[#All],[Ticker]],br_er_medium[[#All],[JGHY]])</f>
        <v>4.1087683326209927E-2</v>
      </c>
      <c r="F40" cm="1">
        <f t="array" ref="F40">_xlfn.XLOOKUP(_xlfn.XLOOKUP(returns_long_medium[[#This Row],[Year]],helper_ya[[#All],[Year]],helper_ya[[#All],[Category]]),br_er_medium[[#All],[Ticker]],br_er_medium[[#All],[LYXF]])</f>
        <v>2.6289187805909719E-2</v>
      </c>
      <c r="G40" cm="1">
        <f t="array" ref="G40">_xlfn.XLOOKUP(_xlfn.XLOOKUP(returns_long_medium[[#This Row],[Year]],helper_ya[[#All],[Year]],helper_ya[[#All],[Category]]),br_er_medium[[#All],[Ticker]],br_er_medium[[#All],[SXR4]])</f>
        <v>5.6446985548124003E-2</v>
      </c>
      <c r="I40" cm="1">
        <f t="array" ref="I40">_xlfn.XLOOKUP(_xlfn.XLOOKUP(returns_long_medium[[#This Row],[Year]],helper_ya[[#All],[Year]],helper_ya[[#All],[Category]]),br_er_medium[[#All],[Ticker]],br_er_medium[[#All],[SYBB]])</f>
        <v>2.4231237901194861E-2</v>
      </c>
      <c r="J40" cm="1">
        <f t="array" ref="J40">_xlfn.XLOOKUP(_xlfn.XLOOKUP(returns_long_medium[[#This Row],[Year]],helper_ya[[#All],[Year]],helper_ya[[#All],[Category]]),br_er_medium[[#All],[Ticker]],br_er_medium[[#All],[SYBC]])</f>
        <v>3.030199351028862E-2</v>
      </c>
    </row>
    <row r="41" spans="1:10" x14ac:dyDescent="0.25">
      <c r="A41">
        <v>2074</v>
      </c>
      <c r="B41" cm="1">
        <f t="array" ref="B41">_xlfn.XLOOKUP(_xlfn.XLOOKUP(returns_long_medium[[#This Row],[Year]],helper_ya[[#All],[Year]],helper_ya[[#All],[Category]]),br_er_medium[[#All],[Ticker]],br_er_medium[[#All],[EUNK]])</f>
        <v>6.8912050001716185E-2</v>
      </c>
      <c r="D41" cm="1">
        <f t="array" ref="D41">_xlfn.XLOOKUP(_xlfn.XLOOKUP(returns_long_medium[[#This Row],[Year]],helper_ya[[#All],[Year]],helper_ya[[#All],[Category]]),br_er_medium[[#All],[Ticker]],br_er_medium[[#All],[IUSN]])</f>
        <v>5.3352909398189707E-2</v>
      </c>
      <c r="E41" cm="1">
        <f t="array" ref="E41">_xlfn.XLOOKUP(_xlfn.XLOOKUP(returns_long_medium[[#This Row],[Year]],helper_ya[[#All],[Year]],helper_ya[[#All],[Category]]),br_er_medium[[#All],[Ticker]],br_er_medium[[#All],[JGHY]])</f>
        <v>4.1087683326209927E-2</v>
      </c>
      <c r="F41" cm="1">
        <f t="array" ref="F41">_xlfn.XLOOKUP(_xlfn.XLOOKUP(returns_long_medium[[#This Row],[Year]],helper_ya[[#All],[Year]],helper_ya[[#All],[Category]]),br_er_medium[[#All],[Ticker]],br_er_medium[[#All],[LYXF]])</f>
        <v>2.6289187805909719E-2</v>
      </c>
      <c r="G41" cm="1">
        <f t="array" ref="G41">_xlfn.XLOOKUP(_xlfn.XLOOKUP(returns_long_medium[[#This Row],[Year]],helper_ya[[#All],[Year]],helper_ya[[#All],[Category]]),br_er_medium[[#All],[Ticker]],br_er_medium[[#All],[SXR4]])</f>
        <v>5.6446985548124003E-2</v>
      </c>
      <c r="I41" cm="1">
        <f t="array" ref="I41">_xlfn.XLOOKUP(_xlfn.XLOOKUP(returns_long_medium[[#This Row],[Year]],helper_ya[[#All],[Year]],helper_ya[[#All],[Category]]),br_er_medium[[#All],[Ticker]],br_er_medium[[#All],[SYBB]])</f>
        <v>2.4231237901194861E-2</v>
      </c>
      <c r="J41" cm="1">
        <f t="array" ref="J41">_xlfn.XLOOKUP(_xlfn.XLOOKUP(returns_long_medium[[#This Row],[Year]],helper_ya[[#All],[Year]],helper_ya[[#All],[Category]]),br_er_medium[[#All],[Ticker]],br_er_medium[[#All],[SYBC]])</f>
        <v>3.030199351028862E-2</v>
      </c>
    </row>
    <row r="42" spans="1:10" x14ac:dyDescent="0.25">
      <c r="A42">
        <v>2075</v>
      </c>
      <c r="B42" cm="1">
        <f t="array" ref="B42">_xlfn.XLOOKUP(_xlfn.XLOOKUP(returns_long_medium[[#This Row],[Year]],helper_ya[[#All],[Year]],helper_ya[[#All],[Category]]),br_er_medium[[#All],[Ticker]],br_er_medium[[#All],[EUNK]])</f>
        <v>6.8912050001716185E-2</v>
      </c>
      <c r="D42" cm="1">
        <f t="array" ref="D42">_xlfn.XLOOKUP(_xlfn.XLOOKUP(returns_long_medium[[#This Row],[Year]],helper_ya[[#All],[Year]],helper_ya[[#All],[Category]]),br_er_medium[[#All],[Ticker]],br_er_medium[[#All],[IUSN]])</f>
        <v>5.3352909398189707E-2</v>
      </c>
      <c r="E42" cm="1">
        <f t="array" ref="E42">_xlfn.XLOOKUP(_xlfn.XLOOKUP(returns_long_medium[[#This Row],[Year]],helper_ya[[#All],[Year]],helper_ya[[#All],[Category]]),br_er_medium[[#All],[Ticker]],br_er_medium[[#All],[JGHY]])</f>
        <v>4.1087683326209927E-2</v>
      </c>
      <c r="F42" cm="1">
        <f t="array" ref="F42">_xlfn.XLOOKUP(_xlfn.XLOOKUP(returns_long_medium[[#This Row],[Year]],helper_ya[[#All],[Year]],helper_ya[[#All],[Category]]),br_er_medium[[#All],[Ticker]],br_er_medium[[#All],[LYXF]])</f>
        <v>2.6289187805909719E-2</v>
      </c>
      <c r="G42" cm="1">
        <f t="array" ref="G42">_xlfn.XLOOKUP(_xlfn.XLOOKUP(returns_long_medium[[#This Row],[Year]],helper_ya[[#All],[Year]],helper_ya[[#All],[Category]]),br_er_medium[[#All],[Ticker]],br_er_medium[[#All],[SXR4]])</f>
        <v>5.6446985548124003E-2</v>
      </c>
      <c r="I42" cm="1">
        <f t="array" ref="I42">_xlfn.XLOOKUP(_xlfn.XLOOKUP(returns_long_medium[[#This Row],[Year]],helper_ya[[#All],[Year]],helper_ya[[#All],[Category]]),br_er_medium[[#All],[Ticker]],br_er_medium[[#All],[SYBB]])</f>
        <v>2.4231237901194861E-2</v>
      </c>
      <c r="J42" cm="1">
        <f t="array" ref="J42">_xlfn.XLOOKUP(_xlfn.XLOOKUP(returns_long_medium[[#This Row],[Year]],helper_ya[[#All],[Year]],helper_ya[[#All],[Category]]),br_er_medium[[#All],[Ticker]],br_er_medium[[#All],[SYBC]])</f>
        <v>3.030199351028862E-2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A0ADC-0141-46D0-BB92-990D7A2D37C2}">
  <dimension ref="A1:J42"/>
  <sheetViews>
    <sheetView zoomScaleNormal="100" workbookViewId="0"/>
  </sheetViews>
  <sheetFormatPr defaultColWidth="8.7109375" defaultRowHeight="15" x14ac:dyDescent="0.25"/>
  <cols>
    <col min="2" max="10" width="10.85546875" customWidth="1"/>
  </cols>
  <sheetData>
    <row r="1" spans="1:10" x14ac:dyDescent="0.25">
      <c r="A1" t="s">
        <v>1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</row>
    <row r="2" spans="1:10" x14ac:dyDescent="0.25">
      <c r="A2">
        <v>2035</v>
      </c>
      <c r="B2" cm="1">
        <f t="array" ref="B2">_xlfn.XLOOKUP(_xlfn.XLOOKUP(returns_long_high[[#This Row],[Year]],helper_ya[[#All],[Year]],helper_ya[[#All],[Category]]),br_er_high[[#All],[Ticker]],br_er_high[[#All],[EUNK]])</f>
        <v>0.1241742628199196</v>
      </c>
      <c r="D2" cm="1">
        <f t="array" ref="D2">_xlfn.XLOOKUP(_xlfn.XLOOKUP(returns_long_high[[#This Row],[Year]],helper_ya[[#All],[Year]],helper_ya[[#All],[Category]]),br_er_high[[#All],[Ticker]],br_er_high[[#All],[IUSN]])</f>
        <v>9.7936808726271307E-2</v>
      </c>
      <c r="E2" cm="1">
        <f t="array" ref="E2">_xlfn.XLOOKUP(_xlfn.XLOOKUP(returns_long_high[[#This Row],[Year]],helper_ya[[#All],[Year]],helper_ya[[#All],[Category]]),br_er_high[[#All],[Ticker]],br_er_high[[#All],[JGHY]])</f>
        <v>6.373948583519895E-2</v>
      </c>
      <c r="F2" cm="1">
        <f t="array" ref="F2">_xlfn.XLOOKUP(_xlfn.XLOOKUP(returns_long_high[[#This Row],[Year]],helper_ya[[#All],[Year]],helper_ya[[#All],[Category]]),br_er_high[[#All],[Ticker]],br_er_high[[#All],[LYXF]])</f>
        <v>5.908114865595393E-2</v>
      </c>
      <c r="G2" cm="1">
        <f t="array" ref="G2">_xlfn.XLOOKUP(_xlfn.XLOOKUP(returns_long_high[[#This Row],[Year]],helper_ya[[#All],[Year]],helper_ya[[#All],[Category]]),br_er_high[[#All],[Ticker]],br_er_high[[#All],[SXR4]])</f>
        <v>8.5957830101256461E-2</v>
      </c>
      <c r="I2" cm="1">
        <f t="array" ref="I2">_xlfn.XLOOKUP(_xlfn.XLOOKUP(returns_long_high[[#This Row],[Year]],helper_ya[[#All],[Year]],helper_ya[[#All],[Category]]),br_er_high[[#All],[Ticker]],br_er_high[[#All],[SYBB]])</f>
        <v>4.1827624028377031E-2</v>
      </c>
      <c r="J2" cm="1">
        <f t="array" ref="J2">_xlfn.XLOOKUP(_xlfn.XLOOKUP(returns_long_high[[#This Row],[Year]],helper_ya[[#All],[Year]],helper_ya[[#All],[Category]]),br_er_high[[#All],[Ticker]],br_er_high[[#All],[SYBC]])</f>
        <v>4.0924313479097751E-2</v>
      </c>
    </row>
    <row r="3" spans="1:10" x14ac:dyDescent="0.25">
      <c r="A3">
        <v>2036</v>
      </c>
      <c r="B3" cm="1">
        <f t="array" ref="B3">_xlfn.XLOOKUP(_xlfn.XLOOKUP(returns_long_high[[#This Row],[Year]],helper_ya[[#All],[Year]],helper_ya[[#All],[Category]]),br_er_high[[#All],[Ticker]],br_er_high[[#All],[EUNK]])</f>
        <v>0.1231564182432154</v>
      </c>
      <c r="D3" cm="1">
        <f t="array" ref="D3">_xlfn.XLOOKUP(_xlfn.XLOOKUP(returns_long_high[[#This Row],[Year]],helper_ya[[#All],[Year]],helper_ya[[#All],[Category]]),br_er_high[[#All],[Ticker]],br_er_high[[#All],[IUSN]])</f>
        <v>9.6684421163455658E-2</v>
      </c>
      <c r="E3" cm="1">
        <f t="array" ref="E3">_xlfn.XLOOKUP(_xlfn.XLOOKUP(returns_long_high[[#This Row],[Year]],helper_ya[[#All],[Year]],helper_ya[[#All],[Category]]),br_er_high[[#All],[Ticker]],br_er_high[[#All],[JGHY]])</f>
        <v>6.1771536064846977E-2</v>
      </c>
      <c r="F3" cm="1">
        <f t="array" ref="F3">_xlfn.XLOOKUP(_xlfn.XLOOKUP(returns_long_high[[#This Row],[Year]],helper_ya[[#All],[Year]],helper_ya[[#All],[Category]]),br_er_high[[#All],[Ticker]],br_er_high[[#All],[LYXF]])</f>
        <v>6.4369174508249971E-2</v>
      </c>
      <c r="G3" cm="1">
        <f t="array" ref="G3">_xlfn.XLOOKUP(_xlfn.XLOOKUP(returns_long_high[[#This Row],[Year]],helper_ya[[#All],[Year]],helper_ya[[#All],[Category]]),br_er_high[[#All],[Ticker]],br_er_high[[#All],[SXR4]])</f>
        <v>8.7297697996017165E-2</v>
      </c>
      <c r="I3" cm="1">
        <f t="array" ref="I3">_xlfn.XLOOKUP(_xlfn.XLOOKUP(returns_long_high[[#This Row],[Year]],helper_ya[[#All],[Year]],helper_ya[[#All],[Category]]),br_er_high[[#All],[Ticker]],br_er_high[[#All],[SYBB]])</f>
        <v>4.2578391855768283E-2</v>
      </c>
      <c r="J3" cm="1">
        <f t="array" ref="J3">_xlfn.XLOOKUP(_xlfn.XLOOKUP(returns_long_high[[#This Row],[Year]],helper_ya[[#All],[Year]],helper_ya[[#All],[Category]]),br_er_high[[#All],[Ticker]],br_er_high[[#All],[SYBC]])</f>
        <v>4.2942424988836818E-2</v>
      </c>
    </row>
    <row r="4" spans="1:10" x14ac:dyDescent="0.25">
      <c r="A4">
        <v>2037</v>
      </c>
      <c r="B4" cm="1">
        <f t="array" ref="B4">_xlfn.XLOOKUP(_xlfn.XLOOKUP(returns_long_high[[#This Row],[Year]],helper_ya[[#All],[Year]],helper_ya[[#All],[Category]]),br_er_high[[#All],[Ticker]],br_er_high[[#All],[EUNK]])</f>
        <v>0.1231564182432154</v>
      </c>
      <c r="D4" cm="1">
        <f t="array" ref="D4">_xlfn.XLOOKUP(_xlfn.XLOOKUP(returns_long_high[[#This Row],[Year]],helper_ya[[#All],[Year]],helper_ya[[#All],[Category]]),br_er_high[[#All],[Ticker]],br_er_high[[#All],[IUSN]])</f>
        <v>9.6684421163455658E-2</v>
      </c>
      <c r="E4" cm="1">
        <f t="array" ref="E4">_xlfn.XLOOKUP(_xlfn.XLOOKUP(returns_long_high[[#This Row],[Year]],helper_ya[[#All],[Year]],helper_ya[[#All],[Category]]),br_er_high[[#All],[Ticker]],br_er_high[[#All],[JGHY]])</f>
        <v>6.1771536064846977E-2</v>
      </c>
      <c r="F4" cm="1">
        <f t="array" ref="F4">_xlfn.XLOOKUP(_xlfn.XLOOKUP(returns_long_high[[#This Row],[Year]],helper_ya[[#All],[Year]],helper_ya[[#All],[Category]]),br_er_high[[#All],[Ticker]],br_er_high[[#All],[LYXF]])</f>
        <v>6.4369174508249971E-2</v>
      </c>
      <c r="G4" cm="1">
        <f t="array" ref="G4">_xlfn.XLOOKUP(_xlfn.XLOOKUP(returns_long_high[[#This Row],[Year]],helper_ya[[#All],[Year]],helper_ya[[#All],[Category]]),br_er_high[[#All],[Ticker]],br_er_high[[#All],[SXR4]])</f>
        <v>8.7297697996017165E-2</v>
      </c>
      <c r="I4" cm="1">
        <f t="array" ref="I4">_xlfn.XLOOKUP(_xlfn.XLOOKUP(returns_long_high[[#This Row],[Year]],helper_ya[[#All],[Year]],helper_ya[[#All],[Category]]),br_er_high[[#All],[Ticker]],br_er_high[[#All],[SYBB]])</f>
        <v>4.2578391855768283E-2</v>
      </c>
      <c r="J4" cm="1">
        <f t="array" ref="J4">_xlfn.XLOOKUP(_xlfn.XLOOKUP(returns_long_high[[#This Row],[Year]],helper_ya[[#All],[Year]],helper_ya[[#All],[Category]]),br_er_high[[#All],[Ticker]],br_er_high[[#All],[SYBC]])</f>
        <v>4.2942424988836818E-2</v>
      </c>
    </row>
    <row r="5" spans="1:10" x14ac:dyDescent="0.25">
      <c r="A5">
        <v>2038</v>
      </c>
      <c r="B5" cm="1">
        <f t="array" ref="B5">_xlfn.XLOOKUP(_xlfn.XLOOKUP(returns_long_high[[#This Row],[Year]],helper_ya[[#All],[Year]],helper_ya[[#All],[Category]]),br_er_high[[#All],[Ticker]],br_er_high[[#All],[EUNK]])</f>
        <v>0.1231564182432154</v>
      </c>
      <c r="D5" cm="1">
        <f t="array" ref="D5">_xlfn.XLOOKUP(_xlfn.XLOOKUP(returns_long_high[[#This Row],[Year]],helper_ya[[#All],[Year]],helper_ya[[#All],[Category]]),br_er_high[[#All],[Ticker]],br_er_high[[#All],[IUSN]])</f>
        <v>9.6684421163455658E-2</v>
      </c>
      <c r="E5" cm="1">
        <f t="array" ref="E5">_xlfn.XLOOKUP(_xlfn.XLOOKUP(returns_long_high[[#This Row],[Year]],helper_ya[[#All],[Year]],helper_ya[[#All],[Category]]),br_er_high[[#All],[Ticker]],br_er_high[[#All],[JGHY]])</f>
        <v>6.1771536064846977E-2</v>
      </c>
      <c r="F5" cm="1">
        <f t="array" ref="F5">_xlfn.XLOOKUP(_xlfn.XLOOKUP(returns_long_high[[#This Row],[Year]],helper_ya[[#All],[Year]],helper_ya[[#All],[Category]]),br_er_high[[#All],[Ticker]],br_er_high[[#All],[LYXF]])</f>
        <v>6.4369174508249971E-2</v>
      </c>
      <c r="G5" cm="1">
        <f t="array" ref="G5">_xlfn.XLOOKUP(_xlfn.XLOOKUP(returns_long_high[[#This Row],[Year]],helper_ya[[#All],[Year]],helper_ya[[#All],[Category]]),br_er_high[[#All],[Ticker]],br_er_high[[#All],[SXR4]])</f>
        <v>8.7297697996017165E-2</v>
      </c>
      <c r="I5" cm="1">
        <f t="array" ref="I5">_xlfn.XLOOKUP(_xlfn.XLOOKUP(returns_long_high[[#This Row],[Year]],helper_ya[[#All],[Year]],helper_ya[[#All],[Category]]),br_er_high[[#All],[Ticker]],br_er_high[[#All],[SYBB]])</f>
        <v>4.2578391855768283E-2</v>
      </c>
      <c r="J5" cm="1">
        <f t="array" ref="J5">_xlfn.XLOOKUP(_xlfn.XLOOKUP(returns_long_high[[#This Row],[Year]],helper_ya[[#All],[Year]],helper_ya[[#All],[Category]]),br_er_high[[#All],[Ticker]],br_er_high[[#All],[SYBC]])</f>
        <v>4.2942424988836818E-2</v>
      </c>
    </row>
    <row r="6" spans="1:10" x14ac:dyDescent="0.25">
      <c r="A6">
        <v>2039</v>
      </c>
      <c r="B6" cm="1">
        <f t="array" ref="B6">_xlfn.XLOOKUP(_xlfn.XLOOKUP(returns_long_high[[#This Row],[Year]],helper_ya[[#All],[Year]],helper_ya[[#All],[Category]]),br_er_high[[#All],[Ticker]],br_er_high[[#All],[EUNK]])</f>
        <v>0.1231564182432154</v>
      </c>
      <c r="D6" cm="1">
        <f t="array" ref="D6">_xlfn.XLOOKUP(_xlfn.XLOOKUP(returns_long_high[[#This Row],[Year]],helper_ya[[#All],[Year]],helper_ya[[#All],[Category]]),br_er_high[[#All],[Ticker]],br_er_high[[#All],[IUSN]])</f>
        <v>9.6684421163455658E-2</v>
      </c>
      <c r="E6" cm="1">
        <f t="array" ref="E6">_xlfn.XLOOKUP(_xlfn.XLOOKUP(returns_long_high[[#This Row],[Year]],helper_ya[[#All],[Year]],helper_ya[[#All],[Category]]),br_er_high[[#All],[Ticker]],br_er_high[[#All],[JGHY]])</f>
        <v>6.1771536064846977E-2</v>
      </c>
      <c r="F6" cm="1">
        <f t="array" ref="F6">_xlfn.XLOOKUP(_xlfn.XLOOKUP(returns_long_high[[#This Row],[Year]],helper_ya[[#All],[Year]],helper_ya[[#All],[Category]]),br_er_high[[#All],[Ticker]],br_er_high[[#All],[LYXF]])</f>
        <v>6.4369174508249971E-2</v>
      </c>
      <c r="G6" cm="1">
        <f t="array" ref="G6">_xlfn.XLOOKUP(_xlfn.XLOOKUP(returns_long_high[[#This Row],[Year]],helper_ya[[#All],[Year]],helper_ya[[#All],[Category]]),br_er_high[[#All],[Ticker]],br_er_high[[#All],[SXR4]])</f>
        <v>8.7297697996017165E-2</v>
      </c>
      <c r="I6" cm="1">
        <f t="array" ref="I6">_xlfn.XLOOKUP(_xlfn.XLOOKUP(returns_long_high[[#This Row],[Year]],helper_ya[[#All],[Year]],helper_ya[[#All],[Category]]),br_er_high[[#All],[Ticker]],br_er_high[[#All],[SYBB]])</f>
        <v>4.2578391855768283E-2</v>
      </c>
      <c r="J6" cm="1">
        <f t="array" ref="J6">_xlfn.XLOOKUP(_xlfn.XLOOKUP(returns_long_high[[#This Row],[Year]],helper_ya[[#All],[Year]],helper_ya[[#All],[Category]]),br_er_high[[#All],[Ticker]],br_er_high[[#All],[SYBC]])</f>
        <v>4.2942424988836818E-2</v>
      </c>
    </row>
    <row r="7" spans="1:10" x14ac:dyDescent="0.25">
      <c r="A7">
        <v>2040</v>
      </c>
      <c r="B7" cm="1">
        <f t="array" ref="B7">_xlfn.XLOOKUP(_xlfn.XLOOKUP(returns_long_high[[#This Row],[Year]],helper_ya[[#All],[Year]],helper_ya[[#All],[Category]]),br_er_high[[#All],[Ticker]],br_er_high[[#All],[EUNK]])</f>
        <v>0.1231564182432154</v>
      </c>
      <c r="D7" cm="1">
        <f t="array" ref="D7">_xlfn.XLOOKUP(_xlfn.XLOOKUP(returns_long_high[[#This Row],[Year]],helper_ya[[#All],[Year]],helper_ya[[#All],[Category]]),br_er_high[[#All],[Ticker]],br_er_high[[#All],[IUSN]])</f>
        <v>9.6684421163455658E-2</v>
      </c>
      <c r="E7" cm="1">
        <f t="array" ref="E7">_xlfn.XLOOKUP(_xlfn.XLOOKUP(returns_long_high[[#This Row],[Year]],helper_ya[[#All],[Year]],helper_ya[[#All],[Category]]),br_er_high[[#All],[Ticker]],br_er_high[[#All],[JGHY]])</f>
        <v>6.1771536064846977E-2</v>
      </c>
      <c r="F7" cm="1">
        <f t="array" ref="F7">_xlfn.XLOOKUP(_xlfn.XLOOKUP(returns_long_high[[#This Row],[Year]],helper_ya[[#All],[Year]],helper_ya[[#All],[Category]]),br_er_high[[#All],[Ticker]],br_er_high[[#All],[LYXF]])</f>
        <v>6.4369174508249971E-2</v>
      </c>
      <c r="G7" cm="1">
        <f t="array" ref="G7">_xlfn.XLOOKUP(_xlfn.XLOOKUP(returns_long_high[[#This Row],[Year]],helper_ya[[#All],[Year]],helper_ya[[#All],[Category]]),br_er_high[[#All],[Ticker]],br_er_high[[#All],[SXR4]])</f>
        <v>8.7297697996017165E-2</v>
      </c>
      <c r="I7" cm="1">
        <f t="array" ref="I7">_xlfn.XLOOKUP(_xlfn.XLOOKUP(returns_long_high[[#This Row],[Year]],helper_ya[[#All],[Year]],helper_ya[[#All],[Category]]),br_er_high[[#All],[Ticker]],br_er_high[[#All],[SYBB]])</f>
        <v>4.2578391855768283E-2</v>
      </c>
      <c r="J7" cm="1">
        <f t="array" ref="J7">_xlfn.XLOOKUP(_xlfn.XLOOKUP(returns_long_high[[#This Row],[Year]],helper_ya[[#All],[Year]],helper_ya[[#All],[Category]]),br_er_high[[#All],[Ticker]],br_er_high[[#All],[SYBC]])</f>
        <v>4.2942424988836818E-2</v>
      </c>
    </row>
    <row r="8" spans="1:10" x14ac:dyDescent="0.25">
      <c r="A8">
        <v>2041</v>
      </c>
      <c r="B8" cm="1">
        <f t="array" ref="B8">_xlfn.XLOOKUP(_xlfn.XLOOKUP(returns_long_high[[#This Row],[Year]],helper_ya[[#All],[Year]],helper_ya[[#All],[Category]]),br_er_high[[#All],[Ticker]],br_er_high[[#All],[EUNK]])</f>
        <v>0.1204495271846255</v>
      </c>
      <c r="D8" cm="1">
        <f t="array" ref="D8">_xlfn.XLOOKUP(_xlfn.XLOOKUP(returns_long_high[[#This Row],[Year]],helper_ya[[#All],[Year]],helper_ya[[#All],[Category]]),br_er_high[[#All],[Ticker]],br_er_high[[#All],[IUSN]])</f>
        <v>9.5639358456830692E-2</v>
      </c>
      <c r="E8" cm="1">
        <f t="array" ref="E8">_xlfn.XLOOKUP(_xlfn.XLOOKUP(returns_long_high[[#This Row],[Year]],helper_ya[[#All],[Year]],helper_ya[[#All],[Category]]),br_er_high[[#All],[Ticker]],br_er_high[[#All],[JGHY]])</f>
        <v>6.0502048749336401E-2</v>
      </c>
      <c r="F8" cm="1">
        <f t="array" ref="F8">_xlfn.XLOOKUP(_xlfn.XLOOKUP(returns_long_high[[#This Row],[Year]],helper_ya[[#All],[Year]],helper_ya[[#All],[Category]]),br_er_high[[#All],[Ticker]],br_er_high[[#All],[LYXF]])</f>
        <v>6.6567164518284816E-2</v>
      </c>
      <c r="G8" cm="1">
        <f t="array" ref="G8">_xlfn.XLOOKUP(_xlfn.XLOOKUP(returns_long_high[[#This Row],[Year]],helper_ya[[#All],[Year]],helper_ya[[#All],[Category]]),br_er_high[[#All],[Ticker]],br_er_high[[#All],[SXR4]])</f>
        <v>8.8919124386115822E-2</v>
      </c>
      <c r="I8" cm="1">
        <f t="array" ref="I8">_xlfn.XLOOKUP(_xlfn.XLOOKUP(returns_long_high[[#This Row],[Year]],helper_ya[[#All],[Year]],helper_ya[[#All],[Category]]),br_er_high[[#All],[Ticker]],br_er_high[[#All],[SYBB]])</f>
        <v>4.26259842208907E-2</v>
      </c>
      <c r="J8" cm="1">
        <f t="array" ref="J8">_xlfn.XLOOKUP(_xlfn.XLOOKUP(returns_long_high[[#This Row],[Year]],helper_ya[[#All],[Year]],helper_ya[[#All],[Category]]),br_er_high[[#All],[Ticker]],br_er_high[[#All],[SYBC]])</f>
        <v>4.3774053276192333E-2</v>
      </c>
    </row>
    <row r="9" spans="1:10" x14ac:dyDescent="0.25">
      <c r="A9">
        <v>2042</v>
      </c>
      <c r="B9" cm="1">
        <f t="array" ref="B9">_xlfn.XLOOKUP(_xlfn.XLOOKUP(returns_long_high[[#This Row],[Year]],helper_ya[[#All],[Year]],helper_ya[[#All],[Category]]),br_er_high[[#All],[Ticker]],br_er_high[[#All],[EUNK]])</f>
        <v>0.1204495271846255</v>
      </c>
      <c r="D9" cm="1">
        <f t="array" ref="D9">_xlfn.XLOOKUP(_xlfn.XLOOKUP(returns_long_high[[#This Row],[Year]],helper_ya[[#All],[Year]],helper_ya[[#All],[Category]]),br_er_high[[#All],[Ticker]],br_er_high[[#All],[IUSN]])</f>
        <v>9.5639358456830692E-2</v>
      </c>
      <c r="E9" cm="1">
        <f t="array" ref="E9">_xlfn.XLOOKUP(_xlfn.XLOOKUP(returns_long_high[[#This Row],[Year]],helper_ya[[#All],[Year]],helper_ya[[#All],[Category]]),br_er_high[[#All],[Ticker]],br_er_high[[#All],[JGHY]])</f>
        <v>6.0502048749336401E-2</v>
      </c>
      <c r="F9" cm="1">
        <f t="array" ref="F9">_xlfn.XLOOKUP(_xlfn.XLOOKUP(returns_long_high[[#This Row],[Year]],helper_ya[[#All],[Year]],helper_ya[[#All],[Category]]),br_er_high[[#All],[Ticker]],br_er_high[[#All],[LYXF]])</f>
        <v>6.6567164518284816E-2</v>
      </c>
      <c r="G9" cm="1">
        <f t="array" ref="G9">_xlfn.XLOOKUP(_xlfn.XLOOKUP(returns_long_high[[#This Row],[Year]],helper_ya[[#All],[Year]],helper_ya[[#All],[Category]]),br_er_high[[#All],[Ticker]],br_er_high[[#All],[SXR4]])</f>
        <v>8.8919124386115822E-2</v>
      </c>
      <c r="I9" cm="1">
        <f t="array" ref="I9">_xlfn.XLOOKUP(_xlfn.XLOOKUP(returns_long_high[[#This Row],[Year]],helper_ya[[#All],[Year]],helper_ya[[#All],[Category]]),br_er_high[[#All],[Ticker]],br_er_high[[#All],[SYBB]])</f>
        <v>4.26259842208907E-2</v>
      </c>
      <c r="J9" cm="1">
        <f t="array" ref="J9">_xlfn.XLOOKUP(_xlfn.XLOOKUP(returns_long_high[[#This Row],[Year]],helper_ya[[#All],[Year]],helper_ya[[#All],[Category]]),br_er_high[[#All],[Ticker]],br_er_high[[#All],[SYBC]])</f>
        <v>4.3774053276192333E-2</v>
      </c>
    </row>
    <row r="10" spans="1:10" x14ac:dyDescent="0.25">
      <c r="A10">
        <v>2043</v>
      </c>
      <c r="B10" cm="1">
        <f t="array" ref="B10">_xlfn.XLOOKUP(_xlfn.XLOOKUP(returns_long_high[[#This Row],[Year]],helper_ya[[#All],[Year]],helper_ya[[#All],[Category]]),br_er_high[[#All],[Ticker]],br_er_high[[#All],[EUNK]])</f>
        <v>0.1204495271846255</v>
      </c>
      <c r="D10" cm="1">
        <f t="array" ref="D10">_xlfn.XLOOKUP(_xlfn.XLOOKUP(returns_long_high[[#This Row],[Year]],helper_ya[[#All],[Year]],helper_ya[[#All],[Category]]),br_er_high[[#All],[Ticker]],br_er_high[[#All],[IUSN]])</f>
        <v>9.5639358456830692E-2</v>
      </c>
      <c r="E10" cm="1">
        <f t="array" ref="E10">_xlfn.XLOOKUP(_xlfn.XLOOKUP(returns_long_high[[#This Row],[Year]],helper_ya[[#All],[Year]],helper_ya[[#All],[Category]]),br_er_high[[#All],[Ticker]],br_er_high[[#All],[JGHY]])</f>
        <v>6.0502048749336401E-2</v>
      </c>
      <c r="F10" cm="1">
        <f t="array" ref="F10">_xlfn.XLOOKUP(_xlfn.XLOOKUP(returns_long_high[[#This Row],[Year]],helper_ya[[#All],[Year]],helper_ya[[#All],[Category]]),br_er_high[[#All],[Ticker]],br_er_high[[#All],[LYXF]])</f>
        <v>6.6567164518284816E-2</v>
      </c>
      <c r="G10" cm="1">
        <f t="array" ref="G10">_xlfn.XLOOKUP(_xlfn.XLOOKUP(returns_long_high[[#This Row],[Year]],helper_ya[[#All],[Year]],helper_ya[[#All],[Category]]),br_er_high[[#All],[Ticker]],br_er_high[[#All],[SXR4]])</f>
        <v>8.8919124386115822E-2</v>
      </c>
      <c r="I10" cm="1">
        <f t="array" ref="I10">_xlfn.XLOOKUP(_xlfn.XLOOKUP(returns_long_high[[#This Row],[Year]],helper_ya[[#All],[Year]],helper_ya[[#All],[Category]]),br_er_high[[#All],[Ticker]],br_er_high[[#All],[SYBB]])</f>
        <v>4.26259842208907E-2</v>
      </c>
      <c r="J10" cm="1">
        <f t="array" ref="J10">_xlfn.XLOOKUP(_xlfn.XLOOKUP(returns_long_high[[#This Row],[Year]],helper_ya[[#All],[Year]],helper_ya[[#All],[Category]]),br_er_high[[#All],[Ticker]],br_er_high[[#All],[SYBC]])</f>
        <v>4.3774053276192333E-2</v>
      </c>
    </row>
    <row r="11" spans="1:10" x14ac:dyDescent="0.25">
      <c r="A11">
        <v>2044</v>
      </c>
      <c r="B11" cm="1">
        <f t="array" ref="B11">_xlfn.XLOOKUP(_xlfn.XLOOKUP(returns_long_high[[#This Row],[Year]],helper_ya[[#All],[Year]],helper_ya[[#All],[Category]]),br_er_high[[#All],[Ticker]],br_er_high[[#All],[EUNK]])</f>
        <v>0.1204495271846255</v>
      </c>
      <c r="D11" cm="1">
        <f t="array" ref="D11">_xlfn.XLOOKUP(_xlfn.XLOOKUP(returns_long_high[[#This Row],[Year]],helper_ya[[#All],[Year]],helper_ya[[#All],[Category]]),br_er_high[[#All],[Ticker]],br_er_high[[#All],[IUSN]])</f>
        <v>9.5639358456830692E-2</v>
      </c>
      <c r="E11" cm="1">
        <f t="array" ref="E11">_xlfn.XLOOKUP(_xlfn.XLOOKUP(returns_long_high[[#This Row],[Year]],helper_ya[[#All],[Year]],helper_ya[[#All],[Category]]),br_er_high[[#All],[Ticker]],br_er_high[[#All],[JGHY]])</f>
        <v>6.0502048749336401E-2</v>
      </c>
      <c r="F11" cm="1">
        <f t="array" ref="F11">_xlfn.XLOOKUP(_xlfn.XLOOKUP(returns_long_high[[#This Row],[Year]],helper_ya[[#All],[Year]],helper_ya[[#All],[Category]]),br_er_high[[#All],[Ticker]],br_er_high[[#All],[LYXF]])</f>
        <v>6.6567164518284816E-2</v>
      </c>
      <c r="G11" cm="1">
        <f t="array" ref="G11">_xlfn.XLOOKUP(_xlfn.XLOOKUP(returns_long_high[[#This Row],[Year]],helper_ya[[#All],[Year]],helper_ya[[#All],[Category]]),br_er_high[[#All],[Ticker]],br_er_high[[#All],[SXR4]])</f>
        <v>8.8919124386115822E-2</v>
      </c>
      <c r="I11" cm="1">
        <f t="array" ref="I11">_xlfn.XLOOKUP(_xlfn.XLOOKUP(returns_long_high[[#This Row],[Year]],helper_ya[[#All],[Year]],helper_ya[[#All],[Category]]),br_er_high[[#All],[Ticker]],br_er_high[[#All],[SYBB]])</f>
        <v>4.26259842208907E-2</v>
      </c>
      <c r="J11" cm="1">
        <f t="array" ref="J11">_xlfn.XLOOKUP(_xlfn.XLOOKUP(returns_long_high[[#This Row],[Year]],helper_ya[[#All],[Year]],helper_ya[[#All],[Category]]),br_er_high[[#All],[Ticker]],br_er_high[[#All],[SYBC]])</f>
        <v>4.3774053276192333E-2</v>
      </c>
    </row>
    <row r="12" spans="1:10" x14ac:dyDescent="0.25">
      <c r="A12">
        <v>2045</v>
      </c>
      <c r="B12" cm="1">
        <f t="array" ref="B12">_xlfn.XLOOKUP(_xlfn.XLOOKUP(returns_long_high[[#This Row],[Year]],helper_ya[[#All],[Year]],helper_ya[[#All],[Category]]),br_er_high[[#All],[Ticker]],br_er_high[[#All],[EUNK]])</f>
        <v>0.1204495271846255</v>
      </c>
      <c r="D12" cm="1">
        <f t="array" ref="D12">_xlfn.XLOOKUP(_xlfn.XLOOKUP(returns_long_high[[#This Row],[Year]],helper_ya[[#All],[Year]],helper_ya[[#All],[Category]]),br_er_high[[#All],[Ticker]],br_er_high[[#All],[IUSN]])</f>
        <v>9.5639358456830692E-2</v>
      </c>
      <c r="E12" cm="1">
        <f t="array" ref="E12">_xlfn.XLOOKUP(_xlfn.XLOOKUP(returns_long_high[[#This Row],[Year]],helper_ya[[#All],[Year]],helper_ya[[#All],[Category]]),br_er_high[[#All],[Ticker]],br_er_high[[#All],[JGHY]])</f>
        <v>6.0502048749336401E-2</v>
      </c>
      <c r="F12" cm="1">
        <f t="array" ref="F12">_xlfn.XLOOKUP(_xlfn.XLOOKUP(returns_long_high[[#This Row],[Year]],helper_ya[[#All],[Year]],helper_ya[[#All],[Category]]),br_er_high[[#All],[Ticker]],br_er_high[[#All],[LYXF]])</f>
        <v>6.6567164518284816E-2</v>
      </c>
      <c r="G12" cm="1">
        <f t="array" ref="G12">_xlfn.XLOOKUP(_xlfn.XLOOKUP(returns_long_high[[#This Row],[Year]],helper_ya[[#All],[Year]],helper_ya[[#All],[Category]]),br_er_high[[#All],[Ticker]],br_er_high[[#All],[SXR4]])</f>
        <v>8.8919124386115822E-2</v>
      </c>
      <c r="I12" cm="1">
        <f t="array" ref="I12">_xlfn.XLOOKUP(_xlfn.XLOOKUP(returns_long_high[[#This Row],[Year]],helper_ya[[#All],[Year]],helper_ya[[#All],[Category]]),br_er_high[[#All],[Ticker]],br_er_high[[#All],[SYBB]])</f>
        <v>4.26259842208907E-2</v>
      </c>
      <c r="J12" cm="1">
        <f t="array" ref="J12">_xlfn.XLOOKUP(_xlfn.XLOOKUP(returns_long_high[[#This Row],[Year]],helper_ya[[#All],[Year]],helper_ya[[#All],[Category]]),br_er_high[[#All],[Ticker]],br_er_high[[#All],[SYBC]])</f>
        <v>4.3774053276192333E-2</v>
      </c>
    </row>
    <row r="13" spans="1:10" x14ac:dyDescent="0.25">
      <c r="A13">
        <v>2046</v>
      </c>
      <c r="B13" cm="1">
        <f t="array" ref="B13">_xlfn.XLOOKUP(_xlfn.XLOOKUP(returns_long_high[[#This Row],[Year]],helper_ya[[#All],[Year]],helper_ya[[#All],[Category]]),br_er_high[[#All],[Ticker]],br_er_high[[#All],[EUNK]])</f>
        <v>0.1171920880758375</v>
      </c>
      <c r="D13" cm="1">
        <f t="array" ref="D13">_xlfn.XLOOKUP(_xlfn.XLOOKUP(returns_long_high[[#This Row],[Year]],helper_ya[[#All],[Year]],helper_ya[[#All],[Category]]),br_er_high[[#All],[Ticker]],br_er_high[[#All],[IUSN]])</f>
        <v>9.4016114071246326E-2</v>
      </c>
      <c r="E13" cm="1">
        <f t="array" ref="E13">_xlfn.XLOOKUP(_xlfn.XLOOKUP(returns_long_high[[#This Row],[Year]],helper_ya[[#All],[Year]],helper_ya[[#All],[Category]]),br_er_high[[#All],[Ticker]],br_er_high[[#All],[JGHY]])</f>
        <v>5.9445204575611983E-2</v>
      </c>
      <c r="F13" cm="1">
        <f t="array" ref="F13">_xlfn.XLOOKUP(_xlfn.XLOOKUP(returns_long_high[[#This Row],[Year]],helper_ya[[#All],[Year]],helper_ya[[#All],[Category]]),br_er_high[[#All],[Ticker]],br_er_high[[#All],[LYXF]])</f>
        <v>6.7017527231149066E-2</v>
      </c>
      <c r="G13" cm="1">
        <f t="array" ref="G13">_xlfn.XLOOKUP(_xlfn.XLOOKUP(returns_long_high[[#This Row],[Year]],helper_ya[[#All],[Year]],helper_ya[[#All],[Category]]),br_er_high[[#All],[Ticker]],br_er_high[[#All],[SXR4]])</f>
        <v>8.9377315743293995E-2</v>
      </c>
      <c r="I13" cm="1">
        <f t="array" ref="I13">_xlfn.XLOOKUP(_xlfn.XLOOKUP(returns_long_high[[#This Row],[Year]],helper_ya[[#All],[Year]],helper_ya[[#All],[Category]]),br_er_high[[#All],[Ticker]],br_er_high[[#All],[SYBB]])</f>
        <v>4.1909927854884232E-2</v>
      </c>
      <c r="J13" cm="1">
        <f t="array" ref="J13">_xlfn.XLOOKUP(_xlfn.XLOOKUP(returns_long_high[[#This Row],[Year]],helper_ya[[#All],[Year]],helper_ya[[#All],[Category]]),br_er_high[[#All],[Ticker]],br_er_high[[#All],[SYBC]])</f>
        <v>4.3601266829769843E-2</v>
      </c>
    </row>
    <row r="14" spans="1:10" x14ac:dyDescent="0.25">
      <c r="A14">
        <v>2047</v>
      </c>
      <c r="B14" cm="1">
        <f t="array" ref="B14">_xlfn.XLOOKUP(_xlfn.XLOOKUP(returns_long_high[[#This Row],[Year]],helper_ya[[#All],[Year]],helper_ya[[#All],[Category]]),br_er_high[[#All],[Ticker]],br_er_high[[#All],[EUNK]])</f>
        <v>0.1171920880758375</v>
      </c>
      <c r="D14" cm="1">
        <f t="array" ref="D14">_xlfn.XLOOKUP(_xlfn.XLOOKUP(returns_long_high[[#This Row],[Year]],helper_ya[[#All],[Year]],helper_ya[[#All],[Category]]),br_er_high[[#All],[Ticker]],br_er_high[[#All],[IUSN]])</f>
        <v>9.4016114071246326E-2</v>
      </c>
      <c r="E14" cm="1">
        <f t="array" ref="E14">_xlfn.XLOOKUP(_xlfn.XLOOKUP(returns_long_high[[#This Row],[Year]],helper_ya[[#All],[Year]],helper_ya[[#All],[Category]]),br_er_high[[#All],[Ticker]],br_er_high[[#All],[JGHY]])</f>
        <v>5.9445204575611983E-2</v>
      </c>
      <c r="F14" cm="1">
        <f t="array" ref="F14">_xlfn.XLOOKUP(_xlfn.XLOOKUP(returns_long_high[[#This Row],[Year]],helper_ya[[#All],[Year]],helper_ya[[#All],[Category]]),br_er_high[[#All],[Ticker]],br_er_high[[#All],[LYXF]])</f>
        <v>6.7017527231149066E-2</v>
      </c>
      <c r="G14" cm="1">
        <f t="array" ref="G14">_xlfn.XLOOKUP(_xlfn.XLOOKUP(returns_long_high[[#This Row],[Year]],helper_ya[[#All],[Year]],helper_ya[[#All],[Category]]),br_er_high[[#All],[Ticker]],br_er_high[[#All],[SXR4]])</f>
        <v>8.9377315743293995E-2</v>
      </c>
      <c r="I14" cm="1">
        <f t="array" ref="I14">_xlfn.XLOOKUP(_xlfn.XLOOKUP(returns_long_high[[#This Row],[Year]],helper_ya[[#All],[Year]],helper_ya[[#All],[Category]]),br_er_high[[#All],[Ticker]],br_er_high[[#All],[SYBB]])</f>
        <v>4.1909927854884232E-2</v>
      </c>
      <c r="J14" cm="1">
        <f t="array" ref="J14">_xlfn.XLOOKUP(_xlfn.XLOOKUP(returns_long_high[[#This Row],[Year]],helper_ya[[#All],[Year]],helper_ya[[#All],[Category]]),br_er_high[[#All],[Ticker]],br_er_high[[#All],[SYBC]])</f>
        <v>4.3601266829769843E-2</v>
      </c>
    </row>
    <row r="15" spans="1:10" x14ac:dyDescent="0.25">
      <c r="A15">
        <v>2048</v>
      </c>
      <c r="B15" cm="1">
        <f t="array" ref="B15">_xlfn.XLOOKUP(_xlfn.XLOOKUP(returns_long_high[[#This Row],[Year]],helper_ya[[#All],[Year]],helper_ya[[#All],[Category]]),br_er_high[[#All],[Ticker]],br_er_high[[#All],[EUNK]])</f>
        <v>0.1171920880758375</v>
      </c>
      <c r="D15" cm="1">
        <f t="array" ref="D15">_xlfn.XLOOKUP(_xlfn.XLOOKUP(returns_long_high[[#This Row],[Year]],helper_ya[[#All],[Year]],helper_ya[[#All],[Category]]),br_er_high[[#All],[Ticker]],br_er_high[[#All],[IUSN]])</f>
        <v>9.4016114071246326E-2</v>
      </c>
      <c r="E15" cm="1">
        <f t="array" ref="E15">_xlfn.XLOOKUP(_xlfn.XLOOKUP(returns_long_high[[#This Row],[Year]],helper_ya[[#All],[Year]],helper_ya[[#All],[Category]]),br_er_high[[#All],[Ticker]],br_er_high[[#All],[JGHY]])</f>
        <v>5.9445204575611983E-2</v>
      </c>
      <c r="F15" cm="1">
        <f t="array" ref="F15">_xlfn.XLOOKUP(_xlfn.XLOOKUP(returns_long_high[[#This Row],[Year]],helper_ya[[#All],[Year]],helper_ya[[#All],[Category]]),br_er_high[[#All],[Ticker]],br_er_high[[#All],[LYXF]])</f>
        <v>6.7017527231149066E-2</v>
      </c>
      <c r="G15" cm="1">
        <f t="array" ref="G15">_xlfn.XLOOKUP(_xlfn.XLOOKUP(returns_long_high[[#This Row],[Year]],helper_ya[[#All],[Year]],helper_ya[[#All],[Category]]),br_er_high[[#All],[Ticker]],br_er_high[[#All],[SXR4]])</f>
        <v>8.9377315743293995E-2</v>
      </c>
      <c r="I15" cm="1">
        <f t="array" ref="I15">_xlfn.XLOOKUP(_xlfn.XLOOKUP(returns_long_high[[#This Row],[Year]],helper_ya[[#All],[Year]],helper_ya[[#All],[Category]]),br_er_high[[#All],[Ticker]],br_er_high[[#All],[SYBB]])</f>
        <v>4.1909927854884232E-2</v>
      </c>
      <c r="J15" cm="1">
        <f t="array" ref="J15">_xlfn.XLOOKUP(_xlfn.XLOOKUP(returns_long_high[[#This Row],[Year]],helper_ya[[#All],[Year]],helper_ya[[#All],[Category]]),br_er_high[[#All],[Ticker]],br_er_high[[#All],[SYBC]])</f>
        <v>4.3601266829769843E-2</v>
      </c>
    </row>
    <row r="16" spans="1:10" x14ac:dyDescent="0.25">
      <c r="A16">
        <v>2049</v>
      </c>
      <c r="B16" cm="1">
        <f t="array" ref="B16">_xlfn.XLOOKUP(_xlfn.XLOOKUP(returns_long_high[[#This Row],[Year]],helper_ya[[#All],[Year]],helper_ya[[#All],[Category]]),br_er_high[[#All],[Ticker]],br_er_high[[#All],[EUNK]])</f>
        <v>0.1171920880758375</v>
      </c>
      <c r="D16" cm="1">
        <f t="array" ref="D16">_xlfn.XLOOKUP(_xlfn.XLOOKUP(returns_long_high[[#This Row],[Year]],helper_ya[[#All],[Year]],helper_ya[[#All],[Category]]),br_er_high[[#All],[Ticker]],br_er_high[[#All],[IUSN]])</f>
        <v>9.4016114071246326E-2</v>
      </c>
      <c r="E16" cm="1">
        <f t="array" ref="E16">_xlfn.XLOOKUP(_xlfn.XLOOKUP(returns_long_high[[#This Row],[Year]],helper_ya[[#All],[Year]],helper_ya[[#All],[Category]]),br_er_high[[#All],[Ticker]],br_er_high[[#All],[JGHY]])</f>
        <v>5.9445204575611983E-2</v>
      </c>
      <c r="F16" cm="1">
        <f t="array" ref="F16">_xlfn.XLOOKUP(_xlfn.XLOOKUP(returns_long_high[[#This Row],[Year]],helper_ya[[#All],[Year]],helper_ya[[#All],[Category]]),br_er_high[[#All],[Ticker]],br_er_high[[#All],[LYXF]])</f>
        <v>6.7017527231149066E-2</v>
      </c>
      <c r="G16" cm="1">
        <f t="array" ref="G16">_xlfn.XLOOKUP(_xlfn.XLOOKUP(returns_long_high[[#This Row],[Year]],helper_ya[[#All],[Year]],helper_ya[[#All],[Category]]),br_er_high[[#All],[Ticker]],br_er_high[[#All],[SXR4]])</f>
        <v>8.9377315743293995E-2</v>
      </c>
      <c r="I16" cm="1">
        <f t="array" ref="I16">_xlfn.XLOOKUP(_xlfn.XLOOKUP(returns_long_high[[#This Row],[Year]],helper_ya[[#All],[Year]],helper_ya[[#All],[Category]]),br_er_high[[#All],[Ticker]],br_er_high[[#All],[SYBB]])</f>
        <v>4.1909927854884232E-2</v>
      </c>
      <c r="J16" cm="1">
        <f t="array" ref="J16">_xlfn.XLOOKUP(_xlfn.XLOOKUP(returns_long_high[[#This Row],[Year]],helper_ya[[#All],[Year]],helper_ya[[#All],[Category]]),br_er_high[[#All],[Ticker]],br_er_high[[#All],[SYBC]])</f>
        <v>4.3601266829769843E-2</v>
      </c>
    </row>
    <row r="17" spans="1:10" x14ac:dyDescent="0.25">
      <c r="A17">
        <v>2050</v>
      </c>
      <c r="B17" cm="1">
        <f t="array" ref="B17">_xlfn.XLOOKUP(_xlfn.XLOOKUP(returns_long_high[[#This Row],[Year]],helper_ya[[#All],[Year]],helper_ya[[#All],[Category]]),br_er_high[[#All],[Ticker]],br_er_high[[#All],[EUNK]])</f>
        <v>0.1171920880758375</v>
      </c>
      <c r="D17" cm="1">
        <f t="array" ref="D17">_xlfn.XLOOKUP(_xlfn.XLOOKUP(returns_long_high[[#This Row],[Year]],helper_ya[[#All],[Year]],helper_ya[[#All],[Category]]),br_er_high[[#All],[Ticker]],br_er_high[[#All],[IUSN]])</f>
        <v>9.4016114071246326E-2</v>
      </c>
      <c r="E17" cm="1">
        <f t="array" ref="E17">_xlfn.XLOOKUP(_xlfn.XLOOKUP(returns_long_high[[#This Row],[Year]],helper_ya[[#All],[Year]],helper_ya[[#All],[Category]]),br_er_high[[#All],[Ticker]],br_er_high[[#All],[JGHY]])</f>
        <v>5.9445204575611983E-2</v>
      </c>
      <c r="F17" cm="1">
        <f t="array" ref="F17">_xlfn.XLOOKUP(_xlfn.XLOOKUP(returns_long_high[[#This Row],[Year]],helper_ya[[#All],[Year]],helper_ya[[#All],[Category]]),br_er_high[[#All],[Ticker]],br_er_high[[#All],[LYXF]])</f>
        <v>6.7017527231149066E-2</v>
      </c>
      <c r="G17" cm="1">
        <f t="array" ref="G17">_xlfn.XLOOKUP(_xlfn.XLOOKUP(returns_long_high[[#This Row],[Year]],helper_ya[[#All],[Year]],helper_ya[[#All],[Category]]),br_er_high[[#All],[Ticker]],br_er_high[[#All],[SXR4]])</f>
        <v>8.9377315743293995E-2</v>
      </c>
      <c r="I17" cm="1">
        <f t="array" ref="I17">_xlfn.XLOOKUP(_xlfn.XLOOKUP(returns_long_high[[#This Row],[Year]],helper_ya[[#All],[Year]],helper_ya[[#All],[Category]]),br_er_high[[#All],[Ticker]],br_er_high[[#All],[SYBB]])</f>
        <v>4.1909927854884232E-2</v>
      </c>
      <c r="J17" cm="1">
        <f t="array" ref="J17">_xlfn.XLOOKUP(_xlfn.XLOOKUP(returns_long_high[[#This Row],[Year]],helper_ya[[#All],[Year]],helper_ya[[#All],[Category]]),br_er_high[[#All],[Ticker]],br_er_high[[#All],[SYBC]])</f>
        <v>4.3601266829769843E-2</v>
      </c>
    </row>
    <row r="18" spans="1:10" x14ac:dyDescent="0.25">
      <c r="A18">
        <v>2051</v>
      </c>
      <c r="B18" cm="1">
        <f t="array" ref="B18">_xlfn.XLOOKUP(_xlfn.XLOOKUP(returns_long_high[[#This Row],[Year]],helper_ya[[#All],[Year]],helper_ya[[#All],[Category]]),br_er_high[[#All],[Ticker]],br_er_high[[#All],[EUNK]])</f>
        <v>0.11425011201176979</v>
      </c>
      <c r="D18" cm="1">
        <f t="array" ref="D18">_xlfn.XLOOKUP(_xlfn.XLOOKUP(returns_long_high[[#This Row],[Year]],helper_ya[[#All],[Year]],helper_ya[[#All],[Category]]),br_er_high[[#All],[Ticker]],br_er_high[[#All],[IUSN]])</f>
        <v>9.1772125611129685E-2</v>
      </c>
      <c r="E18" cm="1">
        <f t="array" ref="E18">_xlfn.XLOOKUP(_xlfn.XLOOKUP(returns_long_high[[#This Row],[Year]],helper_ya[[#All],[Year]],helper_ya[[#All],[Category]]),br_er_high[[#All],[Ticker]],br_er_high[[#All],[JGHY]])</f>
        <v>5.8216117989774878E-2</v>
      </c>
      <c r="F18" cm="1">
        <f t="array" ref="F18">_xlfn.XLOOKUP(_xlfn.XLOOKUP(returns_long_high[[#This Row],[Year]],helper_ya[[#All],[Year]],helper_ya[[#All],[Category]]),br_er_high[[#All],[Ticker]],br_er_high[[#All],[LYXF]])</f>
        <v>6.6463931867440929E-2</v>
      </c>
      <c r="G18" cm="1">
        <f t="array" ref="G18">_xlfn.XLOOKUP(_xlfn.XLOOKUP(returns_long_high[[#This Row],[Year]],helper_ya[[#All],[Year]],helper_ya[[#All],[Category]]),br_er_high[[#All],[Ticker]],br_er_high[[#All],[SXR4]])</f>
        <v>8.9872524323030722E-2</v>
      </c>
      <c r="I18" cm="1">
        <f t="array" ref="I18">_xlfn.XLOOKUP(_xlfn.XLOOKUP(returns_long_high[[#This Row],[Year]],helper_ya[[#All],[Year]],helper_ya[[#All],[Category]]),br_er_high[[#All],[Ticker]],br_er_high[[#All],[SYBB]])</f>
        <v>4.0904450577630813E-2</v>
      </c>
      <c r="J18" cm="1">
        <f t="array" ref="J18">_xlfn.XLOOKUP(_xlfn.XLOOKUP(returns_long_high[[#This Row],[Year]],helper_ya[[#All],[Year]],helper_ya[[#All],[Category]]),br_er_high[[#All],[Ticker]],br_er_high[[#All],[SYBC]])</f>
        <v>4.3239838788859952E-2</v>
      </c>
    </row>
    <row r="19" spans="1:10" x14ac:dyDescent="0.25">
      <c r="A19">
        <v>2052</v>
      </c>
      <c r="B19" cm="1">
        <f t="array" ref="B19">_xlfn.XLOOKUP(_xlfn.XLOOKUP(returns_long_high[[#This Row],[Year]],helper_ya[[#All],[Year]],helper_ya[[#All],[Category]]),br_er_high[[#All],[Ticker]],br_er_high[[#All],[EUNK]])</f>
        <v>0.11425011201176979</v>
      </c>
      <c r="D19" cm="1">
        <f t="array" ref="D19">_xlfn.XLOOKUP(_xlfn.XLOOKUP(returns_long_high[[#This Row],[Year]],helper_ya[[#All],[Year]],helper_ya[[#All],[Category]]),br_er_high[[#All],[Ticker]],br_er_high[[#All],[IUSN]])</f>
        <v>9.1772125611129685E-2</v>
      </c>
      <c r="E19" cm="1">
        <f t="array" ref="E19">_xlfn.XLOOKUP(_xlfn.XLOOKUP(returns_long_high[[#This Row],[Year]],helper_ya[[#All],[Year]],helper_ya[[#All],[Category]]),br_er_high[[#All],[Ticker]],br_er_high[[#All],[JGHY]])</f>
        <v>5.8216117989774878E-2</v>
      </c>
      <c r="F19" cm="1">
        <f t="array" ref="F19">_xlfn.XLOOKUP(_xlfn.XLOOKUP(returns_long_high[[#This Row],[Year]],helper_ya[[#All],[Year]],helper_ya[[#All],[Category]]),br_er_high[[#All],[Ticker]],br_er_high[[#All],[LYXF]])</f>
        <v>6.6463931867440929E-2</v>
      </c>
      <c r="G19" cm="1">
        <f t="array" ref="G19">_xlfn.XLOOKUP(_xlfn.XLOOKUP(returns_long_high[[#This Row],[Year]],helper_ya[[#All],[Year]],helper_ya[[#All],[Category]]),br_er_high[[#All],[Ticker]],br_er_high[[#All],[SXR4]])</f>
        <v>8.9872524323030722E-2</v>
      </c>
      <c r="I19" cm="1">
        <f t="array" ref="I19">_xlfn.XLOOKUP(_xlfn.XLOOKUP(returns_long_high[[#This Row],[Year]],helper_ya[[#All],[Year]],helper_ya[[#All],[Category]]),br_er_high[[#All],[Ticker]],br_er_high[[#All],[SYBB]])</f>
        <v>4.0904450577630813E-2</v>
      </c>
      <c r="J19" cm="1">
        <f t="array" ref="J19">_xlfn.XLOOKUP(_xlfn.XLOOKUP(returns_long_high[[#This Row],[Year]],helper_ya[[#All],[Year]],helper_ya[[#All],[Category]]),br_er_high[[#All],[Ticker]],br_er_high[[#All],[SYBC]])</f>
        <v>4.3239838788859952E-2</v>
      </c>
    </row>
    <row r="20" spans="1:10" x14ac:dyDescent="0.25">
      <c r="A20">
        <v>2053</v>
      </c>
      <c r="B20" cm="1">
        <f t="array" ref="B20">_xlfn.XLOOKUP(_xlfn.XLOOKUP(returns_long_high[[#This Row],[Year]],helper_ya[[#All],[Year]],helper_ya[[#All],[Category]]),br_er_high[[#All],[Ticker]],br_er_high[[#All],[EUNK]])</f>
        <v>0.11425011201176979</v>
      </c>
      <c r="D20" cm="1">
        <f t="array" ref="D20">_xlfn.XLOOKUP(_xlfn.XLOOKUP(returns_long_high[[#This Row],[Year]],helper_ya[[#All],[Year]],helper_ya[[#All],[Category]]),br_er_high[[#All],[Ticker]],br_er_high[[#All],[IUSN]])</f>
        <v>9.1772125611129685E-2</v>
      </c>
      <c r="E20" cm="1">
        <f t="array" ref="E20">_xlfn.XLOOKUP(_xlfn.XLOOKUP(returns_long_high[[#This Row],[Year]],helper_ya[[#All],[Year]],helper_ya[[#All],[Category]]),br_er_high[[#All],[Ticker]],br_er_high[[#All],[JGHY]])</f>
        <v>5.8216117989774878E-2</v>
      </c>
      <c r="F20" cm="1">
        <f t="array" ref="F20">_xlfn.XLOOKUP(_xlfn.XLOOKUP(returns_long_high[[#This Row],[Year]],helper_ya[[#All],[Year]],helper_ya[[#All],[Category]]),br_er_high[[#All],[Ticker]],br_er_high[[#All],[LYXF]])</f>
        <v>6.6463931867440929E-2</v>
      </c>
      <c r="G20" cm="1">
        <f t="array" ref="G20">_xlfn.XLOOKUP(_xlfn.XLOOKUP(returns_long_high[[#This Row],[Year]],helper_ya[[#All],[Year]],helper_ya[[#All],[Category]]),br_er_high[[#All],[Ticker]],br_er_high[[#All],[SXR4]])</f>
        <v>8.9872524323030722E-2</v>
      </c>
      <c r="I20" cm="1">
        <f t="array" ref="I20">_xlfn.XLOOKUP(_xlfn.XLOOKUP(returns_long_high[[#This Row],[Year]],helper_ya[[#All],[Year]],helper_ya[[#All],[Category]]),br_er_high[[#All],[Ticker]],br_er_high[[#All],[SYBB]])</f>
        <v>4.0904450577630813E-2</v>
      </c>
      <c r="J20" cm="1">
        <f t="array" ref="J20">_xlfn.XLOOKUP(_xlfn.XLOOKUP(returns_long_high[[#This Row],[Year]],helper_ya[[#All],[Year]],helper_ya[[#All],[Category]]),br_er_high[[#All],[Ticker]],br_er_high[[#All],[SYBC]])</f>
        <v>4.3239838788859952E-2</v>
      </c>
    </row>
    <row r="21" spans="1:10" x14ac:dyDescent="0.25">
      <c r="A21">
        <v>2054</v>
      </c>
      <c r="B21" cm="1">
        <f t="array" ref="B21">_xlfn.XLOOKUP(_xlfn.XLOOKUP(returns_long_high[[#This Row],[Year]],helper_ya[[#All],[Year]],helper_ya[[#All],[Category]]),br_er_high[[#All],[Ticker]],br_er_high[[#All],[EUNK]])</f>
        <v>0.11425011201176979</v>
      </c>
      <c r="D21" cm="1">
        <f t="array" ref="D21">_xlfn.XLOOKUP(_xlfn.XLOOKUP(returns_long_high[[#This Row],[Year]],helper_ya[[#All],[Year]],helper_ya[[#All],[Category]]),br_er_high[[#All],[Ticker]],br_er_high[[#All],[IUSN]])</f>
        <v>9.1772125611129685E-2</v>
      </c>
      <c r="E21" cm="1">
        <f t="array" ref="E21">_xlfn.XLOOKUP(_xlfn.XLOOKUP(returns_long_high[[#This Row],[Year]],helper_ya[[#All],[Year]],helper_ya[[#All],[Category]]),br_er_high[[#All],[Ticker]],br_er_high[[#All],[JGHY]])</f>
        <v>5.8216117989774878E-2</v>
      </c>
      <c r="F21" cm="1">
        <f t="array" ref="F21">_xlfn.XLOOKUP(_xlfn.XLOOKUP(returns_long_high[[#This Row],[Year]],helper_ya[[#All],[Year]],helper_ya[[#All],[Category]]),br_er_high[[#All],[Ticker]],br_er_high[[#All],[LYXF]])</f>
        <v>6.6463931867440929E-2</v>
      </c>
      <c r="G21" cm="1">
        <f t="array" ref="G21">_xlfn.XLOOKUP(_xlfn.XLOOKUP(returns_long_high[[#This Row],[Year]],helper_ya[[#All],[Year]],helper_ya[[#All],[Category]]),br_er_high[[#All],[Ticker]],br_er_high[[#All],[SXR4]])</f>
        <v>8.9872524323030722E-2</v>
      </c>
      <c r="I21" cm="1">
        <f t="array" ref="I21">_xlfn.XLOOKUP(_xlfn.XLOOKUP(returns_long_high[[#This Row],[Year]],helper_ya[[#All],[Year]],helper_ya[[#All],[Category]]),br_er_high[[#All],[Ticker]],br_er_high[[#All],[SYBB]])</f>
        <v>4.0904450577630813E-2</v>
      </c>
      <c r="J21" cm="1">
        <f t="array" ref="J21">_xlfn.XLOOKUP(_xlfn.XLOOKUP(returns_long_high[[#This Row],[Year]],helper_ya[[#All],[Year]],helper_ya[[#All],[Category]]),br_er_high[[#All],[Ticker]],br_er_high[[#All],[SYBC]])</f>
        <v>4.3239838788859952E-2</v>
      </c>
    </row>
    <row r="22" spans="1:10" x14ac:dyDescent="0.25">
      <c r="A22">
        <v>2055</v>
      </c>
      <c r="B22" cm="1">
        <f t="array" ref="B22">_xlfn.XLOOKUP(_xlfn.XLOOKUP(returns_long_high[[#This Row],[Year]],helper_ya[[#All],[Year]],helper_ya[[#All],[Category]]),br_er_high[[#All],[Ticker]],br_er_high[[#All],[EUNK]])</f>
        <v>0.11425011201176979</v>
      </c>
      <c r="D22" cm="1">
        <f t="array" ref="D22">_xlfn.XLOOKUP(_xlfn.XLOOKUP(returns_long_high[[#This Row],[Year]],helper_ya[[#All],[Year]],helper_ya[[#All],[Category]]),br_er_high[[#All],[Ticker]],br_er_high[[#All],[IUSN]])</f>
        <v>9.1772125611129685E-2</v>
      </c>
      <c r="E22" cm="1">
        <f t="array" ref="E22">_xlfn.XLOOKUP(_xlfn.XLOOKUP(returns_long_high[[#This Row],[Year]],helper_ya[[#All],[Year]],helper_ya[[#All],[Category]]),br_er_high[[#All],[Ticker]],br_er_high[[#All],[JGHY]])</f>
        <v>5.8216117989774878E-2</v>
      </c>
      <c r="F22" cm="1">
        <f t="array" ref="F22">_xlfn.XLOOKUP(_xlfn.XLOOKUP(returns_long_high[[#This Row],[Year]],helper_ya[[#All],[Year]],helper_ya[[#All],[Category]]),br_er_high[[#All],[Ticker]],br_er_high[[#All],[LYXF]])</f>
        <v>6.6463931867440929E-2</v>
      </c>
      <c r="G22" cm="1">
        <f t="array" ref="G22">_xlfn.XLOOKUP(_xlfn.XLOOKUP(returns_long_high[[#This Row],[Year]],helper_ya[[#All],[Year]],helper_ya[[#All],[Category]]),br_er_high[[#All],[Ticker]],br_er_high[[#All],[SXR4]])</f>
        <v>8.9872524323030722E-2</v>
      </c>
      <c r="I22" cm="1">
        <f t="array" ref="I22">_xlfn.XLOOKUP(_xlfn.XLOOKUP(returns_long_high[[#This Row],[Year]],helper_ya[[#All],[Year]],helper_ya[[#All],[Category]]),br_er_high[[#All],[Ticker]],br_er_high[[#All],[SYBB]])</f>
        <v>4.0904450577630813E-2</v>
      </c>
      <c r="J22" cm="1">
        <f t="array" ref="J22">_xlfn.XLOOKUP(_xlfn.XLOOKUP(returns_long_high[[#This Row],[Year]],helper_ya[[#All],[Year]],helper_ya[[#All],[Category]]),br_er_high[[#All],[Ticker]],br_er_high[[#All],[SYBC]])</f>
        <v>4.3239838788859952E-2</v>
      </c>
    </row>
    <row r="23" spans="1:10" x14ac:dyDescent="0.25">
      <c r="A23">
        <v>2056</v>
      </c>
      <c r="B23" cm="1">
        <f t="array" ref="B23">_xlfn.XLOOKUP(_xlfn.XLOOKUP(returns_long_high[[#This Row],[Year]],helper_ya[[#All],[Year]],helper_ya[[#All],[Category]]),br_er_high[[#All],[Ticker]],br_er_high[[#All],[EUNK]])</f>
        <v>0.11425011201176979</v>
      </c>
      <c r="D23" cm="1">
        <f t="array" ref="D23">_xlfn.XLOOKUP(_xlfn.XLOOKUP(returns_long_high[[#This Row],[Year]],helper_ya[[#All],[Year]],helper_ya[[#All],[Category]]),br_er_high[[#All],[Ticker]],br_er_high[[#All],[IUSN]])</f>
        <v>9.1772125611129685E-2</v>
      </c>
      <c r="E23" cm="1">
        <f t="array" ref="E23">_xlfn.XLOOKUP(_xlfn.XLOOKUP(returns_long_high[[#This Row],[Year]],helper_ya[[#All],[Year]],helper_ya[[#All],[Category]]),br_er_high[[#All],[Ticker]],br_er_high[[#All],[JGHY]])</f>
        <v>5.8216117989774878E-2</v>
      </c>
      <c r="F23" cm="1">
        <f t="array" ref="F23">_xlfn.XLOOKUP(_xlfn.XLOOKUP(returns_long_high[[#This Row],[Year]],helper_ya[[#All],[Year]],helper_ya[[#All],[Category]]),br_er_high[[#All],[Ticker]],br_er_high[[#All],[LYXF]])</f>
        <v>6.6463931867440929E-2</v>
      </c>
      <c r="G23" cm="1">
        <f t="array" ref="G23">_xlfn.XLOOKUP(_xlfn.XLOOKUP(returns_long_high[[#This Row],[Year]],helper_ya[[#All],[Year]],helper_ya[[#All],[Category]]),br_er_high[[#All],[Ticker]],br_er_high[[#All],[SXR4]])</f>
        <v>8.9872524323030722E-2</v>
      </c>
      <c r="I23" cm="1">
        <f t="array" ref="I23">_xlfn.XLOOKUP(_xlfn.XLOOKUP(returns_long_high[[#This Row],[Year]],helper_ya[[#All],[Year]],helper_ya[[#All],[Category]]),br_er_high[[#All],[Ticker]],br_er_high[[#All],[SYBB]])</f>
        <v>4.0904450577630813E-2</v>
      </c>
      <c r="J23" cm="1">
        <f t="array" ref="J23">_xlfn.XLOOKUP(_xlfn.XLOOKUP(returns_long_high[[#This Row],[Year]],helper_ya[[#All],[Year]],helper_ya[[#All],[Category]]),br_er_high[[#All],[Ticker]],br_er_high[[#All],[SYBC]])</f>
        <v>4.3239838788859952E-2</v>
      </c>
    </row>
    <row r="24" spans="1:10" x14ac:dyDescent="0.25">
      <c r="A24">
        <v>2057</v>
      </c>
      <c r="B24" cm="1">
        <f t="array" ref="B24">_xlfn.XLOOKUP(_xlfn.XLOOKUP(returns_long_high[[#This Row],[Year]],helper_ya[[#All],[Year]],helper_ya[[#All],[Category]]),br_er_high[[#All],[Ticker]],br_er_high[[#All],[EUNK]])</f>
        <v>0.11425011201176979</v>
      </c>
      <c r="D24" cm="1">
        <f t="array" ref="D24">_xlfn.XLOOKUP(_xlfn.XLOOKUP(returns_long_high[[#This Row],[Year]],helper_ya[[#All],[Year]],helper_ya[[#All],[Category]]),br_er_high[[#All],[Ticker]],br_er_high[[#All],[IUSN]])</f>
        <v>9.1772125611129685E-2</v>
      </c>
      <c r="E24" cm="1">
        <f t="array" ref="E24">_xlfn.XLOOKUP(_xlfn.XLOOKUP(returns_long_high[[#This Row],[Year]],helper_ya[[#All],[Year]],helper_ya[[#All],[Category]]),br_er_high[[#All],[Ticker]],br_er_high[[#All],[JGHY]])</f>
        <v>5.8216117989774878E-2</v>
      </c>
      <c r="F24" cm="1">
        <f t="array" ref="F24">_xlfn.XLOOKUP(_xlfn.XLOOKUP(returns_long_high[[#This Row],[Year]],helper_ya[[#All],[Year]],helper_ya[[#All],[Category]]),br_er_high[[#All],[Ticker]],br_er_high[[#All],[LYXF]])</f>
        <v>6.6463931867440929E-2</v>
      </c>
      <c r="G24" cm="1">
        <f t="array" ref="G24">_xlfn.XLOOKUP(_xlfn.XLOOKUP(returns_long_high[[#This Row],[Year]],helper_ya[[#All],[Year]],helper_ya[[#All],[Category]]),br_er_high[[#All],[Ticker]],br_er_high[[#All],[SXR4]])</f>
        <v>8.9872524323030722E-2</v>
      </c>
      <c r="I24" cm="1">
        <f t="array" ref="I24">_xlfn.XLOOKUP(_xlfn.XLOOKUP(returns_long_high[[#This Row],[Year]],helper_ya[[#All],[Year]],helper_ya[[#All],[Category]]),br_er_high[[#All],[Ticker]],br_er_high[[#All],[SYBB]])</f>
        <v>4.0904450577630813E-2</v>
      </c>
      <c r="J24" cm="1">
        <f t="array" ref="J24">_xlfn.XLOOKUP(_xlfn.XLOOKUP(returns_long_high[[#This Row],[Year]],helper_ya[[#All],[Year]],helper_ya[[#All],[Category]]),br_er_high[[#All],[Ticker]],br_er_high[[#All],[SYBC]])</f>
        <v>4.3239838788859952E-2</v>
      </c>
    </row>
    <row r="25" spans="1:10" x14ac:dyDescent="0.25">
      <c r="A25">
        <v>2058</v>
      </c>
      <c r="B25" cm="1">
        <f t="array" ref="B25">_xlfn.XLOOKUP(_xlfn.XLOOKUP(returns_long_high[[#This Row],[Year]],helper_ya[[#All],[Year]],helper_ya[[#All],[Category]]),br_er_high[[#All],[Ticker]],br_er_high[[#All],[EUNK]])</f>
        <v>0.11425011201176979</v>
      </c>
      <c r="D25" cm="1">
        <f t="array" ref="D25">_xlfn.XLOOKUP(_xlfn.XLOOKUP(returns_long_high[[#This Row],[Year]],helper_ya[[#All],[Year]],helper_ya[[#All],[Category]]),br_er_high[[#All],[Ticker]],br_er_high[[#All],[IUSN]])</f>
        <v>9.1772125611129685E-2</v>
      </c>
      <c r="E25" cm="1">
        <f t="array" ref="E25">_xlfn.XLOOKUP(_xlfn.XLOOKUP(returns_long_high[[#This Row],[Year]],helper_ya[[#All],[Year]],helper_ya[[#All],[Category]]),br_er_high[[#All],[Ticker]],br_er_high[[#All],[JGHY]])</f>
        <v>5.8216117989774878E-2</v>
      </c>
      <c r="F25" cm="1">
        <f t="array" ref="F25">_xlfn.XLOOKUP(_xlfn.XLOOKUP(returns_long_high[[#This Row],[Year]],helper_ya[[#All],[Year]],helper_ya[[#All],[Category]]),br_er_high[[#All],[Ticker]],br_er_high[[#All],[LYXF]])</f>
        <v>6.6463931867440929E-2</v>
      </c>
      <c r="G25" cm="1">
        <f t="array" ref="G25">_xlfn.XLOOKUP(_xlfn.XLOOKUP(returns_long_high[[#This Row],[Year]],helper_ya[[#All],[Year]],helper_ya[[#All],[Category]]),br_er_high[[#All],[Ticker]],br_er_high[[#All],[SXR4]])</f>
        <v>8.9872524323030722E-2</v>
      </c>
      <c r="I25" cm="1">
        <f t="array" ref="I25">_xlfn.XLOOKUP(_xlfn.XLOOKUP(returns_long_high[[#This Row],[Year]],helper_ya[[#All],[Year]],helper_ya[[#All],[Category]]),br_er_high[[#All],[Ticker]],br_er_high[[#All],[SYBB]])</f>
        <v>4.0904450577630813E-2</v>
      </c>
      <c r="J25" cm="1">
        <f t="array" ref="J25">_xlfn.XLOOKUP(_xlfn.XLOOKUP(returns_long_high[[#This Row],[Year]],helper_ya[[#All],[Year]],helper_ya[[#All],[Category]]),br_er_high[[#All],[Ticker]],br_er_high[[#All],[SYBC]])</f>
        <v>4.3239838788859952E-2</v>
      </c>
    </row>
    <row r="26" spans="1:10" x14ac:dyDescent="0.25">
      <c r="A26">
        <v>2059</v>
      </c>
      <c r="B26" cm="1">
        <f t="array" ref="B26">_xlfn.XLOOKUP(_xlfn.XLOOKUP(returns_long_high[[#This Row],[Year]],helper_ya[[#All],[Year]],helper_ya[[#All],[Category]]),br_er_high[[#All],[Ticker]],br_er_high[[#All],[EUNK]])</f>
        <v>0.11425011201176979</v>
      </c>
      <c r="D26" cm="1">
        <f t="array" ref="D26">_xlfn.XLOOKUP(_xlfn.XLOOKUP(returns_long_high[[#This Row],[Year]],helper_ya[[#All],[Year]],helper_ya[[#All],[Category]]),br_er_high[[#All],[Ticker]],br_er_high[[#All],[IUSN]])</f>
        <v>9.1772125611129685E-2</v>
      </c>
      <c r="E26" cm="1">
        <f t="array" ref="E26">_xlfn.XLOOKUP(_xlfn.XLOOKUP(returns_long_high[[#This Row],[Year]],helper_ya[[#All],[Year]],helper_ya[[#All],[Category]]),br_er_high[[#All],[Ticker]],br_er_high[[#All],[JGHY]])</f>
        <v>5.8216117989774878E-2</v>
      </c>
      <c r="F26" cm="1">
        <f t="array" ref="F26">_xlfn.XLOOKUP(_xlfn.XLOOKUP(returns_long_high[[#This Row],[Year]],helper_ya[[#All],[Year]],helper_ya[[#All],[Category]]),br_er_high[[#All],[Ticker]],br_er_high[[#All],[LYXF]])</f>
        <v>6.6463931867440929E-2</v>
      </c>
      <c r="G26" cm="1">
        <f t="array" ref="G26">_xlfn.XLOOKUP(_xlfn.XLOOKUP(returns_long_high[[#This Row],[Year]],helper_ya[[#All],[Year]],helper_ya[[#All],[Category]]),br_er_high[[#All],[Ticker]],br_er_high[[#All],[SXR4]])</f>
        <v>8.9872524323030722E-2</v>
      </c>
      <c r="I26" cm="1">
        <f t="array" ref="I26">_xlfn.XLOOKUP(_xlfn.XLOOKUP(returns_long_high[[#This Row],[Year]],helper_ya[[#All],[Year]],helper_ya[[#All],[Category]]),br_er_high[[#All],[Ticker]],br_er_high[[#All],[SYBB]])</f>
        <v>4.0904450577630813E-2</v>
      </c>
      <c r="J26" cm="1">
        <f t="array" ref="J26">_xlfn.XLOOKUP(_xlfn.XLOOKUP(returns_long_high[[#This Row],[Year]],helper_ya[[#All],[Year]],helper_ya[[#All],[Category]]),br_er_high[[#All],[Ticker]],br_er_high[[#All],[SYBC]])</f>
        <v>4.3239838788859952E-2</v>
      </c>
    </row>
    <row r="27" spans="1:10" x14ac:dyDescent="0.25">
      <c r="A27">
        <v>2060</v>
      </c>
      <c r="B27" cm="1">
        <f t="array" ref="B27">_xlfn.XLOOKUP(_xlfn.XLOOKUP(returns_long_high[[#This Row],[Year]],helper_ya[[#All],[Year]],helper_ya[[#All],[Category]]),br_er_high[[#All],[Ticker]],br_er_high[[#All],[EUNK]])</f>
        <v>0.11425011201176979</v>
      </c>
      <c r="D27" cm="1">
        <f t="array" ref="D27">_xlfn.XLOOKUP(_xlfn.XLOOKUP(returns_long_high[[#This Row],[Year]],helper_ya[[#All],[Year]],helper_ya[[#All],[Category]]),br_er_high[[#All],[Ticker]],br_er_high[[#All],[IUSN]])</f>
        <v>9.1772125611129685E-2</v>
      </c>
      <c r="E27" cm="1">
        <f t="array" ref="E27">_xlfn.XLOOKUP(_xlfn.XLOOKUP(returns_long_high[[#This Row],[Year]],helper_ya[[#All],[Year]],helper_ya[[#All],[Category]]),br_er_high[[#All],[Ticker]],br_er_high[[#All],[JGHY]])</f>
        <v>5.8216117989774878E-2</v>
      </c>
      <c r="F27" cm="1">
        <f t="array" ref="F27">_xlfn.XLOOKUP(_xlfn.XLOOKUP(returns_long_high[[#This Row],[Year]],helper_ya[[#All],[Year]],helper_ya[[#All],[Category]]),br_er_high[[#All],[Ticker]],br_er_high[[#All],[LYXF]])</f>
        <v>6.6463931867440929E-2</v>
      </c>
      <c r="G27" cm="1">
        <f t="array" ref="G27">_xlfn.XLOOKUP(_xlfn.XLOOKUP(returns_long_high[[#This Row],[Year]],helper_ya[[#All],[Year]],helper_ya[[#All],[Category]]),br_er_high[[#All],[Ticker]],br_er_high[[#All],[SXR4]])</f>
        <v>8.9872524323030722E-2</v>
      </c>
      <c r="I27" cm="1">
        <f t="array" ref="I27">_xlfn.XLOOKUP(_xlfn.XLOOKUP(returns_long_high[[#This Row],[Year]],helper_ya[[#All],[Year]],helper_ya[[#All],[Category]]),br_er_high[[#All],[Ticker]],br_er_high[[#All],[SYBB]])</f>
        <v>4.0904450577630813E-2</v>
      </c>
      <c r="J27" cm="1">
        <f t="array" ref="J27">_xlfn.XLOOKUP(_xlfn.XLOOKUP(returns_long_high[[#This Row],[Year]],helper_ya[[#All],[Year]],helper_ya[[#All],[Category]]),br_er_high[[#All],[Ticker]],br_er_high[[#All],[SYBC]])</f>
        <v>4.3239838788859952E-2</v>
      </c>
    </row>
    <row r="28" spans="1:10" x14ac:dyDescent="0.25">
      <c r="A28">
        <v>2061</v>
      </c>
      <c r="B28" cm="1">
        <f t="array" ref="B28">_xlfn.XLOOKUP(_xlfn.XLOOKUP(returns_long_high[[#This Row],[Year]],helper_ya[[#All],[Year]],helper_ya[[#All],[Category]]),br_er_high[[#All],[Ticker]],br_er_high[[#All],[EUNK]])</f>
        <v>0.11425011201176979</v>
      </c>
      <c r="D28" cm="1">
        <f t="array" ref="D28">_xlfn.XLOOKUP(_xlfn.XLOOKUP(returns_long_high[[#This Row],[Year]],helper_ya[[#All],[Year]],helper_ya[[#All],[Category]]),br_er_high[[#All],[Ticker]],br_er_high[[#All],[IUSN]])</f>
        <v>9.1772125611129685E-2</v>
      </c>
      <c r="E28" cm="1">
        <f t="array" ref="E28">_xlfn.XLOOKUP(_xlfn.XLOOKUP(returns_long_high[[#This Row],[Year]],helper_ya[[#All],[Year]],helper_ya[[#All],[Category]]),br_er_high[[#All],[Ticker]],br_er_high[[#All],[JGHY]])</f>
        <v>5.8216117989774878E-2</v>
      </c>
      <c r="F28" cm="1">
        <f t="array" ref="F28">_xlfn.XLOOKUP(_xlfn.XLOOKUP(returns_long_high[[#This Row],[Year]],helper_ya[[#All],[Year]],helper_ya[[#All],[Category]]),br_er_high[[#All],[Ticker]],br_er_high[[#All],[LYXF]])</f>
        <v>6.6463931867440929E-2</v>
      </c>
      <c r="G28" cm="1">
        <f t="array" ref="G28">_xlfn.XLOOKUP(_xlfn.XLOOKUP(returns_long_high[[#This Row],[Year]],helper_ya[[#All],[Year]],helper_ya[[#All],[Category]]),br_er_high[[#All],[Ticker]],br_er_high[[#All],[SXR4]])</f>
        <v>8.9872524323030722E-2</v>
      </c>
      <c r="I28" cm="1">
        <f t="array" ref="I28">_xlfn.XLOOKUP(_xlfn.XLOOKUP(returns_long_high[[#This Row],[Year]],helper_ya[[#All],[Year]],helper_ya[[#All],[Category]]),br_er_high[[#All],[Ticker]],br_er_high[[#All],[SYBB]])</f>
        <v>4.0904450577630813E-2</v>
      </c>
      <c r="J28" cm="1">
        <f t="array" ref="J28">_xlfn.XLOOKUP(_xlfn.XLOOKUP(returns_long_high[[#This Row],[Year]],helper_ya[[#All],[Year]],helper_ya[[#All],[Category]]),br_er_high[[#All],[Ticker]],br_er_high[[#All],[SYBC]])</f>
        <v>4.3239838788859952E-2</v>
      </c>
    </row>
    <row r="29" spans="1:10" x14ac:dyDescent="0.25">
      <c r="A29">
        <v>2062</v>
      </c>
      <c r="B29" cm="1">
        <f t="array" ref="B29">_xlfn.XLOOKUP(_xlfn.XLOOKUP(returns_long_high[[#This Row],[Year]],helper_ya[[#All],[Year]],helper_ya[[#All],[Category]]),br_er_high[[#All],[Ticker]],br_er_high[[#All],[EUNK]])</f>
        <v>0.11425011201176979</v>
      </c>
      <c r="D29" cm="1">
        <f t="array" ref="D29">_xlfn.XLOOKUP(_xlfn.XLOOKUP(returns_long_high[[#This Row],[Year]],helper_ya[[#All],[Year]],helper_ya[[#All],[Category]]),br_er_high[[#All],[Ticker]],br_er_high[[#All],[IUSN]])</f>
        <v>9.1772125611129685E-2</v>
      </c>
      <c r="E29" cm="1">
        <f t="array" ref="E29">_xlfn.XLOOKUP(_xlfn.XLOOKUP(returns_long_high[[#This Row],[Year]],helper_ya[[#All],[Year]],helper_ya[[#All],[Category]]),br_er_high[[#All],[Ticker]],br_er_high[[#All],[JGHY]])</f>
        <v>5.8216117989774878E-2</v>
      </c>
      <c r="F29" cm="1">
        <f t="array" ref="F29">_xlfn.XLOOKUP(_xlfn.XLOOKUP(returns_long_high[[#This Row],[Year]],helper_ya[[#All],[Year]],helper_ya[[#All],[Category]]),br_er_high[[#All],[Ticker]],br_er_high[[#All],[LYXF]])</f>
        <v>6.6463931867440929E-2</v>
      </c>
      <c r="G29" cm="1">
        <f t="array" ref="G29">_xlfn.XLOOKUP(_xlfn.XLOOKUP(returns_long_high[[#This Row],[Year]],helper_ya[[#All],[Year]],helper_ya[[#All],[Category]]),br_er_high[[#All],[Ticker]],br_er_high[[#All],[SXR4]])</f>
        <v>8.9872524323030722E-2</v>
      </c>
      <c r="I29" cm="1">
        <f t="array" ref="I29">_xlfn.XLOOKUP(_xlfn.XLOOKUP(returns_long_high[[#This Row],[Year]],helper_ya[[#All],[Year]],helper_ya[[#All],[Category]]),br_er_high[[#All],[Ticker]],br_er_high[[#All],[SYBB]])</f>
        <v>4.0904450577630813E-2</v>
      </c>
      <c r="J29" cm="1">
        <f t="array" ref="J29">_xlfn.XLOOKUP(_xlfn.XLOOKUP(returns_long_high[[#This Row],[Year]],helper_ya[[#All],[Year]],helper_ya[[#All],[Category]]),br_er_high[[#All],[Ticker]],br_er_high[[#All],[SYBC]])</f>
        <v>4.3239838788859952E-2</v>
      </c>
    </row>
    <row r="30" spans="1:10" x14ac:dyDescent="0.25">
      <c r="A30">
        <v>2063</v>
      </c>
      <c r="B30" cm="1">
        <f t="array" ref="B30">_xlfn.XLOOKUP(_xlfn.XLOOKUP(returns_long_high[[#This Row],[Year]],helper_ya[[#All],[Year]],helper_ya[[#All],[Category]]),br_er_high[[#All],[Ticker]],br_er_high[[#All],[EUNK]])</f>
        <v>0.11425011201176979</v>
      </c>
      <c r="D30" cm="1">
        <f t="array" ref="D30">_xlfn.XLOOKUP(_xlfn.XLOOKUP(returns_long_high[[#This Row],[Year]],helper_ya[[#All],[Year]],helper_ya[[#All],[Category]]),br_er_high[[#All],[Ticker]],br_er_high[[#All],[IUSN]])</f>
        <v>9.1772125611129685E-2</v>
      </c>
      <c r="E30" cm="1">
        <f t="array" ref="E30">_xlfn.XLOOKUP(_xlfn.XLOOKUP(returns_long_high[[#This Row],[Year]],helper_ya[[#All],[Year]],helper_ya[[#All],[Category]]),br_er_high[[#All],[Ticker]],br_er_high[[#All],[JGHY]])</f>
        <v>5.8216117989774878E-2</v>
      </c>
      <c r="F30" cm="1">
        <f t="array" ref="F30">_xlfn.XLOOKUP(_xlfn.XLOOKUP(returns_long_high[[#This Row],[Year]],helper_ya[[#All],[Year]],helper_ya[[#All],[Category]]),br_er_high[[#All],[Ticker]],br_er_high[[#All],[LYXF]])</f>
        <v>6.6463931867440929E-2</v>
      </c>
      <c r="G30" cm="1">
        <f t="array" ref="G30">_xlfn.XLOOKUP(_xlfn.XLOOKUP(returns_long_high[[#This Row],[Year]],helper_ya[[#All],[Year]],helper_ya[[#All],[Category]]),br_er_high[[#All],[Ticker]],br_er_high[[#All],[SXR4]])</f>
        <v>8.9872524323030722E-2</v>
      </c>
      <c r="I30" cm="1">
        <f t="array" ref="I30">_xlfn.XLOOKUP(_xlfn.XLOOKUP(returns_long_high[[#This Row],[Year]],helper_ya[[#All],[Year]],helper_ya[[#All],[Category]]),br_er_high[[#All],[Ticker]],br_er_high[[#All],[SYBB]])</f>
        <v>4.0904450577630813E-2</v>
      </c>
      <c r="J30" cm="1">
        <f t="array" ref="J30">_xlfn.XLOOKUP(_xlfn.XLOOKUP(returns_long_high[[#This Row],[Year]],helper_ya[[#All],[Year]],helper_ya[[#All],[Category]]),br_er_high[[#All],[Ticker]],br_er_high[[#All],[SYBC]])</f>
        <v>4.3239838788859952E-2</v>
      </c>
    </row>
    <row r="31" spans="1:10" x14ac:dyDescent="0.25">
      <c r="A31">
        <v>2064</v>
      </c>
      <c r="B31" cm="1">
        <f t="array" ref="B31">_xlfn.XLOOKUP(_xlfn.XLOOKUP(returns_long_high[[#This Row],[Year]],helper_ya[[#All],[Year]],helper_ya[[#All],[Category]]),br_er_high[[#All],[Ticker]],br_er_high[[#All],[EUNK]])</f>
        <v>0.11425011201176979</v>
      </c>
      <c r="D31" cm="1">
        <f t="array" ref="D31">_xlfn.XLOOKUP(_xlfn.XLOOKUP(returns_long_high[[#This Row],[Year]],helper_ya[[#All],[Year]],helper_ya[[#All],[Category]]),br_er_high[[#All],[Ticker]],br_er_high[[#All],[IUSN]])</f>
        <v>9.1772125611129685E-2</v>
      </c>
      <c r="E31" cm="1">
        <f t="array" ref="E31">_xlfn.XLOOKUP(_xlfn.XLOOKUP(returns_long_high[[#This Row],[Year]],helper_ya[[#All],[Year]],helper_ya[[#All],[Category]]),br_er_high[[#All],[Ticker]],br_er_high[[#All],[JGHY]])</f>
        <v>5.8216117989774878E-2</v>
      </c>
      <c r="F31" cm="1">
        <f t="array" ref="F31">_xlfn.XLOOKUP(_xlfn.XLOOKUP(returns_long_high[[#This Row],[Year]],helper_ya[[#All],[Year]],helper_ya[[#All],[Category]]),br_er_high[[#All],[Ticker]],br_er_high[[#All],[LYXF]])</f>
        <v>6.6463931867440929E-2</v>
      </c>
      <c r="G31" cm="1">
        <f t="array" ref="G31">_xlfn.XLOOKUP(_xlfn.XLOOKUP(returns_long_high[[#This Row],[Year]],helper_ya[[#All],[Year]],helper_ya[[#All],[Category]]),br_er_high[[#All],[Ticker]],br_er_high[[#All],[SXR4]])</f>
        <v>8.9872524323030722E-2</v>
      </c>
      <c r="I31" cm="1">
        <f t="array" ref="I31">_xlfn.XLOOKUP(_xlfn.XLOOKUP(returns_long_high[[#This Row],[Year]],helper_ya[[#All],[Year]],helper_ya[[#All],[Category]]),br_er_high[[#All],[Ticker]],br_er_high[[#All],[SYBB]])</f>
        <v>4.0904450577630813E-2</v>
      </c>
      <c r="J31" cm="1">
        <f t="array" ref="J31">_xlfn.XLOOKUP(_xlfn.XLOOKUP(returns_long_high[[#This Row],[Year]],helper_ya[[#All],[Year]],helper_ya[[#All],[Category]]),br_er_high[[#All],[Ticker]],br_er_high[[#All],[SYBC]])</f>
        <v>4.3239838788859952E-2</v>
      </c>
    </row>
    <row r="32" spans="1:10" x14ac:dyDescent="0.25">
      <c r="A32">
        <v>2065</v>
      </c>
      <c r="B32" cm="1">
        <f t="array" ref="B32">_xlfn.XLOOKUP(_xlfn.XLOOKUP(returns_long_high[[#This Row],[Year]],helper_ya[[#All],[Year]],helper_ya[[#All],[Category]]),br_er_high[[#All],[Ticker]],br_er_high[[#All],[EUNK]])</f>
        <v>0.11425011201176979</v>
      </c>
      <c r="D32" cm="1">
        <f t="array" ref="D32">_xlfn.XLOOKUP(_xlfn.XLOOKUP(returns_long_high[[#This Row],[Year]],helper_ya[[#All],[Year]],helper_ya[[#All],[Category]]),br_er_high[[#All],[Ticker]],br_er_high[[#All],[IUSN]])</f>
        <v>9.1772125611129685E-2</v>
      </c>
      <c r="E32" cm="1">
        <f t="array" ref="E32">_xlfn.XLOOKUP(_xlfn.XLOOKUP(returns_long_high[[#This Row],[Year]],helper_ya[[#All],[Year]],helper_ya[[#All],[Category]]),br_er_high[[#All],[Ticker]],br_er_high[[#All],[JGHY]])</f>
        <v>5.8216117989774878E-2</v>
      </c>
      <c r="F32" cm="1">
        <f t="array" ref="F32">_xlfn.XLOOKUP(_xlfn.XLOOKUP(returns_long_high[[#This Row],[Year]],helper_ya[[#All],[Year]],helper_ya[[#All],[Category]]),br_er_high[[#All],[Ticker]],br_er_high[[#All],[LYXF]])</f>
        <v>6.6463931867440929E-2</v>
      </c>
      <c r="G32" cm="1">
        <f t="array" ref="G32">_xlfn.XLOOKUP(_xlfn.XLOOKUP(returns_long_high[[#This Row],[Year]],helper_ya[[#All],[Year]],helper_ya[[#All],[Category]]),br_er_high[[#All],[Ticker]],br_er_high[[#All],[SXR4]])</f>
        <v>8.9872524323030722E-2</v>
      </c>
      <c r="I32" cm="1">
        <f t="array" ref="I32">_xlfn.XLOOKUP(_xlfn.XLOOKUP(returns_long_high[[#This Row],[Year]],helper_ya[[#All],[Year]],helper_ya[[#All],[Category]]),br_er_high[[#All],[Ticker]],br_er_high[[#All],[SYBB]])</f>
        <v>4.0904450577630813E-2</v>
      </c>
      <c r="J32" cm="1">
        <f t="array" ref="J32">_xlfn.XLOOKUP(_xlfn.XLOOKUP(returns_long_high[[#This Row],[Year]],helper_ya[[#All],[Year]],helper_ya[[#All],[Category]]),br_er_high[[#All],[Ticker]],br_er_high[[#All],[SYBC]])</f>
        <v>4.3239838788859952E-2</v>
      </c>
    </row>
    <row r="33" spans="1:10" x14ac:dyDescent="0.25">
      <c r="A33">
        <v>2066</v>
      </c>
      <c r="B33" cm="1">
        <f t="array" ref="B33">_xlfn.XLOOKUP(_xlfn.XLOOKUP(returns_long_high[[#This Row],[Year]],helper_ya[[#All],[Year]],helper_ya[[#All],[Category]]),br_er_high[[#All],[Ticker]],br_er_high[[#All],[EUNK]])</f>
        <v>0.11425011201176979</v>
      </c>
      <c r="D33" cm="1">
        <f t="array" ref="D33">_xlfn.XLOOKUP(_xlfn.XLOOKUP(returns_long_high[[#This Row],[Year]],helper_ya[[#All],[Year]],helper_ya[[#All],[Category]]),br_er_high[[#All],[Ticker]],br_er_high[[#All],[IUSN]])</f>
        <v>9.1772125611129685E-2</v>
      </c>
      <c r="E33" cm="1">
        <f t="array" ref="E33">_xlfn.XLOOKUP(_xlfn.XLOOKUP(returns_long_high[[#This Row],[Year]],helper_ya[[#All],[Year]],helper_ya[[#All],[Category]]),br_er_high[[#All],[Ticker]],br_er_high[[#All],[JGHY]])</f>
        <v>5.8216117989774878E-2</v>
      </c>
      <c r="F33" cm="1">
        <f t="array" ref="F33">_xlfn.XLOOKUP(_xlfn.XLOOKUP(returns_long_high[[#This Row],[Year]],helper_ya[[#All],[Year]],helper_ya[[#All],[Category]]),br_er_high[[#All],[Ticker]],br_er_high[[#All],[LYXF]])</f>
        <v>6.6463931867440929E-2</v>
      </c>
      <c r="G33" cm="1">
        <f t="array" ref="G33">_xlfn.XLOOKUP(_xlfn.XLOOKUP(returns_long_high[[#This Row],[Year]],helper_ya[[#All],[Year]],helper_ya[[#All],[Category]]),br_er_high[[#All],[Ticker]],br_er_high[[#All],[SXR4]])</f>
        <v>8.9872524323030722E-2</v>
      </c>
      <c r="I33" cm="1">
        <f t="array" ref="I33">_xlfn.XLOOKUP(_xlfn.XLOOKUP(returns_long_high[[#This Row],[Year]],helper_ya[[#All],[Year]],helper_ya[[#All],[Category]]),br_er_high[[#All],[Ticker]],br_er_high[[#All],[SYBB]])</f>
        <v>4.0904450577630813E-2</v>
      </c>
      <c r="J33" cm="1">
        <f t="array" ref="J33">_xlfn.XLOOKUP(_xlfn.XLOOKUP(returns_long_high[[#This Row],[Year]],helper_ya[[#All],[Year]],helper_ya[[#All],[Category]]),br_er_high[[#All],[Ticker]],br_er_high[[#All],[SYBC]])</f>
        <v>4.3239838788859952E-2</v>
      </c>
    </row>
    <row r="34" spans="1:10" x14ac:dyDescent="0.25">
      <c r="A34">
        <v>2067</v>
      </c>
      <c r="B34" cm="1">
        <f t="array" ref="B34">_xlfn.XLOOKUP(_xlfn.XLOOKUP(returns_long_high[[#This Row],[Year]],helper_ya[[#All],[Year]],helper_ya[[#All],[Category]]),br_er_high[[#All],[Ticker]],br_er_high[[#All],[EUNK]])</f>
        <v>0.11425011201176979</v>
      </c>
      <c r="D34" cm="1">
        <f t="array" ref="D34">_xlfn.XLOOKUP(_xlfn.XLOOKUP(returns_long_high[[#This Row],[Year]],helper_ya[[#All],[Year]],helper_ya[[#All],[Category]]),br_er_high[[#All],[Ticker]],br_er_high[[#All],[IUSN]])</f>
        <v>9.1772125611129685E-2</v>
      </c>
      <c r="E34" cm="1">
        <f t="array" ref="E34">_xlfn.XLOOKUP(_xlfn.XLOOKUP(returns_long_high[[#This Row],[Year]],helper_ya[[#All],[Year]],helper_ya[[#All],[Category]]),br_er_high[[#All],[Ticker]],br_er_high[[#All],[JGHY]])</f>
        <v>5.8216117989774878E-2</v>
      </c>
      <c r="F34" cm="1">
        <f t="array" ref="F34">_xlfn.XLOOKUP(_xlfn.XLOOKUP(returns_long_high[[#This Row],[Year]],helper_ya[[#All],[Year]],helper_ya[[#All],[Category]]),br_er_high[[#All],[Ticker]],br_er_high[[#All],[LYXF]])</f>
        <v>6.6463931867440929E-2</v>
      </c>
      <c r="G34" cm="1">
        <f t="array" ref="G34">_xlfn.XLOOKUP(_xlfn.XLOOKUP(returns_long_high[[#This Row],[Year]],helper_ya[[#All],[Year]],helper_ya[[#All],[Category]]),br_er_high[[#All],[Ticker]],br_er_high[[#All],[SXR4]])</f>
        <v>8.9872524323030722E-2</v>
      </c>
      <c r="I34" cm="1">
        <f t="array" ref="I34">_xlfn.XLOOKUP(_xlfn.XLOOKUP(returns_long_high[[#This Row],[Year]],helper_ya[[#All],[Year]],helper_ya[[#All],[Category]]),br_er_high[[#All],[Ticker]],br_er_high[[#All],[SYBB]])</f>
        <v>4.0904450577630813E-2</v>
      </c>
      <c r="J34" cm="1">
        <f t="array" ref="J34">_xlfn.XLOOKUP(_xlfn.XLOOKUP(returns_long_high[[#This Row],[Year]],helper_ya[[#All],[Year]],helper_ya[[#All],[Category]]),br_er_high[[#All],[Ticker]],br_er_high[[#All],[SYBC]])</f>
        <v>4.3239838788859952E-2</v>
      </c>
    </row>
    <row r="35" spans="1:10" x14ac:dyDescent="0.25">
      <c r="A35">
        <v>2068</v>
      </c>
      <c r="B35" cm="1">
        <f t="array" ref="B35">_xlfn.XLOOKUP(_xlfn.XLOOKUP(returns_long_high[[#This Row],[Year]],helper_ya[[#All],[Year]],helper_ya[[#All],[Category]]),br_er_high[[#All],[Ticker]],br_er_high[[#All],[EUNK]])</f>
        <v>0.11425011201176979</v>
      </c>
      <c r="D35" cm="1">
        <f t="array" ref="D35">_xlfn.XLOOKUP(_xlfn.XLOOKUP(returns_long_high[[#This Row],[Year]],helper_ya[[#All],[Year]],helper_ya[[#All],[Category]]),br_er_high[[#All],[Ticker]],br_er_high[[#All],[IUSN]])</f>
        <v>9.1772125611129685E-2</v>
      </c>
      <c r="E35" cm="1">
        <f t="array" ref="E35">_xlfn.XLOOKUP(_xlfn.XLOOKUP(returns_long_high[[#This Row],[Year]],helper_ya[[#All],[Year]],helper_ya[[#All],[Category]]),br_er_high[[#All],[Ticker]],br_er_high[[#All],[JGHY]])</f>
        <v>5.8216117989774878E-2</v>
      </c>
      <c r="F35" cm="1">
        <f t="array" ref="F35">_xlfn.XLOOKUP(_xlfn.XLOOKUP(returns_long_high[[#This Row],[Year]],helper_ya[[#All],[Year]],helper_ya[[#All],[Category]]),br_er_high[[#All],[Ticker]],br_er_high[[#All],[LYXF]])</f>
        <v>6.6463931867440929E-2</v>
      </c>
      <c r="G35" cm="1">
        <f t="array" ref="G35">_xlfn.XLOOKUP(_xlfn.XLOOKUP(returns_long_high[[#This Row],[Year]],helper_ya[[#All],[Year]],helper_ya[[#All],[Category]]),br_er_high[[#All],[Ticker]],br_er_high[[#All],[SXR4]])</f>
        <v>8.9872524323030722E-2</v>
      </c>
      <c r="I35" cm="1">
        <f t="array" ref="I35">_xlfn.XLOOKUP(_xlfn.XLOOKUP(returns_long_high[[#This Row],[Year]],helper_ya[[#All],[Year]],helper_ya[[#All],[Category]]),br_er_high[[#All],[Ticker]],br_er_high[[#All],[SYBB]])</f>
        <v>4.0904450577630813E-2</v>
      </c>
      <c r="J35" cm="1">
        <f t="array" ref="J35">_xlfn.XLOOKUP(_xlfn.XLOOKUP(returns_long_high[[#This Row],[Year]],helper_ya[[#All],[Year]],helper_ya[[#All],[Category]]),br_er_high[[#All],[Ticker]],br_er_high[[#All],[SYBC]])</f>
        <v>4.3239838788859952E-2</v>
      </c>
    </row>
    <row r="36" spans="1:10" x14ac:dyDescent="0.25">
      <c r="A36">
        <v>2069</v>
      </c>
      <c r="B36" cm="1">
        <f t="array" ref="B36">_xlfn.XLOOKUP(_xlfn.XLOOKUP(returns_long_high[[#This Row],[Year]],helper_ya[[#All],[Year]],helper_ya[[#All],[Category]]),br_er_high[[#All],[Ticker]],br_er_high[[#All],[EUNK]])</f>
        <v>0.11425011201176979</v>
      </c>
      <c r="D36" cm="1">
        <f t="array" ref="D36">_xlfn.XLOOKUP(_xlfn.XLOOKUP(returns_long_high[[#This Row],[Year]],helper_ya[[#All],[Year]],helper_ya[[#All],[Category]]),br_er_high[[#All],[Ticker]],br_er_high[[#All],[IUSN]])</f>
        <v>9.1772125611129685E-2</v>
      </c>
      <c r="E36" cm="1">
        <f t="array" ref="E36">_xlfn.XLOOKUP(_xlfn.XLOOKUP(returns_long_high[[#This Row],[Year]],helper_ya[[#All],[Year]],helper_ya[[#All],[Category]]),br_er_high[[#All],[Ticker]],br_er_high[[#All],[JGHY]])</f>
        <v>5.8216117989774878E-2</v>
      </c>
      <c r="F36" cm="1">
        <f t="array" ref="F36">_xlfn.XLOOKUP(_xlfn.XLOOKUP(returns_long_high[[#This Row],[Year]],helper_ya[[#All],[Year]],helper_ya[[#All],[Category]]),br_er_high[[#All],[Ticker]],br_er_high[[#All],[LYXF]])</f>
        <v>6.6463931867440929E-2</v>
      </c>
      <c r="G36" cm="1">
        <f t="array" ref="G36">_xlfn.XLOOKUP(_xlfn.XLOOKUP(returns_long_high[[#This Row],[Year]],helper_ya[[#All],[Year]],helper_ya[[#All],[Category]]),br_er_high[[#All],[Ticker]],br_er_high[[#All],[SXR4]])</f>
        <v>8.9872524323030722E-2</v>
      </c>
      <c r="I36" cm="1">
        <f t="array" ref="I36">_xlfn.XLOOKUP(_xlfn.XLOOKUP(returns_long_high[[#This Row],[Year]],helper_ya[[#All],[Year]],helper_ya[[#All],[Category]]),br_er_high[[#All],[Ticker]],br_er_high[[#All],[SYBB]])</f>
        <v>4.0904450577630813E-2</v>
      </c>
      <c r="J36" cm="1">
        <f t="array" ref="J36">_xlfn.XLOOKUP(_xlfn.XLOOKUP(returns_long_high[[#This Row],[Year]],helper_ya[[#All],[Year]],helper_ya[[#All],[Category]]),br_er_high[[#All],[Ticker]],br_er_high[[#All],[SYBC]])</f>
        <v>4.3239838788859952E-2</v>
      </c>
    </row>
    <row r="37" spans="1:10" x14ac:dyDescent="0.25">
      <c r="A37">
        <v>2070</v>
      </c>
      <c r="B37" cm="1">
        <f t="array" ref="B37">_xlfn.XLOOKUP(_xlfn.XLOOKUP(returns_long_high[[#This Row],[Year]],helper_ya[[#All],[Year]],helper_ya[[#All],[Category]]),br_er_high[[#All],[Ticker]],br_er_high[[#All],[EUNK]])</f>
        <v>0.11425011201176979</v>
      </c>
      <c r="D37" cm="1">
        <f t="array" ref="D37">_xlfn.XLOOKUP(_xlfn.XLOOKUP(returns_long_high[[#This Row],[Year]],helper_ya[[#All],[Year]],helper_ya[[#All],[Category]]),br_er_high[[#All],[Ticker]],br_er_high[[#All],[IUSN]])</f>
        <v>9.1772125611129685E-2</v>
      </c>
      <c r="E37" cm="1">
        <f t="array" ref="E37">_xlfn.XLOOKUP(_xlfn.XLOOKUP(returns_long_high[[#This Row],[Year]],helper_ya[[#All],[Year]],helper_ya[[#All],[Category]]),br_er_high[[#All],[Ticker]],br_er_high[[#All],[JGHY]])</f>
        <v>5.8216117989774878E-2</v>
      </c>
      <c r="F37" cm="1">
        <f t="array" ref="F37">_xlfn.XLOOKUP(_xlfn.XLOOKUP(returns_long_high[[#This Row],[Year]],helper_ya[[#All],[Year]],helper_ya[[#All],[Category]]),br_er_high[[#All],[Ticker]],br_er_high[[#All],[LYXF]])</f>
        <v>6.6463931867440929E-2</v>
      </c>
      <c r="G37" cm="1">
        <f t="array" ref="G37">_xlfn.XLOOKUP(_xlfn.XLOOKUP(returns_long_high[[#This Row],[Year]],helper_ya[[#All],[Year]],helper_ya[[#All],[Category]]),br_er_high[[#All],[Ticker]],br_er_high[[#All],[SXR4]])</f>
        <v>8.9872524323030722E-2</v>
      </c>
      <c r="I37" cm="1">
        <f t="array" ref="I37">_xlfn.XLOOKUP(_xlfn.XLOOKUP(returns_long_high[[#This Row],[Year]],helper_ya[[#All],[Year]],helper_ya[[#All],[Category]]),br_er_high[[#All],[Ticker]],br_er_high[[#All],[SYBB]])</f>
        <v>4.0904450577630813E-2</v>
      </c>
      <c r="J37" cm="1">
        <f t="array" ref="J37">_xlfn.XLOOKUP(_xlfn.XLOOKUP(returns_long_high[[#This Row],[Year]],helper_ya[[#All],[Year]],helper_ya[[#All],[Category]]),br_er_high[[#All],[Ticker]],br_er_high[[#All],[SYBC]])</f>
        <v>4.3239838788859952E-2</v>
      </c>
    </row>
    <row r="38" spans="1:10" x14ac:dyDescent="0.25">
      <c r="A38">
        <v>2071</v>
      </c>
      <c r="B38" cm="1">
        <f t="array" ref="B38">_xlfn.XLOOKUP(_xlfn.XLOOKUP(returns_long_high[[#This Row],[Year]],helper_ya[[#All],[Year]],helper_ya[[#All],[Category]]),br_er_high[[#All],[Ticker]],br_er_high[[#All],[EUNK]])</f>
        <v>0.11425011201176979</v>
      </c>
      <c r="D38" cm="1">
        <f t="array" ref="D38">_xlfn.XLOOKUP(_xlfn.XLOOKUP(returns_long_high[[#This Row],[Year]],helper_ya[[#All],[Year]],helper_ya[[#All],[Category]]),br_er_high[[#All],[Ticker]],br_er_high[[#All],[IUSN]])</f>
        <v>9.1772125611129685E-2</v>
      </c>
      <c r="E38" cm="1">
        <f t="array" ref="E38">_xlfn.XLOOKUP(_xlfn.XLOOKUP(returns_long_high[[#This Row],[Year]],helper_ya[[#All],[Year]],helper_ya[[#All],[Category]]),br_er_high[[#All],[Ticker]],br_er_high[[#All],[JGHY]])</f>
        <v>5.8216117989774878E-2</v>
      </c>
      <c r="F38" cm="1">
        <f t="array" ref="F38">_xlfn.XLOOKUP(_xlfn.XLOOKUP(returns_long_high[[#This Row],[Year]],helper_ya[[#All],[Year]],helper_ya[[#All],[Category]]),br_er_high[[#All],[Ticker]],br_er_high[[#All],[LYXF]])</f>
        <v>6.6463931867440929E-2</v>
      </c>
      <c r="G38" cm="1">
        <f t="array" ref="G38">_xlfn.XLOOKUP(_xlfn.XLOOKUP(returns_long_high[[#This Row],[Year]],helper_ya[[#All],[Year]],helper_ya[[#All],[Category]]),br_er_high[[#All],[Ticker]],br_er_high[[#All],[SXR4]])</f>
        <v>8.9872524323030722E-2</v>
      </c>
      <c r="I38" cm="1">
        <f t="array" ref="I38">_xlfn.XLOOKUP(_xlfn.XLOOKUP(returns_long_high[[#This Row],[Year]],helper_ya[[#All],[Year]],helper_ya[[#All],[Category]]),br_er_high[[#All],[Ticker]],br_er_high[[#All],[SYBB]])</f>
        <v>4.0904450577630813E-2</v>
      </c>
      <c r="J38" cm="1">
        <f t="array" ref="J38">_xlfn.XLOOKUP(_xlfn.XLOOKUP(returns_long_high[[#This Row],[Year]],helper_ya[[#All],[Year]],helper_ya[[#All],[Category]]),br_er_high[[#All],[Ticker]],br_er_high[[#All],[SYBC]])</f>
        <v>4.3239838788859952E-2</v>
      </c>
    </row>
    <row r="39" spans="1:10" x14ac:dyDescent="0.25">
      <c r="A39">
        <v>2072</v>
      </c>
      <c r="B39" cm="1">
        <f t="array" ref="B39">_xlfn.XLOOKUP(_xlfn.XLOOKUP(returns_long_high[[#This Row],[Year]],helper_ya[[#All],[Year]],helper_ya[[#All],[Category]]),br_er_high[[#All],[Ticker]],br_er_high[[#All],[EUNK]])</f>
        <v>0.11425011201176979</v>
      </c>
      <c r="D39" cm="1">
        <f t="array" ref="D39">_xlfn.XLOOKUP(_xlfn.XLOOKUP(returns_long_high[[#This Row],[Year]],helper_ya[[#All],[Year]],helper_ya[[#All],[Category]]),br_er_high[[#All],[Ticker]],br_er_high[[#All],[IUSN]])</f>
        <v>9.1772125611129685E-2</v>
      </c>
      <c r="E39" cm="1">
        <f t="array" ref="E39">_xlfn.XLOOKUP(_xlfn.XLOOKUP(returns_long_high[[#This Row],[Year]],helper_ya[[#All],[Year]],helper_ya[[#All],[Category]]),br_er_high[[#All],[Ticker]],br_er_high[[#All],[JGHY]])</f>
        <v>5.8216117989774878E-2</v>
      </c>
      <c r="F39" cm="1">
        <f t="array" ref="F39">_xlfn.XLOOKUP(_xlfn.XLOOKUP(returns_long_high[[#This Row],[Year]],helper_ya[[#All],[Year]],helper_ya[[#All],[Category]]),br_er_high[[#All],[Ticker]],br_er_high[[#All],[LYXF]])</f>
        <v>6.6463931867440929E-2</v>
      </c>
      <c r="G39" cm="1">
        <f t="array" ref="G39">_xlfn.XLOOKUP(_xlfn.XLOOKUP(returns_long_high[[#This Row],[Year]],helper_ya[[#All],[Year]],helper_ya[[#All],[Category]]),br_er_high[[#All],[Ticker]],br_er_high[[#All],[SXR4]])</f>
        <v>8.9872524323030722E-2</v>
      </c>
      <c r="I39" cm="1">
        <f t="array" ref="I39">_xlfn.XLOOKUP(_xlfn.XLOOKUP(returns_long_high[[#This Row],[Year]],helper_ya[[#All],[Year]],helper_ya[[#All],[Category]]),br_er_high[[#All],[Ticker]],br_er_high[[#All],[SYBB]])</f>
        <v>4.0904450577630813E-2</v>
      </c>
      <c r="J39" cm="1">
        <f t="array" ref="J39">_xlfn.XLOOKUP(_xlfn.XLOOKUP(returns_long_high[[#This Row],[Year]],helper_ya[[#All],[Year]],helper_ya[[#All],[Category]]),br_er_high[[#All],[Ticker]],br_er_high[[#All],[SYBC]])</f>
        <v>4.3239838788859952E-2</v>
      </c>
    </row>
    <row r="40" spans="1:10" x14ac:dyDescent="0.25">
      <c r="A40">
        <v>2073</v>
      </c>
      <c r="B40" cm="1">
        <f t="array" ref="B40">_xlfn.XLOOKUP(_xlfn.XLOOKUP(returns_long_high[[#This Row],[Year]],helper_ya[[#All],[Year]],helper_ya[[#All],[Category]]),br_er_high[[#All],[Ticker]],br_er_high[[#All],[EUNK]])</f>
        <v>0.11425011201176979</v>
      </c>
      <c r="D40" cm="1">
        <f t="array" ref="D40">_xlfn.XLOOKUP(_xlfn.XLOOKUP(returns_long_high[[#This Row],[Year]],helper_ya[[#All],[Year]],helper_ya[[#All],[Category]]),br_er_high[[#All],[Ticker]],br_er_high[[#All],[IUSN]])</f>
        <v>9.1772125611129685E-2</v>
      </c>
      <c r="E40" cm="1">
        <f t="array" ref="E40">_xlfn.XLOOKUP(_xlfn.XLOOKUP(returns_long_high[[#This Row],[Year]],helper_ya[[#All],[Year]],helper_ya[[#All],[Category]]),br_er_high[[#All],[Ticker]],br_er_high[[#All],[JGHY]])</f>
        <v>5.8216117989774878E-2</v>
      </c>
      <c r="F40" cm="1">
        <f t="array" ref="F40">_xlfn.XLOOKUP(_xlfn.XLOOKUP(returns_long_high[[#This Row],[Year]],helper_ya[[#All],[Year]],helper_ya[[#All],[Category]]),br_er_high[[#All],[Ticker]],br_er_high[[#All],[LYXF]])</f>
        <v>6.6463931867440929E-2</v>
      </c>
      <c r="G40" cm="1">
        <f t="array" ref="G40">_xlfn.XLOOKUP(_xlfn.XLOOKUP(returns_long_high[[#This Row],[Year]],helper_ya[[#All],[Year]],helper_ya[[#All],[Category]]),br_er_high[[#All],[Ticker]],br_er_high[[#All],[SXR4]])</f>
        <v>8.9872524323030722E-2</v>
      </c>
      <c r="I40" cm="1">
        <f t="array" ref="I40">_xlfn.XLOOKUP(_xlfn.XLOOKUP(returns_long_high[[#This Row],[Year]],helper_ya[[#All],[Year]],helper_ya[[#All],[Category]]),br_er_high[[#All],[Ticker]],br_er_high[[#All],[SYBB]])</f>
        <v>4.0904450577630813E-2</v>
      </c>
      <c r="J40" cm="1">
        <f t="array" ref="J40">_xlfn.XLOOKUP(_xlfn.XLOOKUP(returns_long_high[[#This Row],[Year]],helper_ya[[#All],[Year]],helper_ya[[#All],[Category]]),br_er_high[[#All],[Ticker]],br_er_high[[#All],[SYBC]])</f>
        <v>4.3239838788859952E-2</v>
      </c>
    </row>
    <row r="41" spans="1:10" x14ac:dyDescent="0.25">
      <c r="A41">
        <v>2074</v>
      </c>
      <c r="B41" cm="1">
        <f t="array" ref="B41">_xlfn.XLOOKUP(_xlfn.XLOOKUP(returns_long_high[[#This Row],[Year]],helper_ya[[#All],[Year]],helper_ya[[#All],[Category]]),br_er_high[[#All],[Ticker]],br_er_high[[#All],[EUNK]])</f>
        <v>0.11425011201176979</v>
      </c>
      <c r="D41" cm="1">
        <f t="array" ref="D41">_xlfn.XLOOKUP(_xlfn.XLOOKUP(returns_long_high[[#This Row],[Year]],helper_ya[[#All],[Year]],helper_ya[[#All],[Category]]),br_er_high[[#All],[Ticker]],br_er_high[[#All],[IUSN]])</f>
        <v>9.1772125611129685E-2</v>
      </c>
      <c r="E41" cm="1">
        <f t="array" ref="E41">_xlfn.XLOOKUP(_xlfn.XLOOKUP(returns_long_high[[#This Row],[Year]],helper_ya[[#All],[Year]],helper_ya[[#All],[Category]]),br_er_high[[#All],[Ticker]],br_er_high[[#All],[JGHY]])</f>
        <v>5.8216117989774878E-2</v>
      </c>
      <c r="F41" cm="1">
        <f t="array" ref="F41">_xlfn.XLOOKUP(_xlfn.XLOOKUP(returns_long_high[[#This Row],[Year]],helper_ya[[#All],[Year]],helper_ya[[#All],[Category]]),br_er_high[[#All],[Ticker]],br_er_high[[#All],[LYXF]])</f>
        <v>6.6463931867440929E-2</v>
      </c>
      <c r="G41" cm="1">
        <f t="array" ref="G41">_xlfn.XLOOKUP(_xlfn.XLOOKUP(returns_long_high[[#This Row],[Year]],helper_ya[[#All],[Year]],helper_ya[[#All],[Category]]),br_er_high[[#All],[Ticker]],br_er_high[[#All],[SXR4]])</f>
        <v>8.9872524323030722E-2</v>
      </c>
      <c r="I41" cm="1">
        <f t="array" ref="I41">_xlfn.XLOOKUP(_xlfn.XLOOKUP(returns_long_high[[#This Row],[Year]],helper_ya[[#All],[Year]],helper_ya[[#All],[Category]]),br_er_high[[#All],[Ticker]],br_er_high[[#All],[SYBB]])</f>
        <v>4.0904450577630813E-2</v>
      </c>
      <c r="J41" cm="1">
        <f t="array" ref="J41">_xlfn.XLOOKUP(_xlfn.XLOOKUP(returns_long_high[[#This Row],[Year]],helper_ya[[#All],[Year]],helper_ya[[#All],[Category]]),br_er_high[[#All],[Ticker]],br_er_high[[#All],[SYBC]])</f>
        <v>4.3239838788859952E-2</v>
      </c>
    </row>
    <row r="42" spans="1:10" x14ac:dyDescent="0.25">
      <c r="A42">
        <v>2075</v>
      </c>
      <c r="B42" cm="1">
        <f t="array" ref="B42">_xlfn.XLOOKUP(_xlfn.XLOOKUP(returns_long_high[[#This Row],[Year]],helper_ya[[#All],[Year]],helper_ya[[#All],[Category]]),br_er_high[[#All],[Ticker]],br_er_high[[#All],[EUNK]])</f>
        <v>0.11425011201176979</v>
      </c>
      <c r="D42" cm="1">
        <f t="array" ref="D42">_xlfn.XLOOKUP(_xlfn.XLOOKUP(returns_long_high[[#This Row],[Year]],helper_ya[[#All],[Year]],helper_ya[[#All],[Category]]),br_er_high[[#All],[Ticker]],br_er_high[[#All],[IUSN]])</f>
        <v>9.1772125611129685E-2</v>
      </c>
      <c r="E42" cm="1">
        <f t="array" ref="E42">_xlfn.XLOOKUP(_xlfn.XLOOKUP(returns_long_high[[#This Row],[Year]],helper_ya[[#All],[Year]],helper_ya[[#All],[Category]]),br_er_high[[#All],[Ticker]],br_er_high[[#All],[JGHY]])</f>
        <v>5.8216117989774878E-2</v>
      </c>
      <c r="F42" cm="1">
        <f t="array" ref="F42">_xlfn.XLOOKUP(_xlfn.XLOOKUP(returns_long_high[[#This Row],[Year]],helper_ya[[#All],[Year]],helper_ya[[#All],[Category]]),br_er_high[[#All],[Ticker]],br_er_high[[#All],[LYXF]])</f>
        <v>6.6463931867440929E-2</v>
      </c>
      <c r="G42" cm="1">
        <f t="array" ref="G42">_xlfn.XLOOKUP(_xlfn.XLOOKUP(returns_long_high[[#This Row],[Year]],helper_ya[[#All],[Year]],helper_ya[[#All],[Category]]),br_er_high[[#All],[Ticker]],br_er_high[[#All],[SXR4]])</f>
        <v>8.9872524323030722E-2</v>
      </c>
      <c r="I42" cm="1">
        <f t="array" ref="I42">_xlfn.XLOOKUP(_xlfn.XLOOKUP(returns_long_high[[#This Row],[Year]],helper_ya[[#All],[Year]],helper_ya[[#All],[Category]]),br_er_high[[#All],[Ticker]],br_er_high[[#All],[SYBB]])</f>
        <v>4.0904450577630813E-2</v>
      </c>
      <c r="J42" cm="1">
        <f t="array" ref="J42">_xlfn.XLOOKUP(_xlfn.XLOOKUP(returns_long_high[[#This Row],[Year]],helper_ya[[#All],[Year]],helper_ya[[#All],[Category]]),br_er_high[[#All],[Ticker]],br_er_high[[#All],[SYBC]])</f>
        <v>4.3239838788859952E-2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56375-0025-473B-96DA-E313CA3AB030}">
  <dimension ref="A1:H116"/>
  <sheetViews>
    <sheetView zoomScaleNormal="100" workbookViewId="0">
      <selection activeCell="A74" sqref="A74"/>
    </sheetView>
  </sheetViews>
  <sheetFormatPr defaultColWidth="8.7109375" defaultRowHeight="15" x14ac:dyDescent="0.25"/>
  <cols>
    <col min="1" max="1" width="47" bestFit="1" customWidth="1"/>
    <col min="2" max="2" width="10.5703125" customWidth="1"/>
    <col min="3" max="3" width="20.85546875" customWidth="1"/>
    <col min="4" max="4" width="12.42578125" bestFit="1" customWidth="1"/>
    <col min="5" max="7" width="9.42578125" customWidth="1"/>
    <col min="8" max="8" width="9.140625" customWidth="1"/>
    <col min="9" max="9" width="9.42578125" customWidth="1"/>
    <col min="25" max="25" width="17.42578125" bestFit="1" customWidth="1"/>
    <col min="26" max="26" width="15" bestFit="1" customWidth="1"/>
    <col min="27" max="27" width="26.140625" bestFit="1" customWidth="1"/>
    <col min="29" max="29" width="46.42578125" bestFit="1" customWidth="1"/>
    <col min="30" max="30" width="50.28515625" bestFit="1" customWidth="1"/>
    <col min="31" max="31" width="45.7109375" bestFit="1" customWidth="1"/>
  </cols>
  <sheetData>
    <row r="1" spans="1:8" x14ac:dyDescent="0.25">
      <c r="A1" t="s">
        <v>89</v>
      </c>
    </row>
    <row r="2" spans="1:8" ht="13.5" customHeight="1" x14ac:dyDescent="0.25">
      <c r="A2" t="s">
        <v>91</v>
      </c>
      <c r="B2" t="s">
        <v>80</v>
      </c>
      <c r="C2" t="s">
        <v>85</v>
      </c>
      <c r="D2" t="s">
        <v>82</v>
      </c>
      <c r="E2" t="s">
        <v>88</v>
      </c>
      <c r="F2" t="s">
        <v>87</v>
      </c>
      <c r="G2" t="s">
        <v>84</v>
      </c>
      <c r="H2" t="s">
        <v>83</v>
      </c>
    </row>
    <row r="3" spans="1:8" x14ac:dyDescent="0.25">
      <c r="A3" t="s">
        <v>92</v>
      </c>
      <c r="B3">
        <v>7.6887239133733631E-2</v>
      </c>
      <c r="C3">
        <v>3.0873653316645822E-2</v>
      </c>
      <c r="D3">
        <v>4.4134793150478968E-2</v>
      </c>
      <c r="E3">
        <v>2.695865700338174E-2</v>
      </c>
      <c r="F3">
        <v>2.4281060377327801E-2</v>
      </c>
      <c r="G3">
        <v>1.1384116912661609E-2</v>
      </c>
      <c r="H3">
        <v>4.1967829321032601E-2</v>
      </c>
    </row>
    <row r="4" spans="1:8" x14ac:dyDescent="0.25">
      <c r="A4" t="s">
        <v>93</v>
      </c>
      <c r="B4">
        <v>7.6210309371822937E-2</v>
      </c>
      <c r="C4">
        <v>3.3019712881206198E-2</v>
      </c>
      <c r="D4">
        <v>4.4915007596567642E-2</v>
      </c>
      <c r="E4">
        <v>2.7243368146241179E-2</v>
      </c>
      <c r="F4">
        <v>2.4278440801529969E-2</v>
      </c>
      <c r="G4">
        <v>1.264124297779223E-2</v>
      </c>
      <c r="H4">
        <v>4.1894795286403719E-2</v>
      </c>
    </row>
    <row r="5" spans="1:8" x14ac:dyDescent="0.25">
      <c r="A5" t="s">
        <v>94</v>
      </c>
      <c r="B5">
        <v>7.4581405552304414E-2</v>
      </c>
      <c r="C5">
        <v>3.820179847444205E-2</v>
      </c>
      <c r="D5">
        <v>4.679383214666033E-2</v>
      </c>
      <c r="E5">
        <v>2.7927576278665489E-2</v>
      </c>
      <c r="F5">
        <v>2.4270784531460698E-2</v>
      </c>
      <c r="G5">
        <v>1.5671955048208511E-2</v>
      </c>
      <c r="H5">
        <v>4.1717663933219962E-2</v>
      </c>
    </row>
    <row r="6" spans="1:8" x14ac:dyDescent="0.25">
      <c r="A6" t="s">
        <v>95</v>
      </c>
      <c r="B6">
        <v>7.2275414934353188E-2</v>
      </c>
      <c r="C6">
        <v>4.5583684302457517E-2</v>
      </c>
      <c r="D6">
        <v>4.9458029305462503E-2</v>
      </c>
      <c r="E6">
        <v>2.8894698894837308E-2</v>
      </c>
      <c r="F6">
        <v>2.4257140876089659E-2</v>
      </c>
      <c r="G6">
        <v>1.997758353756152E-2</v>
      </c>
      <c r="H6">
        <v>4.1463969832174603E-2</v>
      </c>
    </row>
    <row r="7" spans="1:8" x14ac:dyDescent="0.25">
      <c r="A7" t="s">
        <v>96</v>
      </c>
      <c r="B7">
        <v>7.0709767516992317E-2</v>
      </c>
      <c r="C7">
        <v>5.0626182888258597E-2</v>
      </c>
      <c r="D7">
        <v>5.1269731788126771E-2</v>
      </c>
      <c r="E7">
        <v>2.9550264273434879E-2</v>
      </c>
      <c r="F7">
        <v>2.4245958516616369E-2</v>
      </c>
      <c r="G7">
        <v>2.2910910068764331E-2</v>
      </c>
      <c r="H7">
        <v>4.1289723440985471E-2</v>
      </c>
    </row>
    <row r="8" spans="1:8" x14ac:dyDescent="0.25">
      <c r="A8" t="s">
        <v>97</v>
      </c>
      <c r="B8">
        <v>6.9652237378861281E-2</v>
      </c>
      <c r="C8">
        <v>5.4046247795384923E-2</v>
      </c>
      <c r="D8">
        <v>5.2494763295437341E-2</v>
      </c>
      <c r="E8">
        <v>2.9992580896704309E-2</v>
      </c>
      <c r="F8">
        <v>2.4237523100187449E-2</v>
      </c>
      <c r="G8">
        <v>2.4896849264145929E-2</v>
      </c>
      <c r="H8">
        <v>4.1171107760519243E-2</v>
      </c>
    </row>
    <row r="9" spans="1:8" x14ac:dyDescent="0.25">
      <c r="A9" t="s">
        <v>98</v>
      </c>
      <c r="B9">
        <v>6.8912050001716185E-2</v>
      </c>
      <c r="C9">
        <v>5.6446985548124003E-2</v>
      </c>
      <c r="D9">
        <v>5.3352909398189707E-2</v>
      </c>
      <c r="E9">
        <v>3.030199351028862E-2</v>
      </c>
      <c r="F9">
        <v>2.4231237901194861E-2</v>
      </c>
      <c r="G9">
        <v>2.6289187805909719E-2</v>
      </c>
      <c r="H9">
        <v>4.1087683326209927E-2</v>
      </c>
    </row>
    <row r="11" spans="1:8" x14ac:dyDescent="0.25">
      <c r="A11" t="s">
        <v>106</v>
      </c>
    </row>
    <row r="12" spans="1:8" x14ac:dyDescent="0.25">
      <c r="A12" t="s">
        <v>91</v>
      </c>
      <c r="B12" t="s">
        <v>80</v>
      </c>
      <c r="C12" t="s">
        <v>85</v>
      </c>
      <c r="D12" t="s">
        <v>82</v>
      </c>
      <c r="E12" t="s">
        <v>88</v>
      </c>
      <c r="F12" t="s">
        <v>87</v>
      </c>
      <c r="G12" t="s">
        <v>84</v>
      </c>
      <c r="H12" t="s">
        <v>83</v>
      </c>
    </row>
    <row r="13" spans="1:8" x14ac:dyDescent="0.25">
      <c r="A13" t="s">
        <v>92</v>
      </c>
      <c r="B13">
        <v>2.2641337345878029E-2</v>
      </c>
      <c r="C13">
        <v>-2.8400481293647029E-2</v>
      </c>
      <c r="D13">
        <v>-1.740746141934035E-2</v>
      </c>
      <c r="E13">
        <v>1.3277735281677311E-2</v>
      </c>
      <c r="F13">
        <v>5.4168259397999741E-3</v>
      </c>
      <c r="G13">
        <v>-3.2218677633459758E-2</v>
      </c>
      <c r="H13">
        <v>1.6899036785687379E-2</v>
      </c>
    </row>
    <row r="14" spans="1:8" x14ac:dyDescent="0.25">
      <c r="A14" t="s">
        <v>93</v>
      </c>
      <c r="B14">
        <v>2.7730525598817168E-2</v>
      </c>
      <c r="C14">
        <v>-1.8792188552370189E-2</v>
      </c>
      <c r="D14">
        <v>-9.5292215627967858E-3</v>
      </c>
      <c r="E14">
        <v>1.456684700214339E-2</v>
      </c>
      <c r="F14">
        <v>7.1184244606026237E-3</v>
      </c>
      <c r="G14">
        <v>-2.7852924799786179E-2</v>
      </c>
      <c r="H14">
        <v>1.9002054768027628E-2</v>
      </c>
    </row>
    <row r="15" spans="1:8" x14ac:dyDescent="0.25">
      <c r="A15" t="s">
        <v>94</v>
      </c>
      <c r="B15">
        <v>2.6488236609083501E-2</v>
      </c>
      <c r="C15">
        <v>-6.9260345212938113E-3</v>
      </c>
      <c r="D15">
        <v>-2.4346665139195478E-3</v>
      </c>
      <c r="E15">
        <v>1.4807432922538499E-2</v>
      </c>
      <c r="F15">
        <v>6.925997467677858E-3</v>
      </c>
      <c r="G15">
        <v>-2.5698613655035559E-2</v>
      </c>
      <c r="H15">
        <v>2.064053419377743E-2</v>
      </c>
    </row>
    <row r="16" spans="1:8" x14ac:dyDescent="0.25">
      <c r="A16" t="s">
        <v>95</v>
      </c>
      <c r="B16">
        <v>2.2961633826017239E-2</v>
      </c>
      <c r="C16">
        <v>5.4101717056664889E-3</v>
      </c>
      <c r="D16">
        <v>4.0323108875586211E-3</v>
      </c>
      <c r="E16">
        <v>1.51424791602035E-2</v>
      </c>
      <c r="F16">
        <v>6.1406789420861418E-3</v>
      </c>
      <c r="G16">
        <v>-2.249616821907818E-2</v>
      </c>
      <c r="H16">
        <v>2.1703702676223461E-2</v>
      </c>
    </row>
    <row r="17" spans="1:8" x14ac:dyDescent="0.25">
      <c r="A17" t="s">
        <v>96</v>
      </c>
      <c r="B17">
        <v>2.3101219127319439E-2</v>
      </c>
      <c r="C17">
        <v>1.412804537770884E-2</v>
      </c>
      <c r="D17">
        <v>9.5483541753711432E-3</v>
      </c>
      <c r="E17">
        <v>1.5600687341913441E-2</v>
      </c>
      <c r="F17">
        <v>6.5426000318666846E-3</v>
      </c>
      <c r="G17">
        <v>-1.928536414023807E-2</v>
      </c>
      <c r="H17">
        <v>2.2572752838522669E-2</v>
      </c>
    </row>
    <row r="18" spans="1:8" x14ac:dyDescent="0.25">
      <c r="A18" t="s">
        <v>97</v>
      </c>
      <c r="B18">
        <v>2.3751373507521208E-2</v>
      </c>
      <c r="C18">
        <v>1.995075392115897E-2</v>
      </c>
      <c r="D18">
        <v>1.2540440648342919E-2</v>
      </c>
      <c r="E18">
        <v>1.6604990626092109E-2</v>
      </c>
      <c r="F18">
        <v>7.0735200072391544E-3</v>
      </c>
      <c r="G18">
        <v>-1.5493189014051389E-2</v>
      </c>
      <c r="H18">
        <v>2.3602686005482761E-2</v>
      </c>
    </row>
    <row r="19" spans="1:8" x14ac:dyDescent="0.25">
      <c r="A19" t="s">
        <v>98</v>
      </c>
      <c r="B19">
        <v>2.517913443457576E-2</v>
      </c>
      <c r="C19">
        <v>2.422390954759357E-2</v>
      </c>
      <c r="D19">
        <v>1.6553238981621199E-2</v>
      </c>
      <c r="E19">
        <v>1.7508738350035639E-2</v>
      </c>
      <c r="F19">
        <v>7.649514678177205E-3</v>
      </c>
      <c r="G19">
        <v>-1.238685360750502E-2</v>
      </c>
      <c r="H19">
        <v>2.4049386364373149E-2</v>
      </c>
    </row>
    <row r="21" spans="1:8" x14ac:dyDescent="0.25">
      <c r="A21" t="s">
        <v>107</v>
      </c>
    </row>
    <row r="22" spans="1:8" x14ac:dyDescent="0.25">
      <c r="A22" t="s">
        <v>91</v>
      </c>
      <c r="B22" t="s">
        <v>80</v>
      </c>
      <c r="C22" t="s">
        <v>85</v>
      </c>
      <c r="D22" t="s">
        <v>82</v>
      </c>
      <c r="E22" t="s">
        <v>88</v>
      </c>
      <c r="F22" t="s">
        <v>87</v>
      </c>
      <c r="G22" t="s">
        <v>84</v>
      </c>
      <c r="H22" t="s">
        <v>83</v>
      </c>
    </row>
    <row r="23" spans="1:8" x14ac:dyDescent="0.25">
      <c r="A23" t="s">
        <v>92</v>
      </c>
      <c r="B23">
        <v>0.13483048838850009</v>
      </c>
      <c r="C23">
        <v>9.3414547039320395E-2</v>
      </c>
      <c r="D23">
        <v>0.1088594908619738</v>
      </c>
      <c r="E23">
        <v>4.0859861082524603E-2</v>
      </c>
      <c r="F23">
        <v>4.3313724167847838E-2</v>
      </c>
      <c r="G23">
        <v>5.7661179738732748E-2</v>
      </c>
      <c r="H23">
        <v>6.7799810845437847E-2</v>
      </c>
    </row>
    <row r="24" spans="1:8" x14ac:dyDescent="0.25">
      <c r="A24" t="s">
        <v>93</v>
      </c>
      <c r="B24">
        <v>0.12732827792128279</v>
      </c>
      <c r="C24">
        <v>8.8520235047048423E-2</v>
      </c>
      <c r="D24">
        <v>0.10279966144311151</v>
      </c>
      <c r="E24">
        <v>4.0079232451501801E-2</v>
      </c>
      <c r="F24">
        <v>4.148579444236522E-2</v>
      </c>
      <c r="G24">
        <v>5.4818078983270853E-2</v>
      </c>
      <c r="H24">
        <v>6.4765395363481026E-2</v>
      </c>
    </row>
    <row r="25" spans="1:8" x14ac:dyDescent="0.25">
      <c r="A25" t="s">
        <v>94</v>
      </c>
      <c r="B25">
        <v>0.1241742628199196</v>
      </c>
      <c r="C25">
        <v>8.5957830101256461E-2</v>
      </c>
      <c r="D25">
        <v>9.7936808726271307E-2</v>
      </c>
      <c r="E25">
        <v>4.0924313479097751E-2</v>
      </c>
      <c r="F25">
        <v>4.1827624028377031E-2</v>
      </c>
      <c r="G25">
        <v>5.908114865595393E-2</v>
      </c>
      <c r="H25">
        <v>6.373948583519895E-2</v>
      </c>
    </row>
    <row r="26" spans="1:8" x14ac:dyDescent="0.25">
      <c r="A26" t="s">
        <v>95</v>
      </c>
      <c r="B26">
        <v>0.1231564182432154</v>
      </c>
      <c r="C26">
        <v>8.7297697996017165E-2</v>
      </c>
      <c r="D26">
        <v>9.6684421163455658E-2</v>
      </c>
      <c r="E26">
        <v>4.2942424988836818E-2</v>
      </c>
      <c r="F26">
        <v>4.2578391855768283E-2</v>
      </c>
      <c r="G26">
        <v>6.4369174508249971E-2</v>
      </c>
      <c r="H26">
        <v>6.1771536064846977E-2</v>
      </c>
    </row>
    <row r="27" spans="1:8" x14ac:dyDescent="0.25">
      <c r="A27" t="s">
        <v>96</v>
      </c>
      <c r="B27">
        <v>0.1204495271846255</v>
      </c>
      <c r="C27">
        <v>8.8919124386115822E-2</v>
      </c>
      <c r="D27">
        <v>9.5639358456830692E-2</v>
      </c>
      <c r="E27">
        <v>4.3774053276192333E-2</v>
      </c>
      <c r="F27">
        <v>4.26259842208907E-2</v>
      </c>
      <c r="G27">
        <v>6.6567164518284816E-2</v>
      </c>
      <c r="H27">
        <v>6.0502048749336401E-2</v>
      </c>
    </row>
    <row r="28" spans="1:8" x14ac:dyDescent="0.25">
      <c r="A28" t="s">
        <v>97</v>
      </c>
      <c r="B28">
        <v>0.1171920880758375</v>
      </c>
      <c r="C28">
        <v>8.9377315743293995E-2</v>
      </c>
      <c r="D28">
        <v>9.4016114071246326E-2</v>
      </c>
      <c r="E28">
        <v>4.3601266829769843E-2</v>
      </c>
      <c r="F28">
        <v>4.1909927854884232E-2</v>
      </c>
      <c r="G28">
        <v>6.7017527231149066E-2</v>
      </c>
      <c r="H28">
        <v>5.9445204575611983E-2</v>
      </c>
    </row>
    <row r="29" spans="1:8" x14ac:dyDescent="0.25">
      <c r="A29" t="s">
        <v>98</v>
      </c>
      <c r="B29">
        <v>0.11425011201176979</v>
      </c>
      <c r="C29">
        <v>8.9872524323030722E-2</v>
      </c>
      <c r="D29">
        <v>9.1772125611129685E-2</v>
      </c>
      <c r="E29">
        <v>4.3239838788859952E-2</v>
      </c>
      <c r="F29">
        <v>4.0904450577630813E-2</v>
      </c>
      <c r="G29">
        <v>6.6463931867440929E-2</v>
      </c>
      <c r="H29">
        <v>5.8216117989774878E-2</v>
      </c>
    </row>
    <row r="31" spans="1:8" x14ac:dyDescent="0.25">
      <c r="A31" t="s">
        <v>108</v>
      </c>
    </row>
    <row r="32" spans="1:8" x14ac:dyDescent="0.25">
      <c r="A32" t="s">
        <v>91</v>
      </c>
      <c r="B32" t="s">
        <v>80</v>
      </c>
      <c r="C32" t="s">
        <v>85</v>
      </c>
      <c r="D32" t="s">
        <v>82</v>
      </c>
      <c r="E32" t="s">
        <v>88</v>
      </c>
      <c r="F32" t="s">
        <v>87</v>
      </c>
      <c r="G32" t="s">
        <v>84</v>
      </c>
      <c r="H32" t="s">
        <v>83</v>
      </c>
    </row>
    <row r="33" spans="1:8" x14ac:dyDescent="0.25">
      <c r="A33" t="s">
        <v>92</v>
      </c>
      <c r="B33">
        <v>5.4350559698084673E-2</v>
      </c>
      <c r="C33">
        <v>6.3690883765548101E-3</v>
      </c>
      <c r="D33">
        <v>1.8793718940709029E-2</v>
      </c>
      <c r="E33">
        <v>2.045324227082013E-2</v>
      </c>
      <c r="F33">
        <v>1.4237364554058329E-2</v>
      </c>
      <c r="G33">
        <v>-1.4128929903983621E-2</v>
      </c>
      <c r="H33">
        <v>2.748063758612096E-2</v>
      </c>
    </row>
    <row r="34" spans="1:8" x14ac:dyDescent="0.25">
      <c r="A34" t="s">
        <v>93</v>
      </c>
      <c r="B34">
        <v>4.9639586875737773E-2</v>
      </c>
      <c r="C34">
        <v>8.7337325120655507E-3</v>
      </c>
      <c r="D34">
        <v>1.7533746101196849E-2</v>
      </c>
      <c r="E34">
        <v>1.976247899801464E-2</v>
      </c>
      <c r="F34">
        <v>1.2713886218114199E-2</v>
      </c>
      <c r="G34">
        <v>-1.6652705722447592E-2</v>
      </c>
      <c r="H34">
        <v>2.6799370835673079E-2</v>
      </c>
    </row>
    <row r="35" spans="1:8" x14ac:dyDescent="0.25">
      <c r="A35" t="s">
        <v>94</v>
      </c>
      <c r="B35">
        <v>4.0322141710981363E-2</v>
      </c>
      <c r="C35">
        <v>1.2150529494427961E-2</v>
      </c>
      <c r="D35">
        <v>1.9103486079356861E-2</v>
      </c>
      <c r="E35">
        <v>1.7983074967697469E-2</v>
      </c>
      <c r="F35">
        <v>1.020422183400127E-2</v>
      </c>
      <c r="G35">
        <v>-1.944611359873416E-2</v>
      </c>
      <c r="H35">
        <v>2.6089463530081011E-2</v>
      </c>
    </row>
    <row r="36" spans="1:8" x14ac:dyDescent="0.25">
      <c r="A36" t="s">
        <v>95</v>
      </c>
      <c r="B36">
        <v>2.9334935010077109E-2</v>
      </c>
      <c r="C36">
        <v>1.8471280812900389E-2</v>
      </c>
      <c r="D36">
        <v>2.0171332616094158E-2</v>
      </c>
      <c r="E36">
        <v>1.6962654403283262E-2</v>
      </c>
      <c r="F36">
        <v>7.855080638147216E-3</v>
      </c>
      <c r="G36">
        <v>-1.842807743559205E-2</v>
      </c>
      <c r="H36">
        <v>2.550308539794344E-2</v>
      </c>
    </row>
    <row r="37" spans="1:8" x14ac:dyDescent="0.25">
      <c r="A37" t="s">
        <v>96</v>
      </c>
      <c r="B37">
        <v>2.8341387198297371E-2</v>
      </c>
      <c r="C37">
        <v>2.4720244851376361E-2</v>
      </c>
      <c r="D37">
        <v>2.2457334302964819E-2</v>
      </c>
      <c r="E37">
        <v>1.7497220291240682E-2</v>
      </c>
      <c r="F37">
        <v>7.8750719546847314E-3</v>
      </c>
      <c r="G37">
        <v>-1.3789989932698419E-2</v>
      </c>
      <c r="H37">
        <v>2.5529374863780371E-2</v>
      </c>
    </row>
    <row r="38" spans="1:8" x14ac:dyDescent="0.25">
      <c r="A38" t="s">
        <v>97</v>
      </c>
      <c r="B38">
        <v>2.8520149884365239E-2</v>
      </c>
      <c r="C38">
        <v>2.980028421200687E-2</v>
      </c>
      <c r="D38">
        <v>2.447778514150567E-2</v>
      </c>
      <c r="E38">
        <v>1.790418675717631E-2</v>
      </c>
      <c r="F38">
        <v>8.3035183110400368E-3</v>
      </c>
      <c r="G38">
        <v>-1.1369417284438519E-2</v>
      </c>
      <c r="H38">
        <v>2.600705491704014E-2</v>
      </c>
    </row>
    <row r="39" spans="1:8" x14ac:dyDescent="0.25">
      <c r="A39" t="s">
        <v>98</v>
      </c>
      <c r="B39">
        <v>2.772705806121856E-2</v>
      </c>
      <c r="C39">
        <v>3.33720988859596E-2</v>
      </c>
      <c r="D39">
        <v>2.6385907424994141E-2</v>
      </c>
      <c r="E39">
        <v>1.8326028539542349E-2</v>
      </c>
      <c r="F39">
        <v>8.5628007311406851E-3</v>
      </c>
      <c r="G39">
        <v>-7.5871584965729877E-3</v>
      </c>
      <c r="H39">
        <v>2.6694052924772341E-2</v>
      </c>
    </row>
    <row r="41" spans="1:8" x14ac:dyDescent="0.25">
      <c r="A41" t="s">
        <v>109</v>
      </c>
    </row>
    <row r="42" spans="1:8" x14ac:dyDescent="0.25">
      <c r="A42" t="s">
        <v>91</v>
      </c>
      <c r="B42" t="s">
        <v>80</v>
      </c>
      <c r="C42" t="s">
        <v>85</v>
      </c>
      <c r="D42" t="s">
        <v>82</v>
      </c>
      <c r="E42" t="s">
        <v>88</v>
      </c>
      <c r="F42" t="s">
        <v>87</v>
      </c>
      <c r="G42" t="s">
        <v>84</v>
      </c>
      <c r="H42" t="s">
        <v>83</v>
      </c>
    </row>
    <row r="43" spans="1:8" x14ac:dyDescent="0.25">
      <c r="A43" t="s">
        <v>92</v>
      </c>
      <c r="B43">
        <v>9.9905638943463826E-2</v>
      </c>
      <c r="C43">
        <v>5.5974892032618177E-2</v>
      </c>
      <c r="D43">
        <v>7.0106191341027913E-2</v>
      </c>
      <c r="E43">
        <v>3.3505543971169997E-2</v>
      </c>
      <c r="F43">
        <v>3.4424215982076678E-2</v>
      </c>
      <c r="G43">
        <v>3.7557407833864742E-2</v>
      </c>
      <c r="H43">
        <v>5.6659290295299147E-2</v>
      </c>
    </row>
    <row r="44" spans="1:8" x14ac:dyDescent="0.25">
      <c r="A44" t="s">
        <v>93</v>
      </c>
      <c r="B44">
        <v>0.1034536468899723</v>
      </c>
      <c r="C44">
        <v>5.7890396873854222E-2</v>
      </c>
      <c r="D44">
        <v>7.3033092515398579E-2</v>
      </c>
      <c r="E44">
        <v>3.4779136831823543E-2</v>
      </c>
      <c r="F44">
        <v>3.5975055842218502E-2</v>
      </c>
      <c r="G44">
        <v>4.2807859617991488E-2</v>
      </c>
      <c r="H44">
        <v>5.7212144331294512E-2</v>
      </c>
    </row>
    <row r="45" spans="1:8" x14ac:dyDescent="0.25">
      <c r="A45" t="s">
        <v>94</v>
      </c>
      <c r="B45">
        <v>0.10996887624376291</v>
      </c>
      <c r="C45">
        <v>6.4923589003995419E-2</v>
      </c>
      <c r="D45">
        <v>7.5236564303561071E-2</v>
      </c>
      <c r="E45">
        <v>3.7969224324648332E-2</v>
      </c>
      <c r="F45">
        <v>3.8533216728337871E-2</v>
      </c>
      <c r="G45">
        <v>5.204776065397243E-2</v>
      </c>
      <c r="H45">
        <v>5.7583895117935269E-2</v>
      </c>
    </row>
    <row r="46" spans="1:8" x14ac:dyDescent="0.25">
      <c r="A46" t="s">
        <v>95</v>
      </c>
      <c r="B46">
        <v>0.11700723613881769</v>
      </c>
      <c r="C46">
        <v>7.3417838893282017E-2</v>
      </c>
      <c r="D46">
        <v>7.9585477535942362E-2</v>
      </c>
      <c r="E46">
        <v>4.0966746768920981E-2</v>
      </c>
      <c r="F46">
        <v>4.0926133021695447E-2</v>
      </c>
      <c r="G46">
        <v>5.98859315228919E-2</v>
      </c>
      <c r="H46">
        <v>5.7673268776282649E-2</v>
      </c>
    </row>
    <row r="47" spans="1:8" x14ac:dyDescent="0.25">
      <c r="A47" t="s">
        <v>96</v>
      </c>
      <c r="B47">
        <v>0.1148237547341608</v>
      </c>
      <c r="C47">
        <v>7.7187048810562153E-2</v>
      </c>
      <c r="D47">
        <v>8.0894190264781285E-2</v>
      </c>
      <c r="E47">
        <v>4.1746085913291868E-2</v>
      </c>
      <c r="F47">
        <v>4.0882757029498507E-2</v>
      </c>
      <c r="G47">
        <v>6.0977604134766272E-2</v>
      </c>
      <c r="H47">
        <v>5.7292277488384169E-2</v>
      </c>
    </row>
    <row r="48" spans="1:8" x14ac:dyDescent="0.25">
      <c r="A48" t="s">
        <v>97</v>
      </c>
      <c r="B48">
        <v>0.11242926012379439</v>
      </c>
      <c r="C48">
        <v>7.8863066680219918E-2</v>
      </c>
      <c r="D48">
        <v>8.1277942192478081E-2</v>
      </c>
      <c r="E48">
        <v>4.2224534213475502E-2</v>
      </c>
      <c r="F48">
        <v>4.0423329566257493E-2</v>
      </c>
      <c r="G48">
        <v>6.2493518975726081E-2</v>
      </c>
      <c r="H48">
        <v>5.6559286706962197E-2</v>
      </c>
    </row>
    <row r="49" spans="1:8" x14ac:dyDescent="0.25">
      <c r="A49" t="s">
        <v>98</v>
      </c>
      <c r="B49">
        <v>0.1117475945740265</v>
      </c>
      <c r="C49">
        <v>8.0037127553097775E-2</v>
      </c>
      <c r="D49">
        <v>8.1028437950290799E-2</v>
      </c>
      <c r="E49">
        <v>4.241880135262921E-2</v>
      </c>
      <c r="F49">
        <v>4.0143090679865878E-2</v>
      </c>
      <c r="G49">
        <v>6.1321916021993113E-2</v>
      </c>
      <c r="H49">
        <v>5.5683106214109879E-2</v>
      </c>
    </row>
    <row r="51" spans="1:8" x14ac:dyDescent="0.25">
      <c r="A51" t="s">
        <v>110</v>
      </c>
    </row>
    <row r="52" spans="1:8" x14ac:dyDescent="0.25">
      <c r="A52" t="s">
        <v>90</v>
      </c>
      <c r="B52" t="s">
        <v>91</v>
      </c>
      <c r="C52" t="s">
        <v>110</v>
      </c>
    </row>
    <row r="53" spans="1:8" x14ac:dyDescent="0.25">
      <c r="A53" t="s">
        <v>99</v>
      </c>
      <c r="B53" t="s">
        <v>80</v>
      </c>
      <c r="C53">
        <v>0.15538720300226461</v>
      </c>
    </row>
    <row r="54" spans="1:8" x14ac:dyDescent="0.25">
      <c r="A54" t="s">
        <v>100</v>
      </c>
      <c r="B54" t="s">
        <v>85</v>
      </c>
      <c r="C54">
        <v>0.17730543788687539</v>
      </c>
    </row>
    <row r="55" spans="1:8" x14ac:dyDescent="0.25">
      <c r="A55" t="s">
        <v>101</v>
      </c>
      <c r="B55" t="s">
        <v>82</v>
      </c>
      <c r="C55">
        <v>0.18612754584331881</v>
      </c>
    </row>
    <row r="56" spans="1:8" x14ac:dyDescent="0.25">
      <c r="A56" t="s">
        <v>102</v>
      </c>
      <c r="B56" t="s">
        <v>88</v>
      </c>
      <c r="C56">
        <v>3.8229258057275117E-2</v>
      </c>
    </row>
    <row r="57" spans="1:8" x14ac:dyDescent="0.25">
      <c r="A57" t="s">
        <v>103</v>
      </c>
      <c r="B57" t="s">
        <v>87</v>
      </c>
      <c r="C57">
        <v>5.030108116566661E-2</v>
      </c>
    </row>
    <row r="58" spans="1:8" x14ac:dyDescent="0.25">
      <c r="A58" t="s">
        <v>104</v>
      </c>
      <c r="B58" t="s">
        <v>84</v>
      </c>
      <c r="C58">
        <v>0.11858956865323821</v>
      </c>
    </row>
    <row r="59" spans="1:8" x14ac:dyDescent="0.25">
      <c r="A59" t="s">
        <v>105</v>
      </c>
      <c r="B59" t="s">
        <v>83</v>
      </c>
      <c r="C59">
        <v>6.7520727112757001E-2</v>
      </c>
    </row>
    <row r="62" spans="1:8" x14ac:dyDescent="0.25">
      <c r="A62" t="s">
        <v>111</v>
      </c>
    </row>
    <row r="63" spans="1:8" x14ac:dyDescent="0.25">
      <c r="A63" t="s">
        <v>90</v>
      </c>
      <c r="B63" t="s">
        <v>91</v>
      </c>
      <c r="C63" t="s">
        <v>112</v>
      </c>
      <c r="D63" t="s">
        <v>113</v>
      </c>
    </row>
    <row r="64" spans="1:8" x14ac:dyDescent="0.25">
      <c r="A64" t="s">
        <v>99</v>
      </c>
      <c r="B64" t="s">
        <v>80</v>
      </c>
      <c r="C64">
        <v>-0.21713981924910791</v>
      </c>
      <c r="D64">
        <v>0.87222594026864975</v>
      </c>
    </row>
    <row r="65" spans="1:4" x14ac:dyDescent="0.25">
      <c r="A65" t="s">
        <v>100</v>
      </c>
      <c r="B65" t="s">
        <v>85</v>
      </c>
      <c r="C65">
        <v>-0.240438336120882</v>
      </c>
      <c r="D65">
        <v>0.86136399726086466</v>
      </c>
    </row>
    <row r="66" spans="1:4" x14ac:dyDescent="0.25">
      <c r="A66" t="s">
        <v>101</v>
      </c>
      <c r="B66" t="s">
        <v>82</v>
      </c>
      <c r="C66">
        <v>-0.20249720593961459</v>
      </c>
      <c r="D66">
        <v>0.93859459168238346</v>
      </c>
    </row>
    <row r="67" spans="1:4" x14ac:dyDescent="0.25">
      <c r="A67" t="s">
        <v>102</v>
      </c>
      <c r="B67" t="s">
        <v>88</v>
      </c>
      <c r="C67">
        <v>0.46013714456465388</v>
      </c>
      <c r="D67">
        <v>0.34150392757180847</v>
      </c>
    </row>
    <row r="68" spans="1:4" x14ac:dyDescent="0.25">
      <c r="A68" t="s">
        <v>103</v>
      </c>
      <c r="B68" t="s">
        <v>87</v>
      </c>
      <c r="C68">
        <v>0.71151877095244775</v>
      </c>
      <c r="D68">
        <v>3.8002608090786927E-2</v>
      </c>
    </row>
    <row r="69" spans="1:4" x14ac:dyDescent="0.25">
      <c r="A69" t="s">
        <v>104</v>
      </c>
      <c r="B69" t="s">
        <v>84</v>
      </c>
      <c r="C69">
        <v>0.70960477929004162</v>
      </c>
      <c r="D69">
        <v>7.7171646434258875E-2</v>
      </c>
    </row>
    <row r="70" spans="1:4" x14ac:dyDescent="0.25">
      <c r="A70" t="s">
        <v>105</v>
      </c>
      <c r="B70" t="s">
        <v>83</v>
      </c>
      <c r="C70">
        <v>8.1207204887338291E-2</v>
      </c>
      <c r="D70">
        <v>0.67341289364008927</v>
      </c>
    </row>
    <row r="74" spans="1:4" x14ac:dyDescent="0.25">
      <c r="A74" t="s">
        <v>115</v>
      </c>
    </row>
    <row r="75" spans="1:4" x14ac:dyDescent="0.25">
      <c r="A75" t="s">
        <v>1</v>
      </c>
      <c r="B75" t="s">
        <v>114</v>
      </c>
    </row>
    <row r="76" spans="1:4" x14ac:dyDescent="0.25">
      <c r="A76">
        <v>2035</v>
      </c>
      <c r="B76" t="s">
        <v>94</v>
      </c>
    </row>
    <row r="77" spans="1:4" x14ac:dyDescent="0.25">
      <c r="A77">
        <v>2036</v>
      </c>
      <c r="B77" t="s">
        <v>95</v>
      </c>
    </row>
    <row r="78" spans="1:4" x14ac:dyDescent="0.25">
      <c r="A78">
        <v>2037</v>
      </c>
      <c r="B78" t="s">
        <v>95</v>
      </c>
    </row>
    <row r="79" spans="1:4" x14ac:dyDescent="0.25">
      <c r="A79">
        <v>2038</v>
      </c>
      <c r="B79" t="s">
        <v>95</v>
      </c>
    </row>
    <row r="80" spans="1:4" x14ac:dyDescent="0.25">
      <c r="A80">
        <v>2039</v>
      </c>
      <c r="B80" t="s">
        <v>95</v>
      </c>
    </row>
    <row r="81" spans="1:2" x14ac:dyDescent="0.25">
      <c r="A81">
        <v>2040</v>
      </c>
      <c r="B81" t="s">
        <v>95</v>
      </c>
    </row>
    <row r="82" spans="1:2" x14ac:dyDescent="0.25">
      <c r="A82">
        <v>2041</v>
      </c>
      <c r="B82" t="s">
        <v>96</v>
      </c>
    </row>
    <row r="83" spans="1:2" x14ac:dyDescent="0.25">
      <c r="A83">
        <v>2042</v>
      </c>
      <c r="B83" t="s">
        <v>96</v>
      </c>
    </row>
    <row r="84" spans="1:2" x14ac:dyDescent="0.25">
      <c r="A84">
        <v>2043</v>
      </c>
      <c r="B84" t="s">
        <v>96</v>
      </c>
    </row>
    <row r="85" spans="1:2" x14ac:dyDescent="0.25">
      <c r="A85">
        <v>2044</v>
      </c>
      <c r="B85" t="s">
        <v>96</v>
      </c>
    </row>
    <row r="86" spans="1:2" x14ac:dyDescent="0.25">
      <c r="A86">
        <v>2045</v>
      </c>
      <c r="B86" t="s">
        <v>96</v>
      </c>
    </row>
    <row r="87" spans="1:2" x14ac:dyDescent="0.25">
      <c r="A87">
        <v>2046</v>
      </c>
      <c r="B87" t="s">
        <v>97</v>
      </c>
    </row>
    <row r="88" spans="1:2" x14ac:dyDescent="0.25">
      <c r="A88">
        <v>2047</v>
      </c>
      <c r="B88" t="s">
        <v>97</v>
      </c>
    </row>
    <row r="89" spans="1:2" x14ac:dyDescent="0.25">
      <c r="A89">
        <v>2048</v>
      </c>
      <c r="B89" t="s">
        <v>97</v>
      </c>
    </row>
    <row r="90" spans="1:2" x14ac:dyDescent="0.25">
      <c r="A90">
        <v>2049</v>
      </c>
      <c r="B90" t="s">
        <v>97</v>
      </c>
    </row>
    <row r="91" spans="1:2" x14ac:dyDescent="0.25">
      <c r="A91">
        <v>2050</v>
      </c>
      <c r="B91" t="s">
        <v>97</v>
      </c>
    </row>
    <row r="92" spans="1:2" x14ac:dyDescent="0.25">
      <c r="A92">
        <v>2051</v>
      </c>
      <c r="B92" t="s">
        <v>98</v>
      </c>
    </row>
    <row r="93" spans="1:2" x14ac:dyDescent="0.25">
      <c r="A93">
        <v>2052</v>
      </c>
      <c r="B93" t="s">
        <v>98</v>
      </c>
    </row>
    <row r="94" spans="1:2" x14ac:dyDescent="0.25">
      <c r="A94">
        <v>2053</v>
      </c>
      <c r="B94" t="s">
        <v>98</v>
      </c>
    </row>
    <row r="95" spans="1:2" x14ac:dyDescent="0.25">
      <c r="A95">
        <v>2054</v>
      </c>
      <c r="B95" t="s">
        <v>98</v>
      </c>
    </row>
    <row r="96" spans="1:2" x14ac:dyDescent="0.25">
      <c r="A96">
        <v>2055</v>
      </c>
      <c r="B96" t="s">
        <v>98</v>
      </c>
    </row>
    <row r="97" spans="1:2" x14ac:dyDescent="0.25">
      <c r="A97">
        <v>2056</v>
      </c>
      <c r="B97" t="s">
        <v>98</v>
      </c>
    </row>
    <row r="98" spans="1:2" x14ac:dyDescent="0.25">
      <c r="A98">
        <v>2057</v>
      </c>
      <c r="B98" t="s">
        <v>98</v>
      </c>
    </row>
    <row r="99" spans="1:2" x14ac:dyDescent="0.25">
      <c r="A99">
        <v>2058</v>
      </c>
      <c r="B99" t="s">
        <v>98</v>
      </c>
    </row>
    <row r="100" spans="1:2" x14ac:dyDescent="0.25">
      <c r="A100">
        <v>2059</v>
      </c>
      <c r="B100" t="s">
        <v>98</v>
      </c>
    </row>
    <row r="101" spans="1:2" x14ac:dyDescent="0.25">
      <c r="A101">
        <v>2060</v>
      </c>
      <c r="B101" t="s">
        <v>98</v>
      </c>
    </row>
    <row r="102" spans="1:2" x14ac:dyDescent="0.25">
      <c r="A102">
        <v>2061</v>
      </c>
      <c r="B102" t="s">
        <v>98</v>
      </c>
    </row>
    <row r="103" spans="1:2" x14ac:dyDescent="0.25">
      <c r="A103">
        <v>2062</v>
      </c>
      <c r="B103" t="s">
        <v>98</v>
      </c>
    </row>
    <row r="104" spans="1:2" x14ac:dyDescent="0.25">
      <c r="A104">
        <v>2063</v>
      </c>
      <c r="B104" t="s">
        <v>98</v>
      </c>
    </row>
    <row r="105" spans="1:2" x14ac:dyDescent="0.25">
      <c r="A105">
        <v>2064</v>
      </c>
      <c r="B105" t="s">
        <v>98</v>
      </c>
    </row>
    <row r="106" spans="1:2" x14ac:dyDescent="0.25">
      <c r="A106">
        <v>2065</v>
      </c>
      <c r="B106" t="s">
        <v>98</v>
      </c>
    </row>
    <row r="107" spans="1:2" x14ac:dyDescent="0.25">
      <c r="A107">
        <v>2066</v>
      </c>
      <c r="B107" t="s">
        <v>98</v>
      </c>
    </row>
    <row r="108" spans="1:2" x14ac:dyDescent="0.25">
      <c r="A108">
        <v>2067</v>
      </c>
      <c r="B108" t="s">
        <v>98</v>
      </c>
    </row>
    <row r="109" spans="1:2" x14ac:dyDescent="0.25">
      <c r="A109">
        <v>2068</v>
      </c>
      <c r="B109" t="s">
        <v>98</v>
      </c>
    </row>
    <row r="110" spans="1:2" x14ac:dyDescent="0.25">
      <c r="A110">
        <v>2069</v>
      </c>
      <c r="B110" t="s">
        <v>98</v>
      </c>
    </row>
    <row r="111" spans="1:2" x14ac:dyDescent="0.25">
      <c r="A111">
        <v>2070</v>
      </c>
      <c r="B111" t="s">
        <v>98</v>
      </c>
    </row>
    <row r="112" spans="1:2" x14ac:dyDescent="0.25">
      <c r="A112">
        <v>2071</v>
      </c>
      <c r="B112" t="s">
        <v>98</v>
      </c>
    </row>
    <row r="113" spans="1:2" x14ac:dyDescent="0.25">
      <c r="A113">
        <v>2072</v>
      </c>
      <c r="B113" t="s">
        <v>98</v>
      </c>
    </row>
    <row r="114" spans="1:2" x14ac:dyDescent="0.25">
      <c r="A114">
        <v>2073</v>
      </c>
      <c r="B114" t="s">
        <v>98</v>
      </c>
    </row>
    <row r="115" spans="1:2" x14ac:dyDescent="0.25">
      <c r="A115">
        <v>2074</v>
      </c>
      <c r="B115" t="s">
        <v>98</v>
      </c>
    </row>
    <row r="116" spans="1:2" x14ac:dyDescent="0.25">
      <c r="A116">
        <v>2075</v>
      </c>
      <c r="B116" t="s">
        <v>98</v>
      </c>
    </row>
  </sheetData>
  <phoneticPr fontId="3" type="noConversion"/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825AB-097E-477E-B11E-B155A5A6D1A7}">
  <dimension ref="A1:I37"/>
  <sheetViews>
    <sheetView tabSelected="1" zoomScaleNormal="100" workbookViewId="0">
      <selection activeCell="C8" sqref="C8:I8"/>
    </sheetView>
  </sheetViews>
  <sheetFormatPr defaultRowHeight="15" x14ac:dyDescent="0.25"/>
  <cols>
    <col min="1" max="1" width="38.7109375" bestFit="1" customWidth="1"/>
    <col min="2" max="2" width="15.140625" bestFit="1" customWidth="1"/>
    <col min="3" max="3" width="12" bestFit="1" customWidth="1"/>
    <col min="4" max="5" width="12.7109375" bestFit="1" customWidth="1"/>
    <col min="6" max="7" width="12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116</v>
      </c>
      <c r="B1" t="s">
        <v>74</v>
      </c>
      <c r="C1" t="s">
        <v>80</v>
      </c>
      <c r="D1" t="s">
        <v>85</v>
      </c>
      <c r="E1" t="s">
        <v>82</v>
      </c>
      <c r="F1" t="s">
        <v>88</v>
      </c>
      <c r="G1" t="s">
        <v>87</v>
      </c>
      <c r="H1" t="s">
        <v>84</v>
      </c>
      <c r="I1" t="s">
        <v>83</v>
      </c>
    </row>
    <row r="2" spans="1:9" x14ac:dyDescent="0.25">
      <c r="A2" t="s">
        <v>89</v>
      </c>
      <c r="B2">
        <v>5</v>
      </c>
      <c r="C2" s="9">
        <v>7.6887239133733631E-2</v>
      </c>
      <c r="D2" s="9">
        <v>3.0873653316645822E-2</v>
      </c>
      <c r="E2" s="9">
        <v>4.4134793150478968E-2</v>
      </c>
      <c r="F2" s="9">
        <v>2.695865700338174E-2</v>
      </c>
      <c r="G2" s="9">
        <v>2.4281060377327801E-2</v>
      </c>
      <c r="H2" s="9">
        <v>1.1384116912661609E-2</v>
      </c>
      <c r="I2" s="9">
        <v>4.1967829321032601E-2</v>
      </c>
    </row>
    <row r="3" spans="1:9" x14ac:dyDescent="0.25">
      <c r="A3" t="s">
        <v>89</v>
      </c>
      <c r="B3">
        <v>7</v>
      </c>
      <c r="C3" s="9">
        <v>7.6210309371822937E-2</v>
      </c>
      <c r="D3" s="9">
        <v>3.3019712881206198E-2</v>
      </c>
      <c r="E3" s="9">
        <v>4.4915007596567642E-2</v>
      </c>
      <c r="F3" s="9">
        <v>2.7243368146241179E-2</v>
      </c>
      <c r="G3" s="9">
        <v>2.4278440801529969E-2</v>
      </c>
      <c r="H3" s="9">
        <v>1.264124297779223E-2</v>
      </c>
      <c r="I3" s="9">
        <v>4.1894795286403719E-2</v>
      </c>
    </row>
    <row r="4" spans="1:9" x14ac:dyDescent="0.25">
      <c r="A4" t="s">
        <v>89</v>
      </c>
      <c r="B4">
        <v>10</v>
      </c>
      <c r="C4" s="9">
        <v>7.4581405552304414E-2</v>
      </c>
      <c r="D4" s="9">
        <v>3.820179847444205E-2</v>
      </c>
      <c r="E4" s="9">
        <v>4.679383214666033E-2</v>
      </c>
      <c r="F4" s="9">
        <v>2.7927576278665489E-2</v>
      </c>
      <c r="G4" s="9">
        <v>2.4270784531460698E-2</v>
      </c>
      <c r="H4" s="9">
        <v>1.5671955048208511E-2</v>
      </c>
      <c r="I4" s="9">
        <v>4.1717663933219962E-2</v>
      </c>
    </row>
    <row r="5" spans="1:9" x14ac:dyDescent="0.25">
      <c r="A5" t="s">
        <v>89</v>
      </c>
      <c r="B5">
        <v>15</v>
      </c>
      <c r="C5" s="9">
        <v>7.2275414934353188E-2</v>
      </c>
      <c r="D5" s="9">
        <v>4.5583684302457517E-2</v>
      </c>
      <c r="E5" s="9">
        <v>4.9458029305462503E-2</v>
      </c>
      <c r="F5" s="9">
        <v>2.8894698894837308E-2</v>
      </c>
      <c r="G5" s="9">
        <v>2.4257140876089659E-2</v>
      </c>
      <c r="H5" s="9">
        <v>1.997758353756152E-2</v>
      </c>
      <c r="I5" s="9">
        <v>4.1463969832174603E-2</v>
      </c>
    </row>
    <row r="6" spans="1:9" x14ac:dyDescent="0.25">
      <c r="A6" t="s">
        <v>89</v>
      </c>
      <c r="B6">
        <v>20</v>
      </c>
      <c r="C6" s="9">
        <v>7.0709767516992317E-2</v>
      </c>
      <c r="D6" s="9">
        <v>5.0626182888258597E-2</v>
      </c>
      <c r="E6" s="9">
        <v>5.1269731788126771E-2</v>
      </c>
      <c r="F6" s="9">
        <v>2.9550264273434879E-2</v>
      </c>
      <c r="G6" s="9">
        <v>2.4245958516616369E-2</v>
      </c>
      <c r="H6" s="9">
        <v>2.2910910068764331E-2</v>
      </c>
      <c r="I6" s="9">
        <v>4.1289723440985471E-2</v>
      </c>
    </row>
    <row r="7" spans="1:9" x14ac:dyDescent="0.25">
      <c r="A7" t="s">
        <v>89</v>
      </c>
      <c r="B7">
        <v>25</v>
      </c>
      <c r="C7" s="9">
        <v>6.9652237378861281E-2</v>
      </c>
      <c r="D7" s="9">
        <v>5.4046247795384923E-2</v>
      </c>
      <c r="E7" s="9">
        <v>5.2494763295437341E-2</v>
      </c>
      <c r="F7" s="9">
        <v>2.9992580896704309E-2</v>
      </c>
      <c r="G7" s="9">
        <v>2.4237523100187449E-2</v>
      </c>
      <c r="H7" s="9">
        <v>2.4896849264145929E-2</v>
      </c>
      <c r="I7" s="9">
        <v>4.1171107760519243E-2</v>
      </c>
    </row>
    <row r="8" spans="1:9" x14ac:dyDescent="0.25">
      <c r="A8" t="s">
        <v>89</v>
      </c>
      <c r="B8">
        <v>30</v>
      </c>
      <c r="C8" s="9">
        <v>6.8912050001716185E-2</v>
      </c>
      <c r="D8" s="9">
        <v>5.6446985548124003E-2</v>
      </c>
      <c r="E8" s="9">
        <v>5.3352909398189707E-2</v>
      </c>
      <c r="F8" s="9">
        <v>3.030199351028862E-2</v>
      </c>
      <c r="G8" s="9">
        <v>2.4231237901194861E-2</v>
      </c>
      <c r="H8" s="9">
        <v>2.6289187805909719E-2</v>
      </c>
      <c r="I8" s="9">
        <v>4.1087683326209927E-2</v>
      </c>
    </row>
    <row r="9" spans="1:9" x14ac:dyDescent="0.25">
      <c r="A9" t="s">
        <v>106</v>
      </c>
      <c r="B9">
        <v>5</v>
      </c>
      <c r="C9" s="9">
        <v>2.2641337345878029E-2</v>
      </c>
      <c r="D9" s="9">
        <v>-2.8400481293647029E-2</v>
      </c>
      <c r="E9" s="9">
        <v>-1.740746141934035E-2</v>
      </c>
      <c r="F9" s="9">
        <v>1.3277735281677311E-2</v>
      </c>
      <c r="G9" s="9">
        <v>5.4168259397999741E-3</v>
      </c>
      <c r="H9" s="9">
        <v>-3.2218677633459758E-2</v>
      </c>
      <c r="I9" s="9">
        <v>1.6899036785687379E-2</v>
      </c>
    </row>
    <row r="10" spans="1:9" x14ac:dyDescent="0.25">
      <c r="A10" t="s">
        <v>106</v>
      </c>
      <c r="B10">
        <v>7</v>
      </c>
      <c r="C10" s="9">
        <v>2.7730525598817168E-2</v>
      </c>
      <c r="D10" s="9">
        <v>-1.8792188552370189E-2</v>
      </c>
      <c r="E10" s="9">
        <v>-9.5292215627967858E-3</v>
      </c>
      <c r="F10" s="9">
        <v>1.456684700214339E-2</v>
      </c>
      <c r="G10" s="9">
        <v>7.1184244606026237E-3</v>
      </c>
      <c r="H10" s="9">
        <v>-2.7852924799786179E-2</v>
      </c>
      <c r="I10" s="9">
        <v>1.9002054768027628E-2</v>
      </c>
    </row>
    <row r="11" spans="1:9" x14ac:dyDescent="0.25">
      <c r="A11" t="s">
        <v>106</v>
      </c>
      <c r="B11">
        <v>10</v>
      </c>
      <c r="C11" s="9">
        <v>2.6488236609083501E-2</v>
      </c>
      <c r="D11" s="9">
        <v>-6.9260345212938113E-3</v>
      </c>
      <c r="E11" s="9">
        <v>-2.4346665139195478E-3</v>
      </c>
      <c r="F11" s="9">
        <v>1.4807432922538499E-2</v>
      </c>
      <c r="G11" s="9">
        <v>6.925997467677858E-3</v>
      </c>
      <c r="H11" s="9">
        <v>-2.5698613655035559E-2</v>
      </c>
      <c r="I11" s="9">
        <v>2.064053419377743E-2</v>
      </c>
    </row>
    <row r="12" spans="1:9" x14ac:dyDescent="0.25">
      <c r="A12" t="s">
        <v>106</v>
      </c>
      <c r="B12">
        <v>15</v>
      </c>
      <c r="C12" s="9">
        <v>2.2961633826017239E-2</v>
      </c>
      <c r="D12" s="9">
        <v>5.4101717056664889E-3</v>
      </c>
      <c r="E12" s="9">
        <v>4.0323108875586211E-3</v>
      </c>
      <c r="F12" s="9">
        <v>1.51424791602035E-2</v>
      </c>
      <c r="G12" s="9">
        <v>6.1406789420861418E-3</v>
      </c>
      <c r="H12" s="9">
        <v>-2.249616821907818E-2</v>
      </c>
      <c r="I12" s="9">
        <v>2.1703702676223461E-2</v>
      </c>
    </row>
    <row r="13" spans="1:9" x14ac:dyDescent="0.25">
      <c r="A13" t="s">
        <v>106</v>
      </c>
      <c r="B13">
        <v>20</v>
      </c>
      <c r="C13" s="9">
        <v>2.3101219127319439E-2</v>
      </c>
      <c r="D13" s="9">
        <v>1.412804537770884E-2</v>
      </c>
      <c r="E13" s="9">
        <v>9.5483541753711432E-3</v>
      </c>
      <c r="F13" s="9">
        <v>1.5600687341913441E-2</v>
      </c>
      <c r="G13" s="9">
        <v>6.5426000318666846E-3</v>
      </c>
      <c r="H13" s="9">
        <v>-1.928536414023807E-2</v>
      </c>
      <c r="I13" s="9">
        <v>2.2572752838522669E-2</v>
      </c>
    </row>
    <row r="14" spans="1:9" x14ac:dyDescent="0.25">
      <c r="A14" t="s">
        <v>106</v>
      </c>
      <c r="B14">
        <v>25</v>
      </c>
      <c r="C14" s="9">
        <v>2.3751373507521208E-2</v>
      </c>
      <c r="D14" s="9">
        <v>1.995075392115897E-2</v>
      </c>
      <c r="E14" s="9">
        <v>1.2540440648342919E-2</v>
      </c>
      <c r="F14" s="9">
        <v>1.6604990626092109E-2</v>
      </c>
      <c r="G14" s="9">
        <v>7.0735200072391544E-3</v>
      </c>
      <c r="H14" s="9">
        <v>-1.5493189014051389E-2</v>
      </c>
      <c r="I14" s="9">
        <v>2.3602686005482761E-2</v>
      </c>
    </row>
    <row r="15" spans="1:9" x14ac:dyDescent="0.25">
      <c r="A15" t="s">
        <v>106</v>
      </c>
      <c r="B15">
        <v>30</v>
      </c>
      <c r="C15" s="9">
        <v>2.517913443457576E-2</v>
      </c>
      <c r="D15" s="9">
        <v>2.422390954759357E-2</v>
      </c>
      <c r="E15" s="9">
        <v>1.6553238981621199E-2</v>
      </c>
      <c r="F15" s="9">
        <v>1.7508738350035639E-2</v>
      </c>
      <c r="G15" s="9">
        <v>7.649514678177205E-3</v>
      </c>
      <c r="H15" s="9">
        <v>-1.238685360750502E-2</v>
      </c>
      <c r="I15" s="9">
        <v>2.4049386364373149E-2</v>
      </c>
    </row>
    <row r="16" spans="1:9" x14ac:dyDescent="0.25">
      <c r="A16" t="s">
        <v>107</v>
      </c>
      <c r="B16">
        <v>5</v>
      </c>
      <c r="C16" s="9">
        <v>0.13483048838850009</v>
      </c>
      <c r="D16" s="9">
        <v>9.3414547039320395E-2</v>
      </c>
      <c r="E16" s="9">
        <v>0.1088594908619738</v>
      </c>
      <c r="F16" s="9">
        <v>4.0859861082524603E-2</v>
      </c>
      <c r="G16" s="9">
        <v>4.3313724167847838E-2</v>
      </c>
      <c r="H16" s="9">
        <v>5.7661179738732748E-2</v>
      </c>
      <c r="I16" s="9">
        <v>6.7799810845437847E-2</v>
      </c>
    </row>
    <row r="17" spans="1:9" x14ac:dyDescent="0.25">
      <c r="A17" t="s">
        <v>107</v>
      </c>
      <c r="B17">
        <v>7</v>
      </c>
      <c r="C17" s="9">
        <v>0.12732827792128279</v>
      </c>
      <c r="D17" s="9">
        <v>8.8520235047048423E-2</v>
      </c>
      <c r="E17" s="9">
        <v>0.10279966144311151</v>
      </c>
      <c r="F17" s="9">
        <v>4.0079232451501801E-2</v>
      </c>
      <c r="G17" s="9">
        <v>4.148579444236522E-2</v>
      </c>
      <c r="H17" s="9">
        <v>5.4818078983270853E-2</v>
      </c>
      <c r="I17" s="9">
        <v>6.4765395363481026E-2</v>
      </c>
    </row>
    <row r="18" spans="1:9" x14ac:dyDescent="0.25">
      <c r="A18" t="s">
        <v>107</v>
      </c>
      <c r="B18">
        <v>10</v>
      </c>
      <c r="C18" s="9">
        <v>0.1241742628199196</v>
      </c>
      <c r="D18" s="9">
        <v>8.5957830101256461E-2</v>
      </c>
      <c r="E18" s="9">
        <v>9.7936808726271307E-2</v>
      </c>
      <c r="F18" s="9">
        <v>4.0924313479097751E-2</v>
      </c>
      <c r="G18" s="9">
        <v>4.1827624028377031E-2</v>
      </c>
      <c r="H18" s="9">
        <v>5.908114865595393E-2</v>
      </c>
      <c r="I18" s="9">
        <v>6.373948583519895E-2</v>
      </c>
    </row>
    <row r="19" spans="1:9" x14ac:dyDescent="0.25">
      <c r="A19" t="s">
        <v>107</v>
      </c>
      <c r="B19">
        <v>15</v>
      </c>
      <c r="C19" s="9">
        <v>0.1231564182432154</v>
      </c>
      <c r="D19" s="9">
        <v>8.7297697996017165E-2</v>
      </c>
      <c r="E19" s="9">
        <v>9.6684421163455658E-2</v>
      </c>
      <c r="F19" s="9">
        <v>4.2942424988836818E-2</v>
      </c>
      <c r="G19" s="9">
        <v>4.2578391855768283E-2</v>
      </c>
      <c r="H19" s="9">
        <v>6.4369174508249971E-2</v>
      </c>
      <c r="I19" s="9">
        <v>6.1771536064846977E-2</v>
      </c>
    </row>
    <row r="20" spans="1:9" x14ac:dyDescent="0.25">
      <c r="A20" t="s">
        <v>107</v>
      </c>
      <c r="B20">
        <v>20</v>
      </c>
      <c r="C20" s="9">
        <v>0.1204495271846255</v>
      </c>
      <c r="D20" s="9">
        <v>8.8919124386115822E-2</v>
      </c>
      <c r="E20" s="9">
        <v>9.5639358456830692E-2</v>
      </c>
      <c r="F20" s="9">
        <v>4.3774053276192333E-2</v>
      </c>
      <c r="G20" s="9">
        <v>4.26259842208907E-2</v>
      </c>
      <c r="H20" s="9">
        <v>6.6567164518284816E-2</v>
      </c>
      <c r="I20" s="9">
        <v>6.0502048749336401E-2</v>
      </c>
    </row>
    <row r="21" spans="1:9" x14ac:dyDescent="0.25">
      <c r="A21" t="s">
        <v>107</v>
      </c>
      <c r="B21">
        <v>25</v>
      </c>
      <c r="C21" s="9">
        <v>0.1171920880758375</v>
      </c>
      <c r="D21" s="9">
        <v>8.9377315743293995E-2</v>
      </c>
      <c r="E21" s="9">
        <v>9.4016114071246326E-2</v>
      </c>
      <c r="F21" s="9">
        <v>4.3601266829769843E-2</v>
      </c>
      <c r="G21" s="9">
        <v>4.1909927854884232E-2</v>
      </c>
      <c r="H21" s="9">
        <v>6.7017527231149066E-2</v>
      </c>
      <c r="I21" s="9">
        <v>5.9445204575611983E-2</v>
      </c>
    </row>
    <row r="22" spans="1:9" x14ac:dyDescent="0.25">
      <c r="A22" t="s">
        <v>107</v>
      </c>
      <c r="B22">
        <v>30</v>
      </c>
      <c r="C22" s="9">
        <v>0.11425011201176979</v>
      </c>
      <c r="D22" s="9">
        <v>8.9872524323030722E-2</v>
      </c>
      <c r="E22" s="9">
        <v>9.1772125611129685E-2</v>
      </c>
      <c r="F22" s="9">
        <v>4.3239838788859952E-2</v>
      </c>
      <c r="G22" s="9">
        <v>4.0904450577630813E-2</v>
      </c>
      <c r="H22" s="9">
        <v>6.6463931867440929E-2</v>
      </c>
      <c r="I22" s="9">
        <v>5.8216117989774878E-2</v>
      </c>
    </row>
    <row r="23" spans="1:9" x14ac:dyDescent="0.25">
      <c r="A23" t="s">
        <v>108</v>
      </c>
      <c r="B23">
        <v>5</v>
      </c>
      <c r="C23" s="9">
        <v>5.4350559698084673E-2</v>
      </c>
      <c r="D23" s="9">
        <v>6.3690883765548101E-3</v>
      </c>
      <c r="E23" s="9">
        <v>1.8793718940709029E-2</v>
      </c>
      <c r="F23" s="9">
        <v>2.045324227082013E-2</v>
      </c>
      <c r="G23" s="9">
        <v>1.4237364554058329E-2</v>
      </c>
      <c r="H23" s="9">
        <v>-1.4128929903983621E-2</v>
      </c>
      <c r="I23" s="9">
        <v>2.748063758612096E-2</v>
      </c>
    </row>
    <row r="24" spans="1:9" x14ac:dyDescent="0.25">
      <c r="A24" t="s">
        <v>108</v>
      </c>
      <c r="B24">
        <v>7</v>
      </c>
      <c r="C24" s="9">
        <v>4.9639586875737773E-2</v>
      </c>
      <c r="D24" s="9">
        <v>8.7337325120655507E-3</v>
      </c>
      <c r="E24" s="9">
        <v>1.7533746101196849E-2</v>
      </c>
      <c r="F24" s="9">
        <v>1.976247899801464E-2</v>
      </c>
      <c r="G24" s="9">
        <v>1.2713886218114199E-2</v>
      </c>
      <c r="H24" s="9">
        <v>-1.6652705722447592E-2</v>
      </c>
      <c r="I24" s="9">
        <v>2.6799370835673079E-2</v>
      </c>
    </row>
    <row r="25" spans="1:9" x14ac:dyDescent="0.25">
      <c r="A25" t="s">
        <v>108</v>
      </c>
      <c r="B25">
        <v>10</v>
      </c>
      <c r="C25" s="9">
        <v>4.0322141710981363E-2</v>
      </c>
      <c r="D25" s="9">
        <v>1.2150529494427961E-2</v>
      </c>
      <c r="E25" s="9">
        <v>1.9103486079356861E-2</v>
      </c>
      <c r="F25" s="9">
        <v>1.7983074967697469E-2</v>
      </c>
      <c r="G25" s="9">
        <v>1.020422183400127E-2</v>
      </c>
      <c r="H25" s="9">
        <v>-1.944611359873416E-2</v>
      </c>
      <c r="I25" s="9">
        <v>2.6089463530081011E-2</v>
      </c>
    </row>
    <row r="26" spans="1:9" x14ac:dyDescent="0.25">
      <c r="A26" t="s">
        <v>108</v>
      </c>
      <c r="B26">
        <v>15</v>
      </c>
      <c r="C26" s="9">
        <v>2.9334935010077109E-2</v>
      </c>
      <c r="D26" s="9">
        <v>1.8471280812900389E-2</v>
      </c>
      <c r="E26" s="9">
        <v>2.0171332616094158E-2</v>
      </c>
      <c r="F26" s="9">
        <v>1.6962654403283262E-2</v>
      </c>
      <c r="G26" s="9">
        <v>7.855080638147216E-3</v>
      </c>
      <c r="H26" s="9">
        <v>-1.842807743559205E-2</v>
      </c>
      <c r="I26" s="9">
        <v>2.550308539794344E-2</v>
      </c>
    </row>
    <row r="27" spans="1:9" x14ac:dyDescent="0.25">
      <c r="A27" t="s">
        <v>108</v>
      </c>
      <c r="B27">
        <v>20</v>
      </c>
      <c r="C27" s="9">
        <v>2.8341387198297371E-2</v>
      </c>
      <c r="D27" s="9">
        <v>2.4720244851376361E-2</v>
      </c>
      <c r="E27" s="9">
        <v>2.2457334302964819E-2</v>
      </c>
      <c r="F27" s="9">
        <v>1.7497220291240682E-2</v>
      </c>
      <c r="G27" s="9">
        <v>7.8750719546847314E-3</v>
      </c>
      <c r="H27" s="9">
        <v>-1.3789989932698419E-2</v>
      </c>
      <c r="I27" s="9">
        <v>2.5529374863780371E-2</v>
      </c>
    </row>
    <row r="28" spans="1:9" x14ac:dyDescent="0.25">
      <c r="A28" t="s">
        <v>108</v>
      </c>
      <c r="B28">
        <v>25</v>
      </c>
      <c r="C28" s="9">
        <v>2.8520149884365239E-2</v>
      </c>
      <c r="D28" s="9">
        <v>2.980028421200687E-2</v>
      </c>
      <c r="E28" s="9">
        <v>2.447778514150567E-2</v>
      </c>
      <c r="F28" s="9">
        <v>1.790418675717631E-2</v>
      </c>
      <c r="G28" s="9">
        <v>8.3035183110400368E-3</v>
      </c>
      <c r="H28" s="9">
        <v>-1.1369417284438519E-2</v>
      </c>
      <c r="I28" s="9">
        <v>2.600705491704014E-2</v>
      </c>
    </row>
    <row r="29" spans="1:9" x14ac:dyDescent="0.25">
      <c r="A29" t="s">
        <v>108</v>
      </c>
      <c r="B29">
        <v>30</v>
      </c>
      <c r="C29" s="9">
        <v>2.772705806121856E-2</v>
      </c>
      <c r="D29" s="9">
        <v>3.33720988859596E-2</v>
      </c>
      <c r="E29" s="9">
        <v>2.6385907424994141E-2</v>
      </c>
      <c r="F29" s="9">
        <v>1.8326028539542349E-2</v>
      </c>
      <c r="G29" s="9">
        <v>8.5628007311406851E-3</v>
      </c>
      <c r="H29" s="9">
        <v>-7.5871584965729877E-3</v>
      </c>
      <c r="I29" s="9">
        <v>2.6694052924772341E-2</v>
      </c>
    </row>
    <row r="30" spans="1:9" x14ac:dyDescent="0.25">
      <c r="A30" t="s">
        <v>109</v>
      </c>
      <c r="B30">
        <v>5</v>
      </c>
      <c r="C30" s="9">
        <v>9.9905638943463826E-2</v>
      </c>
      <c r="D30" s="9">
        <v>5.5974892032618177E-2</v>
      </c>
      <c r="E30" s="9">
        <v>7.0106191341027913E-2</v>
      </c>
      <c r="F30" s="9">
        <v>3.3505543971169997E-2</v>
      </c>
      <c r="G30" s="9">
        <v>3.4424215982076678E-2</v>
      </c>
      <c r="H30" s="9">
        <v>3.7557407833864742E-2</v>
      </c>
      <c r="I30" s="9">
        <v>5.6659290295299147E-2</v>
      </c>
    </row>
    <row r="31" spans="1:9" x14ac:dyDescent="0.25">
      <c r="A31" t="s">
        <v>109</v>
      </c>
      <c r="B31">
        <v>7</v>
      </c>
      <c r="C31" s="9">
        <v>0.1034536468899723</v>
      </c>
      <c r="D31" s="9">
        <v>5.7890396873854222E-2</v>
      </c>
      <c r="E31" s="9">
        <v>7.3033092515398579E-2</v>
      </c>
      <c r="F31" s="9">
        <v>3.4779136831823543E-2</v>
      </c>
      <c r="G31" s="9">
        <v>3.5975055842218502E-2</v>
      </c>
      <c r="H31" s="9">
        <v>4.2807859617991488E-2</v>
      </c>
      <c r="I31" s="9">
        <v>5.7212144331294512E-2</v>
      </c>
    </row>
    <row r="32" spans="1:9" x14ac:dyDescent="0.25">
      <c r="A32" t="s">
        <v>109</v>
      </c>
      <c r="B32">
        <v>10</v>
      </c>
      <c r="C32" s="9">
        <v>0.10996887624376291</v>
      </c>
      <c r="D32" s="9">
        <v>6.4923589003995419E-2</v>
      </c>
      <c r="E32" s="9">
        <v>7.5236564303561071E-2</v>
      </c>
      <c r="F32" s="9">
        <v>3.7969224324648332E-2</v>
      </c>
      <c r="G32" s="9">
        <v>3.8533216728337871E-2</v>
      </c>
      <c r="H32" s="9">
        <v>5.204776065397243E-2</v>
      </c>
      <c r="I32" s="9">
        <v>5.7583895117935269E-2</v>
      </c>
    </row>
    <row r="33" spans="1:9" x14ac:dyDescent="0.25">
      <c r="A33" t="s">
        <v>109</v>
      </c>
      <c r="B33">
        <v>15</v>
      </c>
      <c r="C33" s="9">
        <v>0.11700723613881769</v>
      </c>
      <c r="D33" s="9">
        <v>7.3417838893282017E-2</v>
      </c>
      <c r="E33" s="9">
        <v>7.9585477535942362E-2</v>
      </c>
      <c r="F33" s="9">
        <v>4.0966746768920981E-2</v>
      </c>
      <c r="G33" s="9">
        <v>4.0926133021695447E-2</v>
      </c>
      <c r="H33" s="9">
        <v>5.98859315228919E-2</v>
      </c>
      <c r="I33" s="9">
        <v>5.7673268776282649E-2</v>
      </c>
    </row>
    <row r="34" spans="1:9" x14ac:dyDescent="0.25">
      <c r="A34" t="s">
        <v>109</v>
      </c>
      <c r="B34">
        <v>20</v>
      </c>
      <c r="C34" s="9">
        <v>0.1148237547341608</v>
      </c>
      <c r="D34" s="9">
        <v>7.7187048810562153E-2</v>
      </c>
      <c r="E34" s="9">
        <v>8.0894190264781285E-2</v>
      </c>
      <c r="F34" s="9">
        <v>4.1746085913291868E-2</v>
      </c>
      <c r="G34" s="9">
        <v>4.0882757029498507E-2</v>
      </c>
      <c r="H34" s="9">
        <v>6.0977604134766272E-2</v>
      </c>
      <c r="I34" s="9">
        <v>5.7292277488384169E-2</v>
      </c>
    </row>
    <row r="35" spans="1:9" x14ac:dyDescent="0.25">
      <c r="A35" t="s">
        <v>109</v>
      </c>
      <c r="B35">
        <v>25</v>
      </c>
      <c r="C35" s="9">
        <v>0.11242926012379439</v>
      </c>
      <c r="D35" s="9">
        <v>7.8863066680219918E-2</v>
      </c>
      <c r="E35" s="9">
        <v>8.1277942192478081E-2</v>
      </c>
      <c r="F35" s="9">
        <v>4.2224534213475502E-2</v>
      </c>
      <c r="G35" s="9">
        <v>4.0423329566257493E-2</v>
      </c>
      <c r="H35" s="9">
        <v>6.2493518975726081E-2</v>
      </c>
      <c r="I35" s="9">
        <v>5.6559286706962197E-2</v>
      </c>
    </row>
    <row r="36" spans="1:9" x14ac:dyDescent="0.25">
      <c r="A36" t="s">
        <v>109</v>
      </c>
      <c r="B36">
        <v>30</v>
      </c>
      <c r="C36" s="9">
        <v>0.1117475945740265</v>
      </c>
      <c r="D36" s="9">
        <v>8.0037127553097775E-2</v>
      </c>
      <c r="E36" s="9">
        <v>8.1028437950290799E-2</v>
      </c>
      <c r="F36" s="9">
        <v>4.241880135262921E-2</v>
      </c>
      <c r="G36" s="9">
        <v>4.0143090679865878E-2</v>
      </c>
      <c r="H36" s="9">
        <v>6.1321916021993113E-2</v>
      </c>
      <c r="I36" s="9">
        <v>5.5683106214109879E-2</v>
      </c>
    </row>
    <row r="37" spans="1:9" x14ac:dyDescent="0.25">
      <c r="A37" t="s">
        <v>110</v>
      </c>
      <c r="B37" t="s">
        <v>117</v>
      </c>
      <c r="C37" s="9">
        <v>0.15538720300226461</v>
      </c>
      <c r="D37" s="9">
        <v>0.17730543788687539</v>
      </c>
      <c r="E37" s="9">
        <v>0.18612754584331881</v>
      </c>
      <c r="F37" s="9">
        <v>3.8229258057275117E-2</v>
      </c>
      <c r="G37" s="9">
        <v>5.030108116566661E-2</v>
      </c>
      <c r="H37" s="9">
        <v>0.11858956865323821</v>
      </c>
      <c r="I37" s="9">
        <v>6.7520727112757001E-2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e2c18d1-4ac4-4843-b059-04cdc20ce7e6" xsi:nil="true"/>
    <lcf76f155ced4ddcb4097134ff3c332f xmlns="64f53783-b5a5-4d99-8a2b-abe1fa7247d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47C7E06F68594C832843A2A297E6B8" ma:contentTypeVersion="12" ma:contentTypeDescription="Create a new document." ma:contentTypeScope="" ma:versionID="bf4d9be53f28fa48be3d4f8525463ac9">
  <xsd:schema xmlns:xsd="http://www.w3.org/2001/XMLSchema" xmlns:xs="http://www.w3.org/2001/XMLSchema" xmlns:p="http://schemas.microsoft.com/office/2006/metadata/properties" xmlns:ns2="64f53783-b5a5-4d99-8a2b-abe1fa7247d9" xmlns:ns3="de2c18d1-4ac4-4843-b059-04cdc20ce7e6" targetNamespace="http://schemas.microsoft.com/office/2006/metadata/properties" ma:root="true" ma:fieldsID="cff3a27e14b6e5b34e42e73e2eda303c" ns2:_="" ns3:_="">
    <xsd:import namespace="64f53783-b5a5-4d99-8a2b-abe1fa7247d9"/>
    <xsd:import namespace="de2c18d1-4ac4-4843-b059-04cdc20ce7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f53783-b5a5-4d99-8a2b-abe1fa7247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2c18d1-4ac4-4843-b059-04cdc20ce7e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5a784c0-37d8-4c06-9a28-1e798b77a756}" ma:internalName="TaxCatchAll" ma:showField="CatchAllData" ma:web="de2c18d1-4ac4-4843-b059-04cdc20ce7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5E06E7C1-9404-4A4A-B964-A85FD9F3B2E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CD3132-F5D7-44C2-99AC-298B8E426299}">
  <ds:schemaRefs>
    <ds:schemaRef ds:uri="http://schemas.microsoft.com/office/2006/metadata/properties"/>
    <ds:schemaRef ds:uri="http://schemas.microsoft.com/office/infopath/2007/PartnerControls"/>
    <ds:schemaRef ds:uri="de2c18d1-4ac4-4843-b059-04cdc20ce7e6"/>
    <ds:schemaRef ds:uri="64f53783-b5a5-4d99-8a2b-abe1fa7247d9"/>
  </ds:schemaRefs>
</ds:datastoreItem>
</file>

<file path=customXml/itemProps3.xml><?xml version="1.0" encoding="utf-8"?>
<ds:datastoreItem xmlns:ds="http://schemas.openxmlformats.org/officeDocument/2006/customXml" ds:itemID="{F72042E3-5FEB-4E07-89F4-AD90E5835F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f53783-b5a5-4d99-8a2b-abe1fa7247d9"/>
    <ds:schemaRef ds:uri="de2c18d1-4ac4-4843-b059-04cdc20ce7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8B7DA1B-98BC-48EF-80BF-4930CFECE923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Index</vt:lpstr>
      <vt:lpstr>Goals_P1</vt:lpstr>
      <vt:lpstr>Goals_P2</vt:lpstr>
      <vt:lpstr>Loop</vt:lpstr>
      <vt:lpstr>Income</vt:lpstr>
      <vt:lpstr>Job Hopping</vt:lpstr>
      <vt:lpstr>Djøf Finance Workers</vt:lpstr>
      <vt:lpstr>Djøf Finance Hoppers</vt:lpstr>
      <vt:lpstr>returns_short_low</vt:lpstr>
      <vt:lpstr>returns_short_medium</vt:lpstr>
      <vt:lpstr>returns_short_high</vt:lpstr>
      <vt:lpstr>returns_long_low</vt:lpstr>
      <vt:lpstr>returns_long_medium</vt:lpstr>
      <vt:lpstr>returns_long_high</vt:lpstr>
      <vt:lpstr>blackrock_raw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Justo Ezequiel Retorta</dc:creator>
  <cp:lastModifiedBy>Thorbjørn Gundertofte Larsen</cp:lastModifiedBy>
  <dcterms:created xsi:type="dcterms:W3CDTF">2025-02-13T10:09:46Z</dcterms:created>
  <dcterms:modified xsi:type="dcterms:W3CDTF">2025-03-13T10:33:30Z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0x0101000747C7E06F68594C832843A2A297E6B8</vt:lpwstr>
  </property>
  <property fmtid="{D5CDD505-2E9C-101B-9397-08002B2CF9AE}" pid="3" name="MediaServiceImageTags">
    <vt:lpwstr/>
  </property>
</Properties>
</file>